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030" yWindow="375" windowWidth="15570" windowHeight="10950" tabRatio="802" activeTab="2"/>
  </bookViews>
  <sheets>
    <sheet name="Menu" sheetId="8" r:id="rId1"/>
    <sheet name="SkillEnum" sheetId="5" r:id="rId2"/>
    <sheet name="SkillTable" sheetId="4" r:id="rId3"/>
    <sheet name="Elsword" sheetId="14" r:id="rId4"/>
    <sheet name="Elsword_SK" sheetId="17" r:id="rId5"/>
    <sheet name="Elsword_MK" sheetId="18" r:id="rId6"/>
    <sheet name="Aisha" sheetId="19" r:id="rId7"/>
    <sheet name="Aisha_HM" sheetId="20" r:id="rId8"/>
    <sheet name="Aisha_DM" sheetId="21" r:id="rId9"/>
    <sheet name="Rena" sheetId="22" r:id="rId10"/>
    <sheet name="Rena_CR" sheetId="23" r:id="rId11"/>
    <sheet name="Rena_SR" sheetId="24" r:id="rId12"/>
    <sheet name="Raven" sheetId="25" r:id="rId13"/>
    <sheet name="Raven_ST" sheetId="26" r:id="rId14"/>
    <sheet name="Raven_OT" sheetId="27" r:id="rId15"/>
    <sheet name="Eve" sheetId="28" r:id="rId16"/>
    <sheet name="Eve_CE" sheetId="29" r:id="rId17"/>
    <sheet name="Eve_CA" sheetId="30" r:id="rId18"/>
  </sheets>
  <functionGroups/>
  <definedNames>
    <definedName name="_xlnm._FilterDatabase" localSheetId="2" hidden="1">SkillTable!$A$1:$AC$1411</definedName>
    <definedName name="ACTIVE_SKILL_USE_CONDITION">SkillTable!$T$1</definedName>
    <definedName name="BORN_SEALED">SkillTable!$R$1</definedName>
    <definedName name="CAN_RESET">SkillTable!#REF!</definedName>
    <definedName name="COOL_TIME">SkillTable!$I$1</definedName>
    <definedName name="DESC">SkillTable!$F$1</definedName>
    <definedName name="ICON_TEXTURE_NAME">SkillTable!$P$1</definedName>
    <definedName name="ICON_TEXTURE_PIECE_NAME">SkillTable!$Q$1</definedName>
    <definedName name="ID">SkillTable!$A$1</definedName>
    <definedName name="ID_ENUM">SkillTable!$B$1</definedName>
    <definedName name="IN_HOUSE_TEST_ONLY">SkillTable!$U$1</definedName>
    <definedName name="MAX_SKILL_LEVEL">SkillTable!#REF!</definedName>
    <definedName name="MISC_0">SkillTable!$V$1</definedName>
    <definedName name="MISC_1">SkillTable!$W$1</definedName>
    <definedName name="MISC_2">SkillTable!$X$1</definedName>
    <definedName name="MISC_3">SkillTable!$Y$1</definedName>
    <definedName name="MISC_4">SkillTable!$Z$1</definedName>
    <definedName name="MISC_5">SkillTable!$AA$1</definedName>
    <definedName name="MP_CONSUMPTION">SkillTable!$J$1</definedName>
    <definedName name="NAME">SkillTable!$E$1</definedName>
    <definedName name="POWER_RATE">SkillTable!$H$1</definedName>
    <definedName name="PRECEDING_SKILL_ID_1" localSheetId="6">#REF!</definedName>
    <definedName name="PRECEDING_SKILL_ID_1" localSheetId="8">#REF!</definedName>
    <definedName name="PRECEDING_SKILL_ID_1" localSheetId="7">#REF!</definedName>
    <definedName name="PRECEDING_SKILL_ID_1" localSheetId="5">#REF!</definedName>
    <definedName name="PRECEDING_SKILL_ID_1" localSheetId="4">#REF!</definedName>
    <definedName name="PRECEDING_SKILL_ID_1" localSheetId="15">#REF!</definedName>
    <definedName name="PRECEDING_SKILL_ID_1" localSheetId="17">#REF!</definedName>
    <definedName name="PRECEDING_SKILL_ID_1" localSheetId="16">#REF!</definedName>
    <definedName name="PRECEDING_SKILL_ID_1" localSheetId="12">#REF!</definedName>
    <definedName name="PRECEDING_SKILL_ID_1" localSheetId="14">#REF!</definedName>
    <definedName name="PRECEDING_SKILL_ID_1" localSheetId="13">#REF!</definedName>
    <definedName name="PRECEDING_SKILL_ID_1" localSheetId="9">#REF!</definedName>
    <definedName name="PRECEDING_SKILL_ID_1" localSheetId="10">#REF!</definedName>
    <definedName name="PRECEDING_SKILL_ID_1" localSheetId="11">#REF!</definedName>
    <definedName name="PRECEDING_SKILL_ID_1">#REF!</definedName>
    <definedName name="PRECEDING_SKILL_ID_2" localSheetId="6">#REF!</definedName>
    <definedName name="PRECEDING_SKILL_ID_2" localSheetId="8">#REF!</definedName>
    <definedName name="PRECEDING_SKILL_ID_2" localSheetId="7">#REF!</definedName>
    <definedName name="PRECEDING_SKILL_ID_2" localSheetId="5">#REF!</definedName>
    <definedName name="PRECEDING_SKILL_ID_2" localSheetId="4">#REF!</definedName>
    <definedName name="PRECEDING_SKILL_ID_2" localSheetId="15">#REF!</definedName>
    <definedName name="PRECEDING_SKILL_ID_2" localSheetId="17">#REF!</definedName>
    <definedName name="PRECEDING_SKILL_ID_2" localSheetId="16">#REF!</definedName>
    <definedName name="PRECEDING_SKILL_ID_2" localSheetId="12">#REF!</definedName>
    <definedName name="PRECEDING_SKILL_ID_2" localSheetId="14">#REF!</definedName>
    <definedName name="PRECEDING_SKILL_ID_2" localSheetId="13">#REF!</definedName>
    <definedName name="PRECEDING_SKILL_ID_2" localSheetId="9">#REF!</definedName>
    <definedName name="PRECEDING_SKILL_ID_2" localSheetId="10">#REF!</definedName>
    <definedName name="PRECEDING_SKILL_ID_2" localSheetId="11">#REF!</definedName>
    <definedName name="PRECEDING_SKILL_ID_2">#REF!</definedName>
    <definedName name="PRECEDING_SKILL_ID_3" localSheetId="6">#REF!</definedName>
    <definedName name="PRECEDING_SKILL_ID_3" localSheetId="8">#REF!</definedName>
    <definedName name="PRECEDING_SKILL_ID_3" localSheetId="7">#REF!</definedName>
    <definedName name="PRECEDING_SKILL_ID_3" localSheetId="5">#REF!</definedName>
    <definedName name="PRECEDING_SKILL_ID_3" localSheetId="4">#REF!</definedName>
    <definedName name="PRECEDING_SKILL_ID_3" localSheetId="15">#REF!</definedName>
    <definedName name="PRECEDING_SKILL_ID_3" localSheetId="17">#REF!</definedName>
    <definedName name="PRECEDING_SKILL_ID_3" localSheetId="16">#REF!</definedName>
    <definedName name="PRECEDING_SKILL_ID_3" localSheetId="12">#REF!</definedName>
    <definedName name="PRECEDING_SKILL_ID_3" localSheetId="14">#REF!</definedName>
    <definedName name="PRECEDING_SKILL_ID_3" localSheetId="13">#REF!</definedName>
    <definedName name="PRECEDING_SKILL_ID_3" localSheetId="9">#REF!</definedName>
    <definedName name="PRECEDING_SKILL_ID_3" localSheetId="10">#REF!</definedName>
    <definedName name="PRECEDING_SKILL_ID_3" localSheetId="11">#REF!</definedName>
    <definedName name="PRECEDING_SKILL_ID_3">#REF!</definedName>
    <definedName name="PRECEDING_SKILL_ID_4" localSheetId="6">#REF!</definedName>
    <definedName name="PRECEDING_SKILL_ID_4" localSheetId="8">#REF!</definedName>
    <definedName name="PRECEDING_SKILL_ID_4" localSheetId="7">#REF!</definedName>
    <definedName name="PRECEDING_SKILL_ID_4" localSheetId="5">#REF!</definedName>
    <definedName name="PRECEDING_SKILL_ID_4" localSheetId="4">#REF!</definedName>
    <definedName name="PRECEDING_SKILL_ID_4" localSheetId="15">#REF!</definedName>
    <definedName name="PRECEDING_SKILL_ID_4" localSheetId="17">#REF!</definedName>
    <definedName name="PRECEDING_SKILL_ID_4" localSheetId="16">#REF!</definedName>
    <definedName name="PRECEDING_SKILL_ID_4" localSheetId="12">#REF!</definedName>
    <definedName name="PRECEDING_SKILL_ID_4" localSheetId="14">#REF!</definedName>
    <definedName name="PRECEDING_SKILL_ID_4" localSheetId="13">#REF!</definedName>
    <definedName name="PRECEDING_SKILL_ID_4" localSheetId="9">#REF!</definedName>
    <definedName name="PRECEDING_SKILL_ID_4" localSheetId="10">#REF!</definedName>
    <definedName name="PRECEDING_SKILL_ID_4" localSheetId="11">#REF!</definedName>
    <definedName name="PRECEDING_SKILL_ID_4">#REF!</definedName>
    <definedName name="PRECEDING_SKILL_ID_5" localSheetId="6">#REF!</definedName>
    <definedName name="PRECEDING_SKILL_ID_5" localSheetId="8">#REF!</definedName>
    <definedName name="PRECEDING_SKILL_ID_5" localSheetId="7">#REF!</definedName>
    <definedName name="PRECEDING_SKILL_ID_5" localSheetId="5">#REF!</definedName>
    <definedName name="PRECEDING_SKILL_ID_5" localSheetId="4">#REF!</definedName>
    <definedName name="PRECEDING_SKILL_ID_5" localSheetId="15">#REF!</definedName>
    <definedName name="PRECEDING_SKILL_ID_5" localSheetId="17">#REF!</definedName>
    <definedName name="PRECEDING_SKILL_ID_5" localSheetId="16">#REF!</definedName>
    <definedName name="PRECEDING_SKILL_ID_5" localSheetId="12">#REF!</definedName>
    <definedName name="PRECEDING_SKILL_ID_5" localSheetId="14">#REF!</definedName>
    <definedName name="PRECEDING_SKILL_ID_5" localSheetId="13">#REF!</definedName>
    <definedName name="PRECEDING_SKILL_ID_5" localSheetId="9">#REF!</definedName>
    <definedName name="PRECEDING_SKILL_ID_5" localSheetId="10">#REF!</definedName>
    <definedName name="PRECEDING_SKILL_ID_5" localSheetId="11">#REF!</definedName>
    <definedName name="PRECEDING_SKILL_ID_5">#REF!</definedName>
    <definedName name="SHOW_LEVEL">SkillTable!$S$1</definedName>
    <definedName name="SKILL_ID_1" localSheetId="6">#REF!</definedName>
    <definedName name="SKILL_ID_1" localSheetId="8">#REF!</definedName>
    <definedName name="SKILL_ID_1" localSheetId="7">#REF!</definedName>
    <definedName name="SKILL_ID_1" localSheetId="5">#REF!</definedName>
    <definedName name="SKILL_ID_1" localSheetId="4">#REF!</definedName>
    <definedName name="SKILL_ID_1" localSheetId="15">#REF!</definedName>
    <definedName name="SKILL_ID_1" localSheetId="17">#REF!</definedName>
    <definedName name="SKILL_ID_1" localSheetId="16">#REF!</definedName>
    <definedName name="SKILL_ID_1" localSheetId="12">#REF!</definedName>
    <definedName name="SKILL_ID_1" localSheetId="14">#REF!</definedName>
    <definedName name="SKILL_ID_1" localSheetId="13">#REF!</definedName>
    <definedName name="SKILL_ID_1" localSheetId="9">#REF!</definedName>
    <definedName name="SKILL_ID_1" localSheetId="10">#REF!</definedName>
    <definedName name="SKILL_ID_1" localSheetId="11">#REF!</definedName>
    <definedName name="SKILL_ID_1">#REF!</definedName>
    <definedName name="SKILL_ID_2" localSheetId="6">#REF!</definedName>
    <definedName name="SKILL_ID_2" localSheetId="8">#REF!</definedName>
    <definedName name="SKILL_ID_2" localSheetId="7">#REF!</definedName>
    <definedName name="SKILL_ID_2" localSheetId="5">#REF!</definedName>
    <definedName name="SKILL_ID_2" localSheetId="4">#REF!</definedName>
    <definedName name="SKILL_ID_2" localSheetId="15">#REF!</definedName>
    <definedName name="SKILL_ID_2" localSheetId="17">#REF!</definedName>
    <definedName name="SKILL_ID_2" localSheetId="16">#REF!</definedName>
    <definedName name="SKILL_ID_2" localSheetId="12">#REF!</definedName>
    <definedName name="SKILL_ID_2" localSheetId="14">#REF!</definedName>
    <definedName name="SKILL_ID_2" localSheetId="13">#REF!</definedName>
    <definedName name="SKILL_ID_2" localSheetId="9">#REF!</definedName>
    <definedName name="SKILL_ID_2" localSheetId="10">#REF!</definedName>
    <definedName name="SKILL_ID_2" localSheetId="11">#REF!</definedName>
    <definedName name="SKILL_ID_2">#REF!</definedName>
    <definedName name="SKILL_ID_3" localSheetId="6">#REF!</definedName>
    <definedName name="SKILL_ID_3" localSheetId="8">#REF!</definedName>
    <definedName name="SKILL_ID_3" localSheetId="7">#REF!</definedName>
    <definedName name="SKILL_ID_3" localSheetId="5">#REF!</definedName>
    <definedName name="SKILL_ID_3" localSheetId="4">#REF!</definedName>
    <definedName name="SKILL_ID_3" localSheetId="15">#REF!</definedName>
    <definedName name="SKILL_ID_3" localSheetId="17">#REF!</definedName>
    <definedName name="SKILL_ID_3" localSheetId="16">#REF!</definedName>
    <definedName name="SKILL_ID_3" localSheetId="12">#REF!</definedName>
    <definedName name="SKILL_ID_3" localSheetId="14">#REF!</definedName>
    <definedName name="SKILL_ID_3" localSheetId="13">#REF!</definedName>
    <definedName name="SKILL_ID_3" localSheetId="9">#REF!</definedName>
    <definedName name="SKILL_ID_3" localSheetId="10">#REF!</definedName>
    <definedName name="SKILL_ID_3" localSheetId="11">#REF!</definedName>
    <definedName name="SKILL_ID_3">#REF!</definedName>
    <definedName name="SKILL_ID_4" localSheetId="6">#REF!</definedName>
    <definedName name="SKILL_ID_4" localSheetId="8">#REF!</definedName>
    <definedName name="SKILL_ID_4" localSheetId="7">#REF!</definedName>
    <definedName name="SKILL_ID_4" localSheetId="5">#REF!</definedName>
    <definedName name="SKILL_ID_4" localSheetId="4">#REF!</definedName>
    <definedName name="SKILL_ID_4" localSheetId="15">#REF!</definedName>
    <definedName name="SKILL_ID_4" localSheetId="17">#REF!</definedName>
    <definedName name="SKILL_ID_4" localSheetId="16">#REF!</definedName>
    <definedName name="SKILL_ID_4" localSheetId="12">#REF!</definedName>
    <definedName name="SKILL_ID_4" localSheetId="14">#REF!</definedName>
    <definedName name="SKILL_ID_4" localSheetId="13">#REF!</definedName>
    <definedName name="SKILL_ID_4" localSheetId="9">#REF!</definedName>
    <definedName name="SKILL_ID_4" localSheetId="10">#REF!</definedName>
    <definedName name="SKILL_ID_4" localSheetId="11">#REF!</definedName>
    <definedName name="SKILL_ID_4">#REF!</definedName>
    <definedName name="SKILL_ID_5" localSheetId="6">#REF!</definedName>
    <definedName name="SKILL_ID_5" localSheetId="8">#REF!</definedName>
    <definedName name="SKILL_ID_5" localSheetId="7">#REF!</definedName>
    <definedName name="SKILL_ID_5" localSheetId="5">#REF!</definedName>
    <definedName name="SKILL_ID_5" localSheetId="4">#REF!</definedName>
    <definedName name="SKILL_ID_5" localSheetId="15">#REF!</definedName>
    <definedName name="SKILL_ID_5" localSheetId="17">#REF!</definedName>
    <definedName name="SKILL_ID_5" localSheetId="16">#REF!</definedName>
    <definedName name="SKILL_ID_5" localSheetId="12">#REF!</definedName>
    <definedName name="SKILL_ID_5" localSheetId="14">#REF!</definedName>
    <definedName name="SKILL_ID_5" localSheetId="13">#REF!</definedName>
    <definedName name="SKILL_ID_5" localSheetId="9">#REF!</definedName>
    <definedName name="SKILL_ID_5" localSheetId="10">#REF!</definedName>
    <definedName name="SKILL_ID_5" localSheetId="11">#REF!</definedName>
    <definedName name="SKILL_ID_5">#REF!</definedName>
    <definedName name="SKILL_ID_ENUM_1" localSheetId="6">#REF!</definedName>
    <definedName name="SKILL_ID_ENUM_1" localSheetId="8">#REF!</definedName>
    <definedName name="SKILL_ID_ENUM_1" localSheetId="7">#REF!</definedName>
    <definedName name="SKILL_ID_ENUM_1" localSheetId="5">#REF!</definedName>
    <definedName name="SKILL_ID_ENUM_1" localSheetId="4">#REF!</definedName>
    <definedName name="SKILL_ID_ENUM_1" localSheetId="15">#REF!</definedName>
    <definedName name="SKILL_ID_ENUM_1" localSheetId="17">#REF!</definedName>
    <definedName name="SKILL_ID_ENUM_1" localSheetId="16">#REF!</definedName>
    <definedName name="SKILL_ID_ENUM_1" localSheetId="12">#REF!</definedName>
    <definedName name="SKILL_ID_ENUM_1" localSheetId="14">#REF!</definedName>
    <definedName name="SKILL_ID_ENUM_1" localSheetId="13">#REF!</definedName>
    <definedName name="SKILL_ID_ENUM_1" localSheetId="9">#REF!</definedName>
    <definedName name="SKILL_ID_ENUM_1" localSheetId="10">#REF!</definedName>
    <definedName name="SKILL_ID_ENUM_1" localSheetId="11">#REF!</definedName>
    <definedName name="SKILL_ID_ENUM_1">#REF!</definedName>
    <definedName name="SKILL_ID_ENUM_2" localSheetId="6">#REF!</definedName>
    <definedName name="SKILL_ID_ENUM_2" localSheetId="8">#REF!</definedName>
    <definedName name="SKILL_ID_ENUM_2" localSheetId="7">#REF!</definedName>
    <definedName name="SKILL_ID_ENUM_2" localSheetId="5">#REF!</definedName>
    <definedName name="SKILL_ID_ENUM_2" localSheetId="4">#REF!</definedName>
    <definedName name="SKILL_ID_ENUM_2" localSheetId="15">#REF!</definedName>
    <definedName name="SKILL_ID_ENUM_2" localSheetId="17">#REF!</definedName>
    <definedName name="SKILL_ID_ENUM_2" localSheetId="16">#REF!</definedName>
    <definedName name="SKILL_ID_ENUM_2" localSheetId="12">#REF!</definedName>
    <definedName name="SKILL_ID_ENUM_2" localSheetId="14">#REF!</definedName>
    <definedName name="SKILL_ID_ENUM_2" localSheetId="13">#REF!</definedName>
    <definedName name="SKILL_ID_ENUM_2" localSheetId="9">#REF!</definedName>
    <definedName name="SKILL_ID_ENUM_2" localSheetId="10">#REF!</definedName>
    <definedName name="SKILL_ID_ENUM_2" localSheetId="11">#REF!</definedName>
    <definedName name="SKILL_ID_ENUM_2">#REF!</definedName>
    <definedName name="SKILL_ID_ENUM_3" localSheetId="6">#REF!</definedName>
    <definedName name="SKILL_ID_ENUM_3" localSheetId="8">#REF!</definedName>
    <definedName name="SKILL_ID_ENUM_3" localSheetId="7">#REF!</definedName>
    <definedName name="SKILL_ID_ENUM_3" localSheetId="5">#REF!</definedName>
    <definedName name="SKILL_ID_ENUM_3" localSheetId="4">#REF!</definedName>
    <definedName name="SKILL_ID_ENUM_3" localSheetId="15">#REF!</definedName>
    <definedName name="SKILL_ID_ENUM_3" localSheetId="17">#REF!</definedName>
    <definedName name="SKILL_ID_ENUM_3" localSheetId="16">#REF!</definedName>
    <definedName name="SKILL_ID_ENUM_3" localSheetId="12">#REF!</definedName>
    <definedName name="SKILL_ID_ENUM_3" localSheetId="14">#REF!</definedName>
    <definedName name="SKILL_ID_ENUM_3" localSheetId="13">#REF!</definedName>
    <definedName name="SKILL_ID_ENUM_3" localSheetId="9">#REF!</definedName>
    <definedName name="SKILL_ID_ENUM_3" localSheetId="10">#REF!</definedName>
    <definedName name="SKILL_ID_ENUM_3" localSheetId="11">#REF!</definedName>
    <definedName name="SKILL_ID_ENUM_3">#REF!</definedName>
    <definedName name="SKILL_ID_ENUM_4" localSheetId="6">#REF!</definedName>
    <definedName name="SKILL_ID_ENUM_4" localSheetId="8">#REF!</definedName>
    <definedName name="SKILL_ID_ENUM_4" localSheetId="7">#REF!</definedName>
    <definedName name="SKILL_ID_ENUM_4" localSheetId="5">#REF!</definedName>
    <definedName name="SKILL_ID_ENUM_4" localSheetId="4">#REF!</definedName>
    <definedName name="SKILL_ID_ENUM_4" localSheetId="15">#REF!</definedName>
    <definedName name="SKILL_ID_ENUM_4" localSheetId="17">#REF!</definedName>
    <definedName name="SKILL_ID_ENUM_4" localSheetId="16">#REF!</definedName>
    <definedName name="SKILL_ID_ENUM_4" localSheetId="12">#REF!</definedName>
    <definedName name="SKILL_ID_ENUM_4" localSheetId="14">#REF!</definedName>
    <definedName name="SKILL_ID_ENUM_4" localSheetId="13">#REF!</definedName>
    <definedName name="SKILL_ID_ENUM_4" localSheetId="9">#REF!</definedName>
    <definedName name="SKILL_ID_ENUM_4" localSheetId="10">#REF!</definedName>
    <definedName name="SKILL_ID_ENUM_4" localSheetId="11">#REF!</definedName>
    <definedName name="SKILL_ID_ENUM_4">#REF!</definedName>
    <definedName name="SKILL_ID_ENUM_5" localSheetId="6">#REF!</definedName>
    <definedName name="SKILL_ID_ENUM_5" localSheetId="8">#REF!</definedName>
    <definedName name="SKILL_ID_ENUM_5" localSheetId="7">#REF!</definedName>
    <definedName name="SKILL_ID_ENUM_5" localSheetId="5">#REF!</definedName>
    <definedName name="SKILL_ID_ENUM_5" localSheetId="4">#REF!</definedName>
    <definedName name="SKILL_ID_ENUM_5" localSheetId="15">#REF!</definedName>
    <definedName name="SKILL_ID_ENUM_5" localSheetId="17">#REF!</definedName>
    <definedName name="SKILL_ID_ENUM_5" localSheetId="16">#REF!</definedName>
    <definedName name="SKILL_ID_ENUM_5" localSheetId="12">#REF!</definedName>
    <definedName name="SKILL_ID_ENUM_5" localSheetId="14">#REF!</definedName>
    <definedName name="SKILL_ID_ENUM_5" localSheetId="13">#REF!</definedName>
    <definedName name="SKILL_ID_ENUM_5" localSheetId="9">#REF!</definedName>
    <definedName name="SKILL_ID_ENUM_5" localSheetId="10">#REF!</definedName>
    <definedName name="SKILL_ID_ENUM_5" localSheetId="11">#REF!</definedName>
    <definedName name="SKILL_ID_ENUM_5">#REF!</definedName>
    <definedName name="SKILL_LEVEL">SkillTable!$G$1</definedName>
    <definedName name="STAT_ATK_MAGIC">SkillTable!$M$1</definedName>
    <definedName name="STAT_ATK_PHYSIC">SkillTable!$L$1</definedName>
    <definedName name="STAT_BASE_HP">SkillTable!$K$1</definedName>
    <definedName name="STAT_DEF_MAGIC">SkillTable!$O$1</definedName>
    <definedName name="STAT_DEF_PHYSIC">SkillTable!$N$1</definedName>
    <definedName name="STT_ATK_MAGIC">SkillTable!$M$1</definedName>
    <definedName name="TYPE">SkillTable!$C$1</definedName>
    <definedName name="TYPE_ENUM">SkillTable!$D$1</definedName>
    <definedName name="UNIT_CLASS">SkillTable!#REF!</definedName>
    <definedName name="UNIT_CLASS_ENUM">SkillTable!#REF!</definedName>
  </definedNames>
  <calcPr calcId="125725"/>
</workbook>
</file>

<file path=xl/calcChain.xml><?xml version="1.0" encoding="utf-8"?>
<calcChain xmlns="http://schemas.openxmlformats.org/spreadsheetml/2006/main">
  <c r="F1351" i="4"/>
  <c r="F1350"/>
  <c r="F1349"/>
  <c r="F1348"/>
  <c r="F1347"/>
  <c r="F1346"/>
  <c r="F1345"/>
  <c r="F1344"/>
  <c r="F1343"/>
  <c r="F1342"/>
  <c r="F1371"/>
  <c r="F1370"/>
  <c r="F1369"/>
  <c r="F1368"/>
  <c r="F1367"/>
  <c r="F1366"/>
  <c r="F1365"/>
  <c r="F1364"/>
  <c r="F1363"/>
  <c r="F1362"/>
  <c r="F1361"/>
  <c r="F1360"/>
  <c r="F1359"/>
  <c r="F1358"/>
  <c r="F1357"/>
  <c r="F1356"/>
  <c r="F1355"/>
  <c r="F1354"/>
  <c r="F1353"/>
  <c r="F1352"/>
  <c r="E1371"/>
  <c r="D1371"/>
  <c r="B1371"/>
  <c r="Q1371" s="1"/>
  <c r="E1370"/>
  <c r="D1370"/>
  <c r="B1370"/>
  <c r="Q1370" s="1"/>
  <c r="E1369"/>
  <c r="D1369"/>
  <c r="B1369"/>
  <c r="Q1369" s="1"/>
  <c r="E1368"/>
  <c r="D1368"/>
  <c r="B1368"/>
  <c r="Q1368" s="1"/>
  <c r="E1367"/>
  <c r="D1367"/>
  <c r="B1367"/>
  <c r="Q1367" s="1"/>
  <c r="E1366"/>
  <c r="D1366"/>
  <c r="B1366"/>
  <c r="Q1366" s="1"/>
  <c r="E1365"/>
  <c r="D1365"/>
  <c r="B1365"/>
  <c r="Q1365" s="1"/>
  <c r="E1364"/>
  <c r="D1364"/>
  <c r="B1364"/>
  <c r="Q1364" s="1"/>
  <c r="E1363"/>
  <c r="D1363"/>
  <c r="B1363"/>
  <c r="Q1363" s="1"/>
  <c r="E1362"/>
  <c r="D1362"/>
  <c r="B1362"/>
  <c r="Q1362" s="1"/>
  <c r="E1361"/>
  <c r="D1361"/>
  <c r="B1361"/>
  <c r="Q1361" s="1"/>
  <c r="E1360"/>
  <c r="D1360"/>
  <c r="B1360"/>
  <c r="Q1360" s="1"/>
  <c r="E1359"/>
  <c r="D1359"/>
  <c r="B1359"/>
  <c r="Q1359" s="1"/>
  <c r="E1358"/>
  <c r="D1358"/>
  <c r="B1358"/>
  <c r="Q1358" s="1"/>
  <c r="E1357"/>
  <c r="D1357"/>
  <c r="B1357"/>
  <c r="Q1357" s="1"/>
  <c r="E1356"/>
  <c r="D1356"/>
  <c r="B1356"/>
  <c r="Q1356" s="1"/>
  <c r="E1355"/>
  <c r="D1355"/>
  <c r="B1355"/>
  <c r="Q1355" s="1"/>
  <c r="E1354"/>
  <c r="D1354"/>
  <c r="B1354"/>
  <c r="Q1354" s="1"/>
  <c r="E1353"/>
  <c r="D1353"/>
  <c r="B1353"/>
  <c r="Q1353" s="1"/>
  <c r="E1352"/>
  <c r="D1352"/>
  <c r="B1352"/>
  <c r="Q1352" s="1"/>
  <c r="F1321"/>
  <c r="F1320"/>
  <c r="F1319"/>
  <c r="F1318"/>
  <c r="F1317"/>
  <c r="F1316"/>
  <c r="F1315"/>
  <c r="F1314"/>
  <c r="F1313"/>
  <c r="F1312"/>
  <c r="F1311"/>
  <c r="F1310"/>
  <c r="F1309"/>
  <c r="F1308"/>
  <c r="F1307"/>
  <c r="F1306"/>
  <c r="F1305"/>
  <c r="F1304"/>
  <c r="F1303"/>
  <c r="F1302"/>
  <c r="F1301"/>
  <c r="E1321"/>
  <c r="D1321"/>
  <c r="B1321"/>
  <c r="Q1321" s="1"/>
  <c r="E1320"/>
  <c r="D1320"/>
  <c r="B1320"/>
  <c r="Q1320" s="1"/>
  <c r="E1319"/>
  <c r="D1319"/>
  <c r="B1319"/>
  <c r="Q1319" s="1"/>
  <c r="E1318"/>
  <c r="D1318"/>
  <c r="B1318"/>
  <c r="Q1318" s="1"/>
  <c r="E1317"/>
  <c r="D1317"/>
  <c r="B1317"/>
  <c r="Q1317" s="1"/>
  <c r="E1316"/>
  <c r="D1316"/>
  <c r="B1316"/>
  <c r="Q1316" s="1"/>
  <c r="E1315"/>
  <c r="D1315"/>
  <c r="B1315"/>
  <c r="Q1315" s="1"/>
  <c r="E1314"/>
  <c r="D1314"/>
  <c r="B1314"/>
  <c r="Q1314" s="1"/>
  <c r="E1313"/>
  <c r="D1313"/>
  <c r="B1313"/>
  <c r="Q1313" s="1"/>
  <c r="E1312"/>
  <c r="D1312"/>
  <c r="B1312"/>
  <c r="Q1312" s="1"/>
  <c r="E1311"/>
  <c r="D1311"/>
  <c r="B1311"/>
  <c r="Q1311" s="1"/>
  <c r="E1310"/>
  <c r="D1310"/>
  <c r="B1310"/>
  <c r="Q1310" s="1"/>
  <c r="E1309"/>
  <c r="D1309"/>
  <c r="B1309"/>
  <c r="Q1309" s="1"/>
  <c r="E1308"/>
  <c r="D1308"/>
  <c r="B1308"/>
  <c r="Q1308" s="1"/>
  <c r="E1307"/>
  <c r="D1307"/>
  <c r="B1307"/>
  <c r="Q1307" s="1"/>
  <c r="E1306"/>
  <c r="D1306"/>
  <c r="B1306"/>
  <c r="Q1306" s="1"/>
  <c r="E1305"/>
  <c r="D1305"/>
  <c r="B1305"/>
  <c r="Q1305" s="1"/>
  <c r="E1304"/>
  <c r="D1304"/>
  <c r="B1304"/>
  <c r="Q1304" s="1"/>
  <c r="E1303"/>
  <c r="D1303"/>
  <c r="B1303"/>
  <c r="Q1303" s="1"/>
  <c r="E1302"/>
  <c r="D1302"/>
  <c r="B1302"/>
  <c r="Q1302" s="1"/>
  <c r="F1171"/>
  <c r="F1170"/>
  <c r="F1169"/>
  <c r="F1168"/>
  <c r="F1167"/>
  <c r="F1166"/>
  <c r="F1165"/>
  <c r="F1164"/>
  <c r="F1163"/>
  <c r="F1162"/>
  <c r="F1152"/>
  <c r="F1161"/>
  <c r="F1160"/>
  <c r="F1159"/>
  <c r="F1158"/>
  <c r="F1157"/>
  <c r="F1156"/>
  <c r="F1155"/>
  <c r="F1154"/>
  <c r="F1153"/>
  <c r="E1171"/>
  <c r="D1171"/>
  <c r="B1171"/>
  <c r="Q1171" s="1"/>
  <c r="E1170"/>
  <c r="D1170"/>
  <c r="B1170"/>
  <c r="Q1170" s="1"/>
  <c r="E1169"/>
  <c r="D1169"/>
  <c r="B1169"/>
  <c r="Q1169" s="1"/>
  <c r="E1168"/>
  <c r="D1168"/>
  <c r="B1168"/>
  <c r="Q1168" s="1"/>
  <c r="E1167"/>
  <c r="D1167"/>
  <c r="B1167"/>
  <c r="Q1167" s="1"/>
  <c r="E1166"/>
  <c r="D1166"/>
  <c r="B1166"/>
  <c r="Q1166" s="1"/>
  <c r="E1165"/>
  <c r="D1165"/>
  <c r="B1165"/>
  <c r="Q1165" s="1"/>
  <c r="E1164"/>
  <c r="D1164"/>
  <c r="B1164"/>
  <c r="Q1164" s="1"/>
  <c r="E1163"/>
  <c r="D1163"/>
  <c r="B1163"/>
  <c r="Q1163" s="1"/>
  <c r="E1162"/>
  <c r="D1162"/>
  <c r="B1162"/>
  <c r="Q1162" s="1"/>
  <c r="E1161"/>
  <c r="D1161"/>
  <c r="B1161"/>
  <c r="Q1161" s="1"/>
  <c r="E1160"/>
  <c r="D1160"/>
  <c r="B1160"/>
  <c r="Q1160" s="1"/>
  <c r="E1159"/>
  <c r="D1159"/>
  <c r="B1159"/>
  <c r="Q1159" s="1"/>
  <c r="E1158"/>
  <c r="D1158"/>
  <c r="B1158"/>
  <c r="Q1158" s="1"/>
  <c r="E1157"/>
  <c r="D1157"/>
  <c r="B1157"/>
  <c r="Q1157" s="1"/>
  <c r="E1156"/>
  <c r="D1156"/>
  <c r="B1156"/>
  <c r="Q1156" s="1"/>
  <c r="E1155"/>
  <c r="D1155"/>
  <c r="B1155"/>
  <c r="Q1155" s="1"/>
  <c r="E1154"/>
  <c r="D1154"/>
  <c r="B1154"/>
  <c r="Q1154" s="1"/>
  <c r="E1153"/>
  <c r="D1153"/>
  <c r="B1153"/>
  <c r="Q1153" s="1"/>
  <c r="E1152"/>
  <c r="D1152"/>
  <c r="B1152"/>
  <c r="Q1152" s="1"/>
  <c r="F1131"/>
  <c r="F1130"/>
  <c r="F1129"/>
  <c r="F1128"/>
  <c r="F1127"/>
  <c r="F1126"/>
  <c r="F1125"/>
  <c r="F1124"/>
  <c r="F1123"/>
  <c r="F1122"/>
  <c r="F1121"/>
  <c r="F1120"/>
  <c r="F1119"/>
  <c r="F1118"/>
  <c r="F1117"/>
  <c r="F1116"/>
  <c r="F1115"/>
  <c r="F1114"/>
  <c r="F1113"/>
  <c r="F1112"/>
  <c r="E1131"/>
  <c r="D1131"/>
  <c r="B1131"/>
  <c r="Q1131" s="1"/>
  <c r="E1130"/>
  <c r="D1130"/>
  <c r="B1130"/>
  <c r="Q1130" s="1"/>
  <c r="E1129"/>
  <c r="D1129"/>
  <c r="B1129"/>
  <c r="Q1129" s="1"/>
  <c r="E1128"/>
  <c r="D1128"/>
  <c r="B1128"/>
  <c r="Q1128" s="1"/>
  <c r="E1127"/>
  <c r="D1127"/>
  <c r="B1127"/>
  <c r="Q1127" s="1"/>
  <c r="E1126"/>
  <c r="D1126"/>
  <c r="B1126"/>
  <c r="Q1126" s="1"/>
  <c r="E1125"/>
  <c r="D1125"/>
  <c r="B1125"/>
  <c r="Q1125" s="1"/>
  <c r="E1124"/>
  <c r="D1124"/>
  <c r="B1124"/>
  <c r="Q1124" s="1"/>
  <c r="E1123"/>
  <c r="D1123"/>
  <c r="B1123"/>
  <c r="Q1123" s="1"/>
  <c r="E1122"/>
  <c r="D1122"/>
  <c r="B1122"/>
  <c r="Q1122" s="1"/>
  <c r="E1121"/>
  <c r="D1121"/>
  <c r="B1121"/>
  <c r="Q1121" s="1"/>
  <c r="E1120"/>
  <c r="D1120"/>
  <c r="B1120"/>
  <c r="Q1120" s="1"/>
  <c r="E1119"/>
  <c r="D1119"/>
  <c r="B1119"/>
  <c r="Q1119" s="1"/>
  <c r="E1118"/>
  <c r="D1118"/>
  <c r="B1118"/>
  <c r="Q1118" s="1"/>
  <c r="E1117"/>
  <c r="D1117"/>
  <c r="B1117"/>
  <c r="Q1117" s="1"/>
  <c r="E1116"/>
  <c r="D1116"/>
  <c r="B1116"/>
  <c r="Q1116" s="1"/>
  <c r="E1115"/>
  <c r="D1115"/>
  <c r="B1115"/>
  <c r="Q1115" s="1"/>
  <c r="E1114"/>
  <c r="D1114"/>
  <c r="B1114"/>
  <c r="Q1114" s="1"/>
  <c r="E1113"/>
  <c r="D1113"/>
  <c r="B1113"/>
  <c r="Q1113" s="1"/>
  <c r="E1112"/>
  <c r="D1112"/>
  <c r="B1112"/>
  <c r="Q1112" s="1"/>
  <c r="F941"/>
  <c r="F940"/>
  <c r="F939"/>
  <c r="F938"/>
  <c r="F937"/>
  <c r="F936"/>
  <c r="F935"/>
  <c r="F934"/>
  <c r="F933"/>
  <c r="F932"/>
  <c r="F931"/>
  <c r="F930"/>
  <c r="F929"/>
  <c r="F928"/>
  <c r="F927"/>
  <c r="F926"/>
  <c r="F925"/>
  <c r="F924"/>
  <c r="F923"/>
  <c r="F922"/>
  <c r="F882"/>
  <c r="F891"/>
  <c r="F890"/>
  <c r="F889"/>
  <c r="F888"/>
  <c r="F887"/>
  <c r="F886"/>
  <c r="F885"/>
  <c r="F884"/>
  <c r="F883"/>
  <c r="F881"/>
  <c r="F880"/>
  <c r="F879"/>
  <c r="F878"/>
  <c r="F877"/>
  <c r="F876"/>
  <c r="F875"/>
  <c r="F874"/>
  <c r="F873"/>
  <c r="F872"/>
  <c r="F471"/>
  <c r="F470"/>
  <c r="F469"/>
  <c r="F468"/>
  <c r="F467"/>
  <c r="F466"/>
  <c r="F465"/>
  <c r="F464"/>
  <c r="F463"/>
  <c r="F462"/>
  <c r="F461"/>
  <c r="F460"/>
  <c r="F459"/>
  <c r="F458"/>
  <c r="F457"/>
  <c r="F456"/>
  <c r="F455"/>
  <c r="F454"/>
  <c r="F453"/>
  <c r="F452"/>
  <c r="F521"/>
  <c r="F520"/>
  <c r="F519"/>
  <c r="F518"/>
  <c r="F517"/>
  <c r="F516"/>
  <c r="F515"/>
  <c r="F514"/>
  <c r="F513"/>
  <c r="F512"/>
  <c r="F511"/>
  <c r="F510"/>
  <c r="F509"/>
  <c r="F508"/>
  <c r="F507"/>
  <c r="F506"/>
  <c r="F505"/>
  <c r="F504"/>
  <c r="F503"/>
  <c r="F502"/>
  <c r="F681"/>
  <c r="F680"/>
  <c r="F679"/>
  <c r="F678"/>
  <c r="F677"/>
  <c r="F676"/>
  <c r="F675"/>
  <c r="F674"/>
  <c r="F673"/>
  <c r="F672"/>
  <c r="F671"/>
  <c r="F670"/>
  <c r="F669"/>
  <c r="F668"/>
  <c r="F667"/>
  <c r="F666"/>
  <c r="F665"/>
  <c r="F664"/>
  <c r="F663"/>
  <c r="F662"/>
  <c r="W723"/>
  <c r="F723" s="1"/>
  <c r="W731"/>
  <c r="F731" s="1"/>
  <c r="W730"/>
  <c r="F730" s="1"/>
  <c r="W729"/>
  <c r="F729" s="1"/>
  <c r="W728"/>
  <c r="F728" s="1"/>
  <c r="W727"/>
  <c r="F727" s="1"/>
  <c r="W726"/>
  <c r="F726" s="1"/>
  <c r="W725"/>
  <c r="F725" s="1"/>
  <c r="W724"/>
  <c r="F724" s="1"/>
  <c r="W722"/>
  <c r="F722" s="1"/>
  <c r="F721"/>
  <c r="F720"/>
  <c r="F719"/>
  <c r="F718"/>
  <c r="F717"/>
  <c r="F716"/>
  <c r="F715"/>
  <c r="F714"/>
  <c r="F713"/>
  <c r="F712"/>
  <c r="E941"/>
  <c r="D941"/>
  <c r="B941"/>
  <c r="Q941" s="1"/>
  <c r="E940"/>
  <c r="D940"/>
  <c r="B940"/>
  <c r="Q940" s="1"/>
  <c r="E939"/>
  <c r="D939"/>
  <c r="B939"/>
  <c r="Q939" s="1"/>
  <c r="E938"/>
  <c r="D938"/>
  <c r="B938"/>
  <c r="Q938" s="1"/>
  <c r="E937"/>
  <c r="D937"/>
  <c r="B937"/>
  <c r="Q937" s="1"/>
  <c r="E936"/>
  <c r="D936"/>
  <c r="B936"/>
  <c r="Q936" s="1"/>
  <c r="E935"/>
  <c r="D935"/>
  <c r="B935"/>
  <c r="Q935" s="1"/>
  <c r="E934"/>
  <c r="D934"/>
  <c r="B934"/>
  <c r="Q934" s="1"/>
  <c r="E933"/>
  <c r="D933"/>
  <c r="B933"/>
  <c r="Q933" s="1"/>
  <c r="E932"/>
  <c r="D932"/>
  <c r="B932"/>
  <c r="Q932" s="1"/>
  <c r="E931"/>
  <c r="D931"/>
  <c r="B931"/>
  <c r="Q931" s="1"/>
  <c r="E930"/>
  <c r="D930"/>
  <c r="B930"/>
  <c r="Q930" s="1"/>
  <c r="E929"/>
  <c r="D929"/>
  <c r="B929"/>
  <c r="Q929" s="1"/>
  <c r="E928"/>
  <c r="D928"/>
  <c r="B928"/>
  <c r="Q928" s="1"/>
  <c r="E927"/>
  <c r="D927"/>
  <c r="B927"/>
  <c r="Q927" s="1"/>
  <c r="E926"/>
  <c r="D926"/>
  <c r="B926"/>
  <c r="Q926" s="1"/>
  <c r="E925"/>
  <c r="D925"/>
  <c r="B925"/>
  <c r="Q925" s="1"/>
  <c r="E924"/>
  <c r="D924"/>
  <c r="B924"/>
  <c r="Q924" s="1"/>
  <c r="E923"/>
  <c r="D923"/>
  <c r="B923"/>
  <c r="Q923" s="1"/>
  <c r="E922"/>
  <c r="D922"/>
  <c r="B922"/>
  <c r="Q922" s="1"/>
  <c r="E891"/>
  <c r="D891"/>
  <c r="B891"/>
  <c r="Q891" s="1"/>
  <c r="E890"/>
  <c r="D890"/>
  <c r="B890"/>
  <c r="Q890" s="1"/>
  <c r="E889"/>
  <c r="D889"/>
  <c r="B889"/>
  <c r="Q889" s="1"/>
  <c r="E888"/>
  <c r="D888"/>
  <c r="B888"/>
  <c r="Q888" s="1"/>
  <c r="E887"/>
  <c r="D887"/>
  <c r="B887"/>
  <c r="Q887" s="1"/>
  <c r="E886"/>
  <c r="D886"/>
  <c r="B886"/>
  <c r="Q886" s="1"/>
  <c r="E885"/>
  <c r="D885"/>
  <c r="B885"/>
  <c r="Q885" s="1"/>
  <c r="E884"/>
  <c r="D884"/>
  <c r="B884"/>
  <c r="Q884" s="1"/>
  <c r="E883"/>
  <c r="D883"/>
  <c r="B883"/>
  <c r="Q883" s="1"/>
  <c r="E882"/>
  <c r="D882"/>
  <c r="B882"/>
  <c r="Q882" s="1"/>
  <c r="E881"/>
  <c r="D881"/>
  <c r="B881"/>
  <c r="Q881" s="1"/>
  <c r="E880"/>
  <c r="D880"/>
  <c r="B880"/>
  <c r="Q880" s="1"/>
  <c r="E879"/>
  <c r="D879"/>
  <c r="B879"/>
  <c r="Q879" s="1"/>
  <c r="E878"/>
  <c r="D878"/>
  <c r="B878"/>
  <c r="Q878" s="1"/>
  <c r="E877"/>
  <c r="D877"/>
  <c r="B877"/>
  <c r="Q877" s="1"/>
  <c r="E876"/>
  <c r="D876"/>
  <c r="B876"/>
  <c r="Q876" s="1"/>
  <c r="E875"/>
  <c r="D875"/>
  <c r="B875"/>
  <c r="Q875" s="1"/>
  <c r="E874"/>
  <c r="D874"/>
  <c r="B874"/>
  <c r="Q874" s="1"/>
  <c r="E873"/>
  <c r="D873"/>
  <c r="B873"/>
  <c r="Q873" s="1"/>
  <c r="E872"/>
  <c r="D872"/>
  <c r="B872"/>
  <c r="Q872" s="1"/>
  <c r="E731"/>
  <c r="D731"/>
  <c r="B731"/>
  <c r="Q731" s="1"/>
  <c r="E730"/>
  <c r="D730"/>
  <c r="B730"/>
  <c r="Q730" s="1"/>
  <c r="E729"/>
  <c r="D729"/>
  <c r="B729"/>
  <c r="Q729" s="1"/>
  <c r="E728"/>
  <c r="D728"/>
  <c r="B728"/>
  <c r="Q728" s="1"/>
  <c r="E727"/>
  <c r="D727"/>
  <c r="B727"/>
  <c r="Q727" s="1"/>
  <c r="E726"/>
  <c r="D726"/>
  <c r="B726"/>
  <c r="Q726" s="1"/>
  <c r="E725"/>
  <c r="D725"/>
  <c r="B725"/>
  <c r="Q725" s="1"/>
  <c r="E724"/>
  <c r="D724"/>
  <c r="B724"/>
  <c r="Q724" s="1"/>
  <c r="E723"/>
  <c r="D723"/>
  <c r="B723"/>
  <c r="Q723" s="1"/>
  <c r="E722"/>
  <c r="D722"/>
  <c r="B722"/>
  <c r="Q722" s="1"/>
  <c r="E721"/>
  <c r="D721"/>
  <c r="B721"/>
  <c r="Q721" s="1"/>
  <c r="E720"/>
  <c r="D720"/>
  <c r="B720"/>
  <c r="Q720" s="1"/>
  <c r="E719"/>
  <c r="D719"/>
  <c r="B719"/>
  <c r="Q719" s="1"/>
  <c r="E718"/>
  <c r="D718"/>
  <c r="B718"/>
  <c r="Q718" s="1"/>
  <c r="E717"/>
  <c r="D717"/>
  <c r="B717"/>
  <c r="Q717" s="1"/>
  <c r="E716"/>
  <c r="D716"/>
  <c r="B716"/>
  <c r="Q716" s="1"/>
  <c r="E715"/>
  <c r="D715"/>
  <c r="B715"/>
  <c r="Q715" s="1"/>
  <c r="E714"/>
  <c r="D714"/>
  <c r="B714"/>
  <c r="Q714" s="1"/>
  <c r="E713"/>
  <c r="D713"/>
  <c r="B713"/>
  <c r="Q713" s="1"/>
  <c r="E712"/>
  <c r="D712"/>
  <c r="B712"/>
  <c r="Q712" s="1"/>
  <c r="E681"/>
  <c r="D681"/>
  <c r="B681"/>
  <c r="Q681" s="1"/>
  <c r="E680"/>
  <c r="D680"/>
  <c r="B680"/>
  <c r="Q680" s="1"/>
  <c r="E679"/>
  <c r="D679"/>
  <c r="B679"/>
  <c r="Q679" s="1"/>
  <c r="E678"/>
  <c r="D678"/>
  <c r="B678"/>
  <c r="Q678" s="1"/>
  <c r="E677"/>
  <c r="D677"/>
  <c r="B677"/>
  <c r="Q677" s="1"/>
  <c r="E676"/>
  <c r="D676"/>
  <c r="B676"/>
  <c r="Q676" s="1"/>
  <c r="E675"/>
  <c r="D675"/>
  <c r="B675"/>
  <c r="Q675" s="1"/>
  <c r="E674"/>
  <c r="D674"/>
  <c r="B674"/>
  <c r="Q674" s="1"/>
  <c r="E673"/>
  <c r="D673"/>
  <c r="B673"/>
  <c r="Q673" s="1"/>
  <c r="E672"/>
  <c r="D672"/>
  <c r="B672"/>
  <c r="Q672" s="1"/>
  <c r="E671"/>
  <c r="D671"/>
  <c r="B671"/>
  <c r="Q671" s="1"/>
  <c r="E670"/>
  <c r="D670"/>
  <c r="B670"/>
  <c r="Q670" s="1"/>
  <c r="E669"/>
  <c r="D669"/>
  <c r="B669"/>
  <c r="Q669" s="1"/>
  <c r="E668"/>
  <c r="D668"/>
  <c r="B668"/>
  <c r="Q668" s="1"/>
  <c r="E667"/>
  <c r="D667"/>
  <c r="B667"/>
  <c r="Q667" s="1"/>
  <c r="E666"/>
  <c r="D666"/>
  <c r="B666"/>
  <c r="Q666" s="1"/>
  <c r="E665"/>
  <c r="D665"/>
  <c r="B665"/>
  <c r="Q665" s="1"/>
  <c r="E664"/>
  <c r="D664"/>
  <c r="B664"/>
  <c r="Q664" s="1"/>
  <c r="E663"/>
  <c r="D663"/>
  <c r="B663"/>
  <c r="Q663" s="1"/>
  <c r="E662"/>
  <c r="D662"/>
  <c r="B662"/>
  <c r="Q662" s="1"/>
  <c r="E521"/>
  <c r="D521"/>
  <c r="B521"/>
  <c r="Q521" s="1"/>
  <c r="E520"/>
  <c r="D520"/>
  <c r="B520"/>
  <c r="Q520" s="1"/>
  <c r="E519"/>
  <c r="D519"/>
  <c r="B519"/>
  <c r="Q519" s="1"/>
  <c r="E518"/>
  <c r="D518"/>
  <c r="B518"/>
  <c r="Q518" s="1"/>
  <c r="E517"/>
  <c r="D517"/>
  <c r="B517"/>
  <c r="Q517" s="1"/>
  <c r="E516"/>
  <c r="D516"/>
  <c r="B516"/>
  <c r="Q516" s="1"/>
  <c r="E515"/>
  <c r="D515"/>
  <c r="B515"/>
  <c r="Q515" s="1"/>
  <c r="E514"/>
  <c r="D514"/>
  <c r="B514"/>
  <c r="Q514" s="1"/>
  <c r="E513"/>
  <c r="D513"/>
  <c r="B513"/>
  <c r="Q513" s="1"/>
  <c r="E512"/>
  <c r="D512"/>
  <c r="B512"/>
  <c r="Q512" s="1"/>
  <c r="E511"/>
  <c r="D511"/>
  <c r="B511"/>
  <c r="Q511" s="1"/>
  <c r="E510"/>
  <c r="D510"/>
  <c r="B510"/>
  <c r="Q510" s="1"/>
  <c r="E509"/>
  <c r="D509"/>
  <c r="B509"/>
  <c r="Q509" s="1"/>
  <c r="E508"/>
  <c r="D508"/>
  <c r="B508"/>
  <c r="Q508" s="1"/>
  <c r="E507"/>
  <c r="D507"/>
  <c r="B507"/>
  <c r="Q507" s="1"/>
  <c r="E506"/>
  <c r="D506"/>
  <c r="B506"/>
  <c r="Q506" s="1"/>
  <c r="E505"/>
  <c r="D505"/>
  <c r="B505"/>
  <c r="Q505" s="1"/>
  <c r="E504"/>
  <c r="D504"/>
  <c r="B504"/>
  <c r="Q504" s="1"/>
  <c r="E503"/>
  <c r="D503"/>
  <c r="B503"/>
  <c r="Q503" s="1"/>
  <c r="E502"/>
  <c r="D502"/>
  <c r="B502"/>
  <c r="Q502" s="1"/>
  <c r="E471"/>
  <c r="D471"/>
  <c r="B471"/>
  <c r="Q471" s="1"/>
  <c r="E470"/>
  <c r="D470"/>
  <c r="B470"/>
  <c r="Q470" s="1"/>
  <c r="E469"/>
  <c r="D469"/>
  <c r="B469"/>
  <c r="Q469" s="1"/>
  <c r="E468"/>
  <c r="D468"/>
  <c r="B468"/>
  <c r="Q468" s="1"/>
  <c r="E467"/>
  <c r="D467"/>
  <c r="B467"/>
  <c r="Q467" s="1"/>
  <c r="E466"/>
  <c r="D466"/>
  <c r="B466"/>
  <c r="Q466" s="1"/>
  <c r="E465"/>
  <c r="D465"/>
  <c r="B465"/>
  <c r="Q465" s="1"/>
  <c r="E464"/>
  <c r="D464"/>
  <c r="B464"/>
  <c r="Q464" s="1"/>
  <c r="E463"/>
  <c r="D463"/>
  <c r="B463"/>
  <c r="Q463" s="1"/>
  <c r="E462"/>
  <c r="D462"/>
  <c r="B462"/>
  <c r="Q462" s="1"/>
  <c r="E461"/>
  <c r="D461"/>
  <c r="B461"/>
  <c r="Q461" s="1"/>
  <c r="E460"/>
  <c r="D460"/>
  <c r="B460"/>
  <c r="Q460" s="1"/>
  <c r="E459"/>
  <c r="D459"/>
  <c r="B459"/>
  <c r="Q459" s="1"/>
  <c r="E458"/>
  <c r="D458"/>
  <c r="B458"/>
  <c r="Q458" s="1"/>
  <c r="E457"/>
  <c r="D457"/>
  <c r="B457"/>
  <c r="Q457" s="1"/>
  <c r="E456"/>
  <c r="D456"/>
  <c r="B456"/>
  <c r="Q456" s="1"/>
  <c r="E455"/>
  <c r="D455"/>
  <c r="B455"/>
  <c r="Q455" s="1"/>
  <c r="E454"/>
  <c r="D454"/>
  <c r="B454"/>
  <c r="Q454" s="1"/>
  <c r="E453"/>
  <c r="D453"/>
  <c r="B453"/>
  <c r="Q453" s="1"/>
  <c r="E452"/>
  <c r="D452"/>
  <c r="B452"/>
  <c r="Q452" s="1"/>
  <c r="F1141"/>
  <c r="F1140"/>
  <c r="F1139"/>
  <c r="F1138"/>
  <c r="F1137"/>
  <c r="F1136"/>
  <c r="F1135"/>
  <c r="F1134"/>
  <c r="F1133"/>
  <c r="F1132"/>
  <c r="F601"/>
  <c r="F600"/>
  <c r="F599"/>
  <c r="F598"/>
  <c r="F597"/>
  <c r="F596"/>
  <c r="F595"/>
  <c r="F594"/>
  <c r="F593"/>
  <c r="F592"/>
  <c r="F971" l="1"/>
  <c r="F970"/>
  <c r="F969"/>
  <c r="F968"/>
  <c r="F967"/>
  <c r="F966"/>
  <c r="F965"/>
  <c r="F911"/>
  <c r="F910"/>
  <c r="F909"/>
  <c r="F908"/>
  <c r="F907"/>
  <c r="F906"/>
  <c r="F905"/>
  <c r="F904"/>
  <c r="F903"/>
  <c r="F902"/>
  <c r="F711"/>
  <c r="F710"/>
  <c r="F709"/>
  <c r="F708"/>
  <c r="F707"/>
  <c r="F706"/>
  <c r="F705"/>
  <c r="F704"/>
  <c r="F703"/>
  <c r="F702"/>
  <c r="F621"/>
  <c r="F620"/>
  <c r="F619"/>
  <c r="F618"/>
  <c r="F617"/>
  <c r="F616"/>
  <c r="F615"/>
  <c r="F614"/>
  <c r="F613"/>
  <c r="F612"/>
  <c r="F501"/>
  <c r="F500"/>
  <c r="F499"/>
  <c r="F498"/>
  <c r="F497"/>
  <c r="F496"/>
  <c r="F495"/>
  <c r="F494"/>
  <c r="F493"/>
  <c r="F492"/>
  <c r="F771"/>
  <c r="F770"/>
  <c r="F769"/>
  <c r="F768"/>
  <c r="F767"/>
  <c r="F766"/>
  <c r="F765"/>
  <c r="F764"/>
  <c r="F763"/>
  <c r="F762"/>
  <c r="F1300"/>
  <c r="F1299"/>
  <c r="F1298"/>
  <c r="F1297"/>
  <c r="F1296"/>
  <c r="F1295"/>
  <c r="F1294"/>
  <c r="F1293"/>
  <c r="F1292"/>
  <c r="F1291"/>
  <c r="F1290"/>
  <c r="F1289"/>
  <c r="F1288"/>
  <c r="F1287"/>
  <c r="F1286"/>
  <c r="F1285"/>
  <c r="F1284"/>
  <c r="F1283"/>
  <c r="F1282"/>
  <c r="F1281"/>
  <c r="F1280"/>
  <c r="F1279"/>
  <c r="F1278"/>
  <c r="F1277"/>
  <c r="F1276"/>
  <c r="F1275"/>
  <c r="F1274"/>
  <c r="F1273"/>
  <c r="F1272"/>
  <c r="F1241"/>
  <c r="F1240"/>
  <c r="F1239"/>
  <c r="F1238"/>
  <c r="F1237"/>
  <c r="F1236"/>
  <c r="F1235"/>
  <c r="F1234"/>
  <c r="F1233"/>
  <c r="F1232"/>
  <c r="F1221"/>
  <c r="F1220"/>
  <c r="F1219"/>
  <c r="F1218"/>
  <c r="F1217"/>
  <c r="F1216"/>
  <c r="F1215"/>
  <c r="F1214"/>
  <c r="F1213"/>
  <c r="F1212"/>
  <c r="F1192"/>
  <c r="F1201"/>
  <c r="F1200"/>
  <c r="F1199"/>
  <c r="F1198"/>
  <c r="F1197"/>
  <c r="F1196"/>
  <c r="F1195"/>
  <c r="F1194"/>
  <c r="F1193"/>
  <c r="F421"/>
  <c r="F420"/>
  <c r="F419"/>
  <c r="F418"/>
  <c r="F417"/>
  <c r="F416"/>
  <c r="F415"/>
  <c r="F414"/>
  <c r="F413"/>
  <c r="F412"/>
  <c r="F1101"/>
  <c r="F1100"/>
  <c r="F1099"/>
  <c r="F1098"/>
  <c r="F1097"/>
  <c r="F1096"/>
  <c r="F1095"/>
  <c r="F1094"/>
  <c r="F1093"/>
  <c r="F1092"/>
  <c r="F1081"/>
  <c r="F1080"/>
  <c r="F1079"/>
  <c r="F1078"/>
  <c r="F1077"/>
  <c r="F1076"/>
  <c r="F1075"/>
  <c r="F1074"/>
  <c r="F1073"/>
  <c r="F1072"/>
  <c r="F631"/>
  <c r="F630"/>
  <c r="F629"/>
  <c r="F628"/>
  <c r="F627"/>
  <c r="F626"/>
  <c r="F625"/>
  <c r="F624"/>
  <c r="F623"/>
  <c r="F622"/>
  <c r="F381"/>
  <c r="F380"/>
  <c r="F379"/>
  <c r="F378"/>
  <c r="F377"/>
  <c r="F376"/>
  <c r="F375"/>
  <c r="F374"/>
  <c r="F373"/>
  <c r="F372"/>
  <c r="F581"/>
  <c r="F580"/>
  <c r="F579"/>
  <c r="F578"/>
  <c r="F577"/>
  <c r="F576"/>
  <c r="F575"/>
  <c r="F574"/>
  <c r="F573"/>
  <c r="F572"/>
  <c r="F1271"/>
  <c r="F1270"/>
  <c r="F1269"/>
  <c r="F1268"/>
  <c r="F1267"/>
  <c r="F1266"/>
  <c r="F1265"/>
  <c r="F1264"/>
  <c r="F1263"/>
  <c r="F1262"/>
  <c r="F1261"/>
  <c r="F1260"/>
  <c r="F1259"/>
  <c r="F1258"/>
  <c r="F1257"/>
  <c r="F1256"/>
  <c r="F1255"/>
  <c r="F1254"/>
  <c r="F1253"/>
  <c r="F1252"/>
  <c r="F1251"/>
  <c r="F1250"/>
  <c r="F1249"/>
  <c r="F1248"/>
  <c r="F1247"/>
  <c r="F1246"/>
  <c r="F1245"/>
  <c r="F1244"/>
  <c r="F1243"/>
  <c r="F1242"/>
  <c r="F1231"/>
  <c r="F1230"/>
  <c r="F1229"/>
  <c r="F1228"/>
  <c r="F1227"/>
  <c r="F1226"/>
  <c r="F1225"/>
  <c r="F1224"/>
  <c r="F1223"/>
  <c r="F1222"/>
  <c r="F1211"/>
  <c r="F1210"/>
  <c r="F1209"/>
  <c r="F1208"/>
  <c r="F1207"/>
  <c r="F1206"/>
  <c r="F1205"/>
  <c r="F1204"/>
  <c r="F1203"/>
  <c r="F1202"/>
  <c r="F1191"/>
  <c r="F1190"/>
  <c r="F1189"/>
  <c r="F1188"/>
  <c r="F1187"/>
  <c r="F1186"/>
  <c r="F1185"/>
  <c r="F1184"/>
  <c r="F1183"/>
  <c r="F1182"/>
  <c r="F1111"/>
  <c r="F1110"/>
  <c r="F1109"/>
  <c r="F1108"/>
  <c r="F1107"/>
  <c r="F1106"/>
  <c r="F1105"/>
  <c r="F1104"/>
  <c r="F1103"/>
  <c r="F1102"/>
  <c r="F1091"/>
  <c r="F1090"/>
  <c r="F1089"/>
  <c r="F1088"/>
  <c r="F1087"/>
  <c r="F1086"/>
  <c r="F1085"/>
  <c r="F1084"/>
  <c r="F1083"/>
  <c r="F1082"/>
  <c r="F1071"/>
  <c r="F1070"/>
  <c r="F1069"/>
  <c r="F1068"/>
  <c r="F1067"/>
  <c r="F1066"/>
  <c r="F1065"/>
  <c r="F1064"/>
  <c r="F1063"/>
  <c r="F1062"/>
  <c r="F1061"/>
  <c r="F1060"/>
  <c r="F1059"/>
  <c r="F1058"/>
  <c r="F1057"/>
  <c r="F1056"/>
  <c r="F1055"/>
  <c r="F1054"/>
  <c r="F1053"/>
  <c r="F1052"/>
  <c r="F1051"/>
  <c r="F1050"/>
  <c r="F1049"/>
  <c r="F1048"/>
  <c r="F1047"/>
  <c r="F1046"/>
  <c r="F1045"/>
  <c r="F1044"/>
  <c r="F1043"/>
  <c r="F1042"/>
  <c r="F1041"/>
  <c r="F1040"/>
  <c r="F1039"/>
  <c r="F1038"/>
  <c r="F1037"/>
  <c r="F1036"/>
  <c r="F1035"/>
  <c r="F1034"/>
  <c r="F1033"/>
  <c r="F1032"/>
  <c r="F1031"/>
  <c r="F1030"/>
  <c r="F1029"/>
  <c r="F1028"/>
  <c r="F1027"/>
  <c r="F1026"/>
  <c r="F1025"/>
  <c r="F1024"/>
  <c r="F1023"/>
  <c r="F1022"/>
  <c r="F1021"/>
  <c r="F1020"/>
  <c r="F1019"/>
  <c r="F1018"/>
  <c r="F1017"/>
  <c r="F1016"/>
  <c r="F1015"/>
  <c r="F1014"/>
  <c r="F1013"/>
  <c r="F1012"/>
  <c r="F1011"/>
  <c r="F1010"/>
  <c r="F1009"/>
  <c r="F1008"/>
  <c r="F1007"/>
  <c r="F1006"/>
  <c r="F1005"/>
  <c r="F1004"/>
  <c r="F1003"/>
  <c r="F1002"/>
  <c r="F1001"/>
  <c r="F1000"/>
  <c r="F999"/>
  <c r="F998"/>
  <c r="F997"/>
  <c r="F996"/>
  <c r="F995"/>
  <c r="F994"/>
  <c r="F993"/>
  <c r="F992"/>
  <c r="F901"/>
  <c r="F900"/>
  <c r="F899"/>
  <c r="F898"/>
  <c r="F897"/>
  <c r="F896"/>
  <c r="F895"/>
  <c r="F894"/>
  <c r="F893"/>
  <c r="F892"/>
  <c r="F871"/>
  <c r="F870"/>
  <c r="F869"/>
  <c r="F868"/>
  <c r="F867"/>
  <c r="F866"/>
  <c r="F865"/>
  <c r="F864"/>
  <c r="F863"/>
  <c r="F862"/>
  <c r="F641"/>
  <c r="F640"/>
  <c r="F639"/>
  <c r="F638"/>
  <c r="F637"/>
  <c r="F636"/>
  <c r="F635"/>
  <c r="F634"/>
  <c r="F633"/>
  <c r="F632"/>
  <c r="F661"/>
  <c r="F660"/>
  <c r="F659"/>
  <c r="F658"/>
  <c r="F657"/>
  <c r="F656"/>
  <c r="F655"/>
  <c r="F654"/>
  <c r="F653"/>
  <c r="F652"/>
  <c r="F801"/>
  <c r="F800"/>
  <c r="F799"/>
  <c r="F798"/>
  <c r="F797"/>
  <c r="F796"/>
  <c r="F795"/>
  <c r="F794"/>
  <c r="F793"/>
  <c r="F792"/>
  <c r="F831"/>
  <c r="F830"/>
  <c r="F829"/>
  <c r="F828"/>
  <c r="F827"/>
  <c r="F826"/>
  <c r="F825"/>
  <c r="F824"/>
  <c r="F823"/>
  <c r="F822"/>
  <c r="F841"/>
  <c r="F840"/>
  <c r="F839"/>
  <c r="F838"/>
  <c r="F837"/>
  <c r="F836"/>
  <c r="F835"/>
  <c r="F834"/>
  <c r="F833"/>
  <c r="F832"/>
  <c r="F861"/>
  <c r="F860"/>
  <c r="F859"/>
  <c r="F858"/>
  <c r="F857"/>
  <c r="F856"/>
  <c r="F855"/>
  <c r="F854"/>
  <c r="F853"/>
  <c r="F852"/>
  <c r="F851"/>
  <c r="F850"/>
  <c r="F849"/>
  <c r="F848"/>
  <c r="F847"/>
  <c r="F846"/>
  <c r="F845"/>
  <c r="F844"/>
  <c r="F843"/>
  <c r="F842"/>
  <c r="F821"/>
  <c r="F820"/>
  <c r="F819"/>
  <c r="F818"/>
  <c r="F817"/>
  <c r="F816"/>
  <c r="F815"/>
  <c r="F814"/>
  <c r="F813"/>
  <c r="F812"/>
  <c r="F651"/>
  <c r="F650"/>
  <c r="F649"/>
  <c r="F648"/>
  <c r="F647"/>
  <c r="F646"/>
  <c r="F645"/>
  <c r="F644"/>
  <c r="F643"/>
  <c r="F642"/>
  <c r="F791"/>
  <c r="F790"/>
  <c r="F789"/>
  <c r="F788"/>
  <c r="F787"/>
  <c r="F786"/>
  <c r="F785"/>
  <c r="F784"/>
  <c r="F783"/>
  <c r="F782"/>
  <c r="F761"/>
  <c r="F760"/>
  <c r="F759"/>
  <c r="F758"/>
  <c r="F757"/>
  <c r="F756"/>
  <c r="F755"/>
  <c r="F754"/>
  <c r="F753"/>
  <c r="F752"/>
  <c r="F811"/>
  <c r="F810"/>
  <c r="F809"/>
  <c r="F808"/>
  <c r="F807"/>
  <c r="F806"/>
  <c r="F805"/>
  <c r="F804"/>
  <c r="F803"/>
  <c r="F802"/>
  <c r="F781"/>
  <c r="F780"/>
  <c r="F779"/>
  <c r="F778"/>
  <c r="F777"/>
  <c r="F776"/>
  <c r="F775"/>
  <c r="F774"/>
  <c r="F773"/>
  <c r="F772"/>
  <c r="F551"/>
  <c r="F550"/>
  <c r="F549"/>
  <c r="F548"/>
  <c r="F547"/>
  <c r="F546"/>
  <c r="F545"/>
  <c r="F544"/>
  <c r="F543"/>
  <c r="F542"/>
  <c r="F611"/>
  <c r="F610"/>
  <c r="F609"/>
  <c r="F608"/>
  <c r="F607"/>
  <c r="F606"/>
  <c r="F605"/>
  <c r="F604"/>
  <c r="F603"/>
  <c r="F602"/>
  <c r="F451"/>
  <c r="F450"/>
  <c r="F449"/>
  <c r="F448"/>
  <c r="F447"/>
  <c r="F446"/>
  <c r="F445"/>
  <c r="F444"/>
  <c r="F443"/>
  <c r="F442"/>
  <c r="F591"/>
  <c r="F590"/>
  <c r="F589"/>
  <c r="F588"/>
  <c r="F587"/>
  <c r="F586"/>
  <c r="F585"/>
  <c r="F584"/>
  <c r="F583"/>
  <c r="F582"/>
  <c r="F571"/>
  <c r="F570"/>
  <c r="F569"/>
  <c r="F568"/>
  <c r="F567"/>
  <c r="F566"/>
  <c r="F565"/>
  <c r="F564"/>
  <c r="F563"/>
  <c r="F562"/>
  <c r="F441"/>
  <c r="F440"/>
  <c r="F439"/>
  <c r="F438"/>
  <c r="F437"/>
  <c r="F436"/>
  <c r="F435"/>
  <c r="F434"/>
  <c r="F433"/>
  <c r="F432"/>
  <c r="F431"/>
  <c r="F430"/>
  <c r="F429"/>
  <c r="F428"/>
  <c r="F427"/>
  <c r="F426"/>
  <c r="F425"/>
  <c r="F424"/>
  <c r="F423"/>
  <c r="F422"/>
  <c r="F411"/>
  <c r="F410"/>
  <c r="F409"/>
  <c r="F408"/>
  <c r="F407"/>
  <c r="F406"/>
  <c r="F405"/>
  <c r="F404"/>
  <c r="F403"/>
  <c r="F391"/>
  <c r="F390"/>
  <c r="F389"/>
  <c r="F388"/>
  <c r="F387"/>
  <c r="F386"/>
  <c r="F385"/>
  <c r="F384"/>
  <c r="F383"/>
  <c r="F38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402"/>
  <c r="F401"/>
  <c r="F400"/>
  <c r="F399"/>
  <c r="F398"/>
  <c r="F397"/>
  <c r="F396"/>
  <c r="F395"/>
  <c r="F394"/>
  <c r="F393"/>
  <c r="F392"/>
  <c r="F332"/>
  <c r="F341"/>
  <c r="F340"/>
  <c r="F339"/>
  <c r="F338"/>
  <c r="F337"/>
  <c r="F336"/>
  <c r="F335"/>
  <c r="F334"/>
  <c r="F333"/>
  <c r="F1391" l="1"/>
  <c r="F1390"/>
  <c r="F1389"/>
  <c r="F1388"/>
  <c r="F1387"/>
  <c r="F1386"/>
  <c r="F1385"/>
  <c r="F1384"/>
  <c r="F1383"/>
  <c r="F1382"/>
  <c r="F701" l="1"/>
  <c r="F700"/>
  <c r="F699"/>
  <c r="F698"/>
  <c r="F697"/>
  <c r="F696"/>
  <c r="F695"/>
  <c r="F694"/>
  <c r="F693"/>
  <c r="F692"/>
  <c r="F1181" l="1"/>
  <c r="F1180"/>
  <c r="F1179"/>
  <c r="F1178"/>
  <c r="F1177"/>
  <c r="F1176"/>
  <c r="F1175"/>
  <c r="F1174"/>
  <c r="F1173"/>
  <c r="F1172"/>
  <c r="F1401"/>
  <c r="F1400"/>
  <c r="F1399"/>
  <c r="F1398"/>
  <c r="F1397"/>
  <c r="F1396"/>
  <c r="F1395"/>
  <c r="F1394"/>
  <c r="F1393"/>
  <c r="F1392"/>
  <c r="F921"/>
  <c r="F920"/>
  <c r="F919"/>
  <c r="F918"/>
  <c r="F917"/>
  <c r="F916"/>
  <c r="F915"/>
  <c r="F914"/>
  <c r="F913"/>
  <c r="F912"/>
  <c r="F331" l="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O73" l="1"/>
  <c r="O74" s="1"/>
  <c r="O75" s="1"/>
  <c r="O76" s="1"/>
  <c r="O77" s="1"/>
  <c r="O78" s="1"/>
  <c r="O79" s="1"/>
  <c r="O80" s="1"/>
  <c r="O81" s="1"/>
  <c r="N63"/>
  <c r="N64" s="1"/>
  <c r="N65" s="1"/>
  <c r="N66" s="1"/>
  <c r="N67" s="1"/>
  <c r="N68" s="1"/>
  <c r="N69" s="1"/>
  <c r="N70" s="1"/>
  <c r="N71" s="1"/>
  <c r="M53"/>
  <c r="M54" s="1"/>
  <c r="M55" s="1"/>
  <c r="M56" s="1"/>
  <c r="M57" s="1"/>
  <c r="M58" s="1"/>
  <c r="M59" s="1"/>
  <c r="M60" s="1"/>
  <c r="M61" s="1"/>
  <c r="L43"/>
  <c r="L44" s="1"/>
  <c r="L45" s="1"/>
  <c r="L46" s="1"/>
  <c r="L47" s="1"/>
  <c r="L48" s="1"/>
  <c r="L49" s="1"/>
  <c r="L50" s="1"/>
  <c r="L51" s="1"/>
  <c r="AA1351"/>
  <c r="AA1350"/>
  <c r="AA1349"/>
  <c r="AA1348"/>
  <c r="AA1347"/>
  <c r="AA1346"/>
  <c r="AA1345"/>
  <c r="AA1344"/>
  <c r="AA1343"/>
  <c r="AA1342"/>
  <c r="F191"/>
  <c r="F190"/>
  <c r="F189"/>
  <c r="F188"/>
  <c r="F187"/>
  <c r="F186"/>
  <c r="F185"/>
  <c r="F184"/>
  <c r="F183"/>
  <c r="F182"/>
  <c r="F1411" l="1"/>
  <c r="F1410"/>
  <c r="F1409"/>
  <c r="F1408"/>
  <c r="F1407"/>
  <c r="F1406"/>
  <c r="F1405"/>
  <c r="F1404"/>
  <c r="F1403"/>
  <c r="F1402"/>
  <c r="F1381"/>
  <c r="F1380"/>
  <c r="F1379"/>
  <c r="F1378"/>
  <c r="F1377"/>
  <c r="F1376"/>
  <c r="F1375"/>
  <c r="F1374"/>
  <c r="F1373"/>
  <c r="F1372"/>
  <c r="F1341"/>
  <c r="F1340"/>
  <c r="F1339"/>
  <c r="F1338"/>
  <c r="F1337"/>
  <c r="F1336"/>
  <c r="F1335"/>
  <c r="F1334"/>
  <c r="F1333"/>
  <c r="F1332"/>
  <c r="F1331"/>
  <c r="F1330"/>
  <c r="F1329"/>
  <c r="F1328"/>
  <c r="F1327"/>
  <c r="F1326"/>
  <c r="F1325"/>
  <c r="F1324"/>
  <c r="F1323"/>
  <c r="F1322"/>
  <c r="F1151"/>
  <c r="F1150"/>
  <c r="F1149"/>
  <c r="F1148"/>
  <c r="F1147"/>
  <c r="F1146"/>
  <c r="F1145"/>
  <c r="F1144"/>
  <c r="F1143"/>
  <c r="F1142"/>
  <c r="F991"/>
  <c r="F990"/>
  <c r="F989"/>
  <c r="F988"/>
  <c r="F987"/>
  <c r="F986"/>
  <c r="F985"/>
  <c r="F984"/>
  <c r="F983"/>
  <c r="F982"/>
  <c r="F981"/>
  <c r="F980"/>
  <c r="F979"/>
  <c r="F978"/>
  <c r="F977"/>
  <c r="F976"/>
  <c r="F975"/>
  <c r="F974"/>
  <c r="F973"/>
  <c r="F972"/>
  <c r="F964"/>
  <c r="F963"/>
  <c r="F962"/>
  <c r="F961"/>
  <c r="F960"/>
  <c r="F959"/>
  <c r="F958"/>
  <c r="F957"/>
  <c r="F956"/>
  <c r="F955"/>
  <c r="F954"/>
  <c r="F953"/>
  <c r="F952"/>
  <c r="F951"/>
  <c r="F950"/>
  <c r="F949"/>
  <c r="F948"/>
  <c r="F947"/>
  <c r="F946"/>
  <c r="F945"/>
  <c r="F944"/>
  <c r="F943"/>
  <c r="F942"/>
  <c r="F751"/>
  <c r="F750"/>
  <c r="F749"/>
  <c r="F748"/>
  <c r="F747"/>
  <c r="F746"/>
  <c r="F745"/>
  <c r="F744"/>
  <c r="F743"/>
  <c r="F742"/>
  <c r="F741"/>
  <c r="F740"/>
  <c r="F739"/>
  <c r="F738"/>
  <c r="F737"/>
  <c r="F736"/>
  <c r="F735"/>
  <c r="F734"/>
  <c r="F733"/>
  <c r="F732"/>
  <c r="F561"/>
  <c r="F560"/>
  <c r="F559"/>
  <c r="F558"/>
  <c r="F557"/>
  <c r="F556"/>
  <c r="F555"/>
  <c r="F554"/>
  <c r="F553"/>
  <c r="F552"/>
  <c r="F541"/>
  <c r="F540"/>
  <c r="F539"/>
  <c r="F538"/>
  <c r="F537"/>
  <c r="F536"/>
  <c r="F535"/>
  <c r="F534"/>
  <c r="F533"/>
  <c r="F532"/>
  <c r="F531"/>
  <c r="F530"/>
  <c r="F529"/>
  <c r="F528"/>
  <c r="F527"/>
  <c r="F526"/>
  <c r="F525"/>
  <c r="F524"/>
  <c r="F523"/>
  <c r="F522"/>
  <c r="F491"/>
  <c r="F490"/>
  <c r="F489"/>
  <c r="F488"/>
  <c r="F487"/>
  <c r="F486"/>
  <c r="F485"/>
  <c r="F484"/>
  <c r="F483"/>
  <c r="F482"/>
  <c r="F481"/>
  <c r="F480"/>
  <c r="F479"/>
  <c r="F478"/>
  <c r="F477"/>
  <c r="F476"/>
  <c r="F475"/>
  <c r="F474"/>
  <c r="F473"/>
  <c r="F47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72"/>
  <c r="F62"/>
  <c r="F52"/>
  <c r="F42"/>
  <c r="F32"/>
  <c r="F22"/>
  <c r="F12"/>
  <c r="F2"/>
  <c r="T42" i="30" l="1"/>
  <c r="S42"/>
  <c r="R42"/>
  <c r="O42"/>
  <c r="L42"/>
  <c r="K42"/>
  <c r="J42"/>
  <c r="H42"/>
  <c r="G42"/>
  <c r="F42"/>
  <c r="D42"/>
  <c r="C42"/>
  <c r="B42"/>
  <c r="T39"/>
  <c r="S39"/>
  <c r="R39"/>
  <c r="P39"/>
  <c r="O39"/>
  <c r="N39"/>
  <c r="L39"/>
  <c r="K39"/>
  <c r="J39"/>
  <c r="H39"/>
  <c r="G39"/>
  <c r="D39"/>
  <c r="C39"/>
  <c r="B39"/>
  <c r="T36"/>
  <c r="S36"/>
  <c r="P36"/>
  <c r="O36"/>
  <c r="N36"/>
  <c r="K36"/>
  <c r="H36"/>
  <c r="G36"/>
  <c r="C36"/>
  <c r="T33"/>
  <c r="S33"/>
  <c r="R33"/>
  <c r="P33"/>
  <c r="O33"/>
  <c r="L33"/>
  <c r="K33"/>
  <c r="J33"/>
  <c r="H33"/>
  <c r="G33"/>
  <c r="F33"/>
  <c r="D33"/>
  <c r="C33"/>
  <c r="B33"/>
  <c r="T30"/>
  <c r="S30"/>
  <c r="R30"/>
  <c r="P30"/>
  <c r="O30"/>
  <c r="N30"/>
  <c r="L30"/>
  <c r="K30"/>
  <c r="H30"/>
  <c r="G30"/>
  <c r="D30"/>
  <c r="C30"/>
  <c r="B30"/>
  <c r="T27"/>
  <c r="S27"/>
  <c r="R27"/>
  <c r="P27"/>
  <c r="O27"/>
  <c r="L27"/>
  <c r="K27"/>
  <c r="J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K21"/>
  <c r="H21"/>
  <c r="G21"/>
  <c r="F21"/>
  <c r="D21"/>
  <c r="C21"/>
  <c r="B21"/>
  <c r="S18"/>
  <c r="P18"/>
  <c r="O18"/>
  <c r="N18"/>
  <c r="L18"/>
  <c r="K18"/>
  <c r="J18"/>
  <c r="H18"/>
  <c r="G18"/>
  <c r="D18"/>
  <c r="C18"/>
  <c r="B18"/>
  <c r="T15"/>
  <c r="S15"/>
  <c r="R15"/>
  <c r="P15"/>
  <c r="O15"/>
  <c r="N15"/>
  <c r="L15"/>
  <c r="K15"/>
  <c r="J15"/>
  <c r="H15"/>
  <c r="G15"/>
  <c r="D15"/>
  <c r="C15"/>
  <c r="B15"/>
  <c r="T12"/>
  <c r="S12"/>
  <c r="R12"/>
  <c r="O12"/>
  <c r="L12"/>
  <c r="K12"/>
  <c r="J12"/>
  <c r="G12"/>
  <c r="D12"/>
  <c r="C12"/>
  <c r="T9"/>
  <c r="S9"/>
  <c r="R9"/>
  <c r="P9"/>
  <c r="O9"/>
  <c r="N9"/>
  <c r="L9"/>
  <c r="K9"/>
  <c r="H9"/>
  <c r="G9"/>
  <c r="F9"/>
  <c r="C9"/>
  <c r="T6"/>
  <c r="S6"/>
  <c r="P6"/>
  <c r="O6"/>
  <c r="L6"/>
  <c r="K6"/>
  <c r="J6"/>
  <c r="H6"/>
  <c r="G6"/>
  <c r="D6"/>
  <c r="C6"/>
  <c r="B6"/>
  <c r="T3"/>
  <c r="S3"/>
  <c r="P3"/>
  <c r="O3"/>
  <c r="N3"/>
  <c r="L3"/>
  <c r="K3"/>
  <c r="H3"/>
  <c r="G3"/>
  <c r="F3"/>
  <c r="D3"/>
  <c r="C3"/>
  <c r="T42" i="29"/>
  <c r="S42"/>
  <c r="R42"/>
  <c r="P42"/>
  <c r="O42"/>
  <c r="N42"/>
  <c r="L42"/>
  <c r="K42"/>
  <c r="H42"/>
  <c r="G42"/>
  <c r="F42"/>
  <c r="D42"/>
  <c r="C42"/>
  <c r="B42"/>
  <c r="T39"/>
  <c r="S39"/>
  <c r="R39"/>
  <c r="P39"/>
  <c r="O39"/>
  <c r="N39"/>
  <c r="L39"/>
  <c r="K39"/>
  <c r="J39"/>
  <c r="H39"/>
  <c r="G39"/>
  <c r="D39"/>
  <c r="C39"/>
  <c r="B39"/>
  <c r="T36"/>
  <c r="S36"/>
  <c r="P36"/>
  <c r="O36"/>
  <c r="K36"/>
  <c r="G36"/>
  <c r="D36"/>
  <c r="C36"/>
  <c r="B36"/>
  <c r="T33"/>
  <c r="S33"/>
  <c r="R33"/>
  <c r="P33"/>
  <c r="O33"/>
  <c r="N33"/>
  <c r="L33"/>
  <c r="K33"/>
  <c r="H33"/>
  <c r="G33"/>
  <c r="F33"/>
  <c r="D33"/>
  <c r="C33"/>
  <c r="B33"/>
  <c r="T30"/>
  <c r="S30"/>
  <c r="R30"/>
  <c r="P30"/>
  <c r="O30"/>
  <c r="N30"/>
  <c r="L30"/>
  <c r="K30"/>
  <c r="H30"/>
  <c r="G30"/>
  <c r="D30"/>
  <c r="C30"/>
  <c r="B30"/>
  <c r="T27"/>
  <c r="S27"/>
  <c r="R27"/>
  <c r="P27"/>
  <c r="O27"/>
  <c r="N27"/>
  <c r="L27"/>
  <c r="K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K21"/>
  <c r="H21"/>
  <c r="G21"/>
  <c r="F21"/>
  <c r="D21"/>
  <c r="C21"/>
  <c r="B21"/>
  <c r="S18"/>
  <c r="P18"/>
  <c r="O18"/>
  <c r="N18"/>
  <c r="L18"/>
  <c r="K18"/>
  <c r="J18"/>
  <c r="H18"/>
  <c r="G18"/>
  <c r="D18"/>
  <c r="C18"/>
  <c r="B18"/>
  <c r="T15"/>
  <c r="S15"/>
  <c r="R15"/>
  <c r="P15"/>
  <c r="O15"/>
  <c r="N15"/>
  <c r="L15"/>
  <c r="K15"/>
  <c r="J15"/>
  <c r="H15"/>
  <c r="G15"/>
  <c r="D15"/>
  <c r="C15"/>
  <c r="B15"/>
  <c r="T12"/>
  <c r="S12"/>
  <c r="R12"/>
  <c r="O12"/>
  <c r="L12"/>
  <c r="K12"/>
  <c r="J12"/>
  <c r="G12"/>
  <c r="D12"/>
  <c r="C12"/>
  <c r="T9"/>
  <c r="S9"/>
  <c r="R9"/>
  <c r="P9"/>
  <c r="O9"/>
  <c r="N9"/>
  <c r="L9"/>
  <c r="K9"/>
  <c r="H9"/>
  <c r="G9"/>
  <c r="F9"/>
  <c r="C9"/>
  <c r="T6"/>
  <c r="S6"/>
  <c r="P6"/>
  <c r="O6"/>
  <c r="L6"/>
  <c r="K6"/>
  <c r="J6"/>
  <c r="H6"/>
  <c r="G6"/>
  <c r="D6"/>
  <c r="C6"/>
  <c r="B6"/>
  <c r="T3"/>
  <c r="S3"/>
  <c r="P3"/>
  <c r="O3"/>
  <c r="N3"/>
  <c r="L3"/>
  <c r="K3"/>
  <c r="H3"/>
  <c r="G3"/>
  <c r="F3"/>
  <c r="D3"/>
  <c r="C3"/>
  <c r="T42" i="28"/>
  <c r="S42"/>
  <c r="R42"/>
  <c r="P42"/>
  <c r="O42"/>
  <c r="N42"/>
  <c r="L42"/>
  <c r="K42"/>
  <c r="J42"/>
  <c r="H42"/>
  <c r="G42"/>
  <c r="F42"/>
  <c r="D42"/>
  <c r="C42"/>
  <c r="B42"/>
  <c r="T39"/>
  <c r="S39"/>
  <c r="R39"/>
  <c r="P39"/>
  <c r="O39"/>
  <c r="N39"/>
  <c r="L39"/>
  <c r="K39"/>
  <c r="J39"/>
  <c r="H39"/>
  <c r="G39"/>
  <c r="F39"/>
  <c r="D39"/>
  <c r="C39"/>
  <c r="B39"/>
  <c r="T36"/>
  <c r="S36"/>
  <c r="R36"/>
  <c r="P36"/>
  <c r="O36"/>
  <c r="N36"/>
  <c r="L36"/>
  <c r="K36"/>
  <c r="J36"/>
  <c r="H36"/>
  <c r="G36"/>
  <c r="F36"/>
  <c r="D36"/>
  <c r="C36"/>
  <c r="B36"/>
  <c r="T33"/>
  <c r="S33"/>
  <c r="R33"/>
  <c r="P33"/>
  <c r="O33"/>
  <c r="N33"/>
  <c r="L33"/>
  <c r="K33"/>
  <c r="J33"/>
  <c r="H33"/>
  <c r="G33"/>
  <c r="F33"/>
  <c r="D33"/>
  <c r="C33"/>
  <c r="B33"/>
  <c r="T30"/>
  <c r="S30"/>
  <c r="R30"/>
  <c r="P30"/>
  <c r="O30"/>
  <c r="N30"/>
  <c r="L30"/>
  <c r="K30"/>
  <c r="J30"/>
  <c r="H30"/>
  <c r="G30"/>
  <c r="F30"/>
  <c r="D30"/>
  <c r="C30"/>
  <c r="B30"/>
  <c r="T27"/>
  <c r="S27"/>
  <c r="R27"/>
  <c r="P27"/>
  <c r="O27"/>
  <c r="N27"/>
  <c r="L27"/>
  <c r="K27"/>
  <c r="J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K21"/>
  <c r="H21"/>
  <c r="G21"/>
  <c r="F21"/>
  <c r="D21"/>
  <c r="C21"/>
  <c r="B21"/>
  <c r="S18"/>
  <c r="P18"/>
  <c r="O18"/>
  <c r="N18"/>
  <c r="L18"/>
  <c r="K18"/>
  <c r="J18"/>
  <c r="H18"/>
  <c r="G18"/>
  <c r="D18"/>
  <c r="C18"/>
  <c r="B18"/>
  <c r="T15"/>
  <c r="S15"/>
  <c r="R15"/>
  <c r="P15"/>
  <c r="O15"/>
  <c r="N15"/>
  <c r="L15"/>
  <c r="K15"/>
  <c r="J15"/>
  <c r="H15"/>
  <c r="G15"/>
  <c r="D15"/>
  <c r="C15"/>
  <c r="B15"/>
  <c r="T12"/>
  <c r="S12"/>
  <c r="R12"/>
  <c r="O12"/>
  <c r="L12"/>
  <c r="K12"/>
  <c r="J12"/>
  <c r="G12"/>
  <c r="D12"/>
  <c r="C12"/>
  <c r="T9"/>
  <c r="S9"/>
  <c r="R9"/>
  <c r="P9"/>
  <c r="O9"/>
  <c r="N9"/>
  <c r="L9"/>
  <c r="K9"/>
  <c r="H9"/>
  <c r="G9"/>
  <c r="F9"/>
  <c r="C9"/>
  <c r="T6"/>
  <c r="S6"/>
  <c r="P6"/>
  <c r="O6"/>
  <c r="L6"/>
  <c r="K6"/>
  <c r="J6"/>
  <c r="H6"/>
  <c r="G6"/>
  <c r="D6"/>
  <c r="C6"/>
  <c r="B6"/>
  <c r="T3"/>
  <c r="S3"/>
  <c r="P3"/>
  <c r="O3"/>
  <c r="N3"/>
  <c r="L3"/>
  <c r="K3"/>
  <c r="H3"/>
  <c r="G3"/>
  <c r="F3"/>
  <c r="D3"/>
  <c r="C3"/>
  <c r="S36" i="27"/>
  <c r="T42"/>
  <c r="S42"/>
  <c r="R42"/>
  <c r="P42"/>
  <c r="O42"/>
  <c r="N42"/>
  <c r="L42"/>
  <c r="K42"/>
  <c r="H42"/>
  <c r="G42"/>
  <c r="F42"/>
  <c r="D42"/>
  <c r="C42"/>
  <c r="B42"/>
  <c r="T39"/>
  <c r="S39"/>
  <c r="R39"/>
  <c r="P39"/>
  <c r="O39"/>
  <c r="N39"/>
  <c r="L39"/>
  <c r="K39"/>
  <c r="J39"/>
  <c r="H39"/>
  <c r="G39"/>
  <c r="D39"/>
  <c r="C39"/>
  <c r="B39"/>
  <c r="O36"/>
  <c r="L36"/>
  <c r="K36"/>
  <c r="H36"/>
  <c r="G36"/>
  <c r="F36"/>
  <c r="D36"/>
  <c r="C36"/>
  <c r="T33"/>
  <c r="S33"/>
  <c r="R33"/>
  <c r="P33"/>
  <c r="O33"/>
  <c r="N33"/>
  <c r="L33"/>
  <c r="K33"/>
  <c r="H33"/>
  <c r="G33"/>
  <c r="F33"/>
  <c r="D33"/>
  <c r="C33"/>
  <c r="B33"/>
  <c r="T30"/>
  <c r="S30"/>
  <c r="R30"/>
  <c r="P30"/>
  <c r="O30"/>
  <c r="L30"/>
  <c r="K30"/>
  <c r="H30"/>
  <c r="G30"/>
  <c r="F30"/>
  <c r="D30"/>
  <c r="C30"/>
  <c r="B30"/>
  <c r="T27"/>
  <c r="S27"/>
  <c r="R27"/>
  <c r="P27"/>
  <c r="O27"/>
  <c r="N27"/>
  <c r="L27"/>
  <c r="K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K21"/>
  <c r="H21"/>
  <c r="G21"/>
  <c r="F21"/>
  <c r="D21"/>
  <c r="C21"/>
  <c r="B21"/>
  <c r="T18"/>
  <c r="S18"/>
  <c r="P18"/>
  <c r="O18"/>
  <c r="N18"/>
  <c r="L18"/>
  <c r="K18"/>
  <c r="J18"/>
  <c r="H18"/>
  <c r="G18"/>
  <c r="D18"/>
  <c r="C18"/>
  <c r="T15"/>
  <c r="S15"/>
  <c r="R15"/>
  <c r="O15"/>
  <c r="L15"/>
  <c r="K15"/>
  <c r="J15"/>
  <c r="H15"/>
  <c r="G15"/>
  <c r="F15"/>
  <c r="D15"/>
  <c r="C15"/>
  <c r="T12"/>
  <c r="S12"/>
  <c r="R12"/>
  <c r="P12"/>
  <c r="O12"/>
  <c r="N12"/>
  <c r="L12"/>
  <c r="K12"/>
  <c r="J12"/>
  <c r="H12"/>
  <c r="G12"/>
  <c r="F12"/>
  <c r="C12"/>
  <c r="T9"/>
  <c r="S9"/>
  <c r="R9"/>
  <c r="P9"/>
  <c r="O9"/>
  <c r="L9"/>
  <c r="K9"/>
  <c r="J9"/>
  <c r="G9"/>
  <c r="D9"/>
  <c r="C9"/>
  <c r="B9"/>
  <c r="T6"/>
  <c r="S6"/>
  <c r="P6"/>
  <c r="O6"/>
  <c r="N6"/>
  <c r="L6"/>
  <c r="K6"/>
  <c r="H6"/>
  <c r="G6"/>
  <c r="F6"/>
  <c r="D6"/>
  <c r="C6"/>
  <c r="T3"/>
  <c r="S3"/>
  <c r="P3"/>
  <c r="O3"/>
  <c r="N3"/>
  <c r="L3"/>
  <c r="K3"/>
  <c r="H3"/>
  <c r="G3"/>
  <c r="D3"/>
  <c r="C3"/>
  <c r="B3"/>
  <c r="T42" i="26"/>
  <c r="S42"/>
  <c r="R42"/>
  <c r="P42"/>
  <c r="O42"/>
  <c r="L42"/>
  <c r="K42"/>
  <c r="J42"/>
  <c r="H42"/>
  <c r="G42"/>
  <c r="F42"/>
  <c r="D42"/>
  <c r="C42"/>
  <c r="B42"/>
  <c r="T39"/>
  <c r="S39"/>
  <c r="R39"/>
  <c r="P39"/>
  <c r="O39"/>
  <c r="N39"/>
  <c r="L39"/>
  <c r="K39"/>
  <c r="J39"/>
  <c r="H39"/>
  <c r="G39"/>
  <c r="D39"/>
  <c r="C39"/>
  <c r="B39"/>
  <c r="S36"/>
  <c r="P36"/>
  <c r="O36"/>
  <c r="N36"/>
  <c r="L36"/>
  <c r="K36"/>
  <c r="G36"/>
  <c r="D36"/>
  <c r="C36"/>
  <c r="B36"/>
  <c r="T33"/>
  <c r="S33"/>
  <c r="R33"/>
  <c r="P33"/>
  <c r="O33"/>
  <c r="L33"/>
  <c r="K33"/>
  <c r="J33"/>
  <c r="H33"/>
  <c r="G33"/>
  <c r="F33"/>
  <c r="D33"/>
  <c r="C33"/>
  <c r="B33"/>
  <c r="T30"/>
  <c r="S30"/>
  <c r="R30"/>
  <c r="P30"/>
  <c r="O30"/>
  <c r="N30"/>
  <c r="L30"/>
  <c r="K30"/>
  <c r="H30"/>
  <c r="G30"/>
  <c r="D30"/>
  <c r="C30"/>
  <c r="B30"/>
  <c r="T27"/>
  <c r="S27"/>
  <c r="R27"/>
  <c r="O27"/>
  <c r="L27"/>
  <c r="K27"/>
  <c r="J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K21"/>
  <c r="H21"/>
  <c r="G21"/>
  <c r="F21"/>
  <c r="D21"/>
  <c r="C21"/>
  <c r="B21"/>
  <c r="T18"/>
  <c r="S18"/>
  <c r="P18"/>
  <c r="O18"/>
  <c r="N18"/>
  <c r="L18"/>
  <c r="K18"/>
  <c r="J18"/>
  <c r="H18"/>
  <c r="G18"/>
  <c r="D18"/>
  <c r="C18"/>
  <c r="T15"/>
  <c r="S15"/>
  <c r="R15"/>
  <c r="O15"/>
  <c r="L15"/>
  <c r="K15"/>
  <c r="J15"/>
  <c r="H15"/>
  <c r="G15"/>
  <c r="F15"/>
  <c r="D15"/>
  <c r="C15"/>
  <c r="T12"/>
  <c r="S12"/>
  <c r="R12"/>
  <c r="P12"/>
  <c r="O12"/>
  <c r="N12"/>
  <c r="L12"/>
  <c r="K12"/>
  <c r="J12"/>
  <c r="H12"/>
  <c r="G12"/>
  <c r="F12"/>
  <c r="C12"/>
  <c r="T9"/>
  <c r="S9"/>
  <c r="R9"/>
  <c r="P9"/>
  <c r="O9"/>
  <c r="L9"/>
  <c r="K9"/>
  <c r="J9"/>
  <c r="G9"/>
  <c r="D9"/>
  <c r="C9"/>
  <c r="B9"/>
  <c r="T6"/>
  <c r="S6"/>
  <c r="P6"/>
  <c r="O6"/>
  <c r="N6"/>
  <c r="L6"/>
  <c r="K6"/>
  <c r="H6"/>
  <c r="G6"/>
  <c r="F6"/>
  <c r="D6"/>
  <c r="C6"/>
  <c r="T3"/>
  <c r="S3"/>
  <c r="P3"/>
  <c r="O3"/>
  <c r="N3"/>
  <c r="L3"/>
  <c r="K3"/>
  <c r="H3"/>
  <c r="G3"/>
  <c r="D3"/>
  <c r="C3"/>
  <c r="B3"/>
  <c r="T42" i="25"/>
  <c r="S42"/>
  <c r="R42"/>
  <c r="P42"/>
  <c r="O42"/>
  <c r="N42"/>
  <c r="L42"/>
  <c r="K42"/>
  <c r="J42"/>
  <c r="H42"/>
  <c r="G42"/>
  <c r="F42"/>
  <c r="D42"/>
  <c r="C42"/>
  <c r="B42"/>
  <c r="T39"/>
  <c r="S39"/>
  <c r="R39"/>
  <c r="P39"/>
  <c r="O39"/>
  <c r="N39"/>
  <c r="L39"/>
  <c r="K39"/>
  <c r="J39"/>
  <c r="H39"/>
  <c r="G39"/>
  <c r="F39"/>
  <c r="D39"/>
  <c r="C39"/>
  <c r="B39"/>
  <c r="T36"/>
  <c r="S36"/>
  <c r="R36"/>
  <c r="P36"/>
  <c r="O36"/>
  <c r="N36"/>
  <c r="L36"/>
  <c r="K36"/>
  <c r="J36"/>
  <c r="H36"/>
  <c r="G36"/>
  <c r="F36"/>
  <c r="D36"/>
  <c r="C36"/>
  <c r="B36"/>
  <c r="T33"/>
  <c r="S33"/>
  <c r="R33"/>
  <c r="P33"/>
  <c r="O33"/>
  <c r="N33"/>
  <c r="L33"/>
  <c r="K33"/>
  <c r="J33"/>
  <c r="H33"/>
  <c r="G33"/>
  <c r="F33"/>
  <c r="D33"/>
  <c r="C33"/>
  <c r="B33"/>
  <c r="T30"/>
  <c r="S30"/>
  <c r="R30"/>
  <c r="P30"/>
  <c r="O30"/>
  <c r="N30"/>
  <c r="L30"/>
  <c r="K30"/>
  <c r="J30"/>
  <c r="H30"/>
  <c r="G30"/>
  <c r="F30"/>
  <c r="D30"/>
  <c r="C30"/>
  <c r="B30"/>
  <c r="T27"/>
  <c r="S27"/>
  <c r="R27"/>
  <c r="P27"/>
  <c r="O27"/>
  <c r="N27"/>
  <c r="L27"/>
  <c r="K27"/>
  <c r="J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K21"/>
  <c r="H21"/>
  <c r="G21"/>
  <c r="F21"/>
  <c r="D21"/>
  <c r="C21"/>
  <c r="B21"/>
  <c r="T18"/>
  <c r="S18"/>
  <c r="P18"/>
  <c r="O18"/>
  <c r="N18"/>
  <c r="L18"/>
  <c r="K18"/>
  <c r="J18"/>
  <c r="H18"/>
  <c r="G18"/>
  <c r="D18"/>
  <c r="C18"/>
  <c r="T15"/>
  <c r="S15"/>
  <c r="R15"/>
  <c r="O15"/>
  <c r="L15"/>
  <c r="K15"/>
  <c r="J15"/>
  <c r="H15"/>
  <c r="G15"/>
  <c r="F15"/>
  <c r="D15"/>
  <c r="C15"/>
  <c r="T12"/>
  <c r="S12"/>
  <c r="R12"/>
  <c r="P12"/>
  <c r="O12"/>
  <c r="N12"/>
  <c r="L12"/>
  <c r="K12"/>
  <c r="J12"/>
  <c r="H12"/>
  <c r="G12"/>
  <c r="F12"/>
  <c r="C12"/>
  <c r="T9"/>
  <c r="S9"/>
  <c r="R9"/>
  <c r="P9"/>
  <c r="O9"/>
  <c r="L9"/>
  <c r="K9"/>
  <c r="J9"/>
  <c r="G9"/>
  <c r="D9"/>
  <c r="C9"/>
  <c r="B9"/>
  <c r="T6"/>
  <c r="S6"/>
  <c r="P6"/>
  <c r="O6"/>
  <c r="N6"/>
  <c r="L6"/>
  <c r="K6"/>
  <c r="H6"/>
  <c r="G6"/>
  <c r="F6"/>
  <c r="D6"/>
  <c r="C6"/>
  <c r="T3"/>
  <c r="S3"/>
  <c r="P3"/>
  <c r="O3"/>
  <c r="N3"/>
  <c r="L3"/>
  <c r="K3"/>
  <c r="H3"/>
  <c r="G3"/>
  <c r="D3"/>
  <c r="C3"/>
  <c r="B3"/>
  <c r="D30" i="23"/>
  <c r="C30"/>
  <c r="T42" i="24"/>
  <c r="S42"/>
  <c r="R42"/>
  <c r="P42"/>
  <c r="O42"/>
  <c r="L42"/>
  <c r="K42"/>
  <c r="J42"/>
  <c r="H42"/>
  <c r="G42"/>
  <c r="F42"/>
  <c r="D42"/>
  <c r="C42"/>
  <c r="B42"/>
  <c r="T39"/>
  <c r="S39"/>
  <c r="R39"/>
  <c r="P39"/>
  <c r="O39"/>
  <c r="N39"/>
  <c r="L39"/>
  <c r="K39"/>
  <c r="J39"/>
  <c r="H39"/>
  <c r="G39"/>
  <c r="D39"/>
  <c r="C39"/>
  <c r="B39"/>
  <c r="T36"/>
  <c r="S36"/>
  <c r="P36"/>
  <c r="O36"/>
  <c r="N36"/>
  <c r="L36"/>
  <c r="K36"/>
  <c r="G36"/>
  <c r="C36"/>
  <c r="T33"/>
  <c r="S33"/>
  <c r="R33"/>
  <c r="O33"/>
  <c r="L33"/>
  <c r="K33"/>
  <c r="J33"/>
  <c r="H33"/>
  <c r="G33"/>
  <c r="F33"/>
  <c r="D33"/>
  <c r="C33"/>
  <c r="B33"/>
  <c r="T30"/>
  <c r="S30"/>
  <c r="R30"/>
  <c r="P30"/>
  <c r="O30"/>
  <c r="N30"/>
  <c r="L30"/>
  <c r="K30"/>
  <c r="H30"/>
  <c r="G30"/>
  <c r="D30"/>
  <c r="C30"/>
  <c r="T27"/>
  <c r="S27"/>
  <c r="R27"/>
  <c r="P27"/>
  <c r="O27"/>
  <c r="L27"/>
  <c r="K27"/>
  <c r="J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L21"/>
  <c r="K21"/>
  <c r="H21"/>
  <c r="G21"/>
  <c r="F21"/>
  <c r="D21"/>
  <c r="C21"/>
  <c r="B21"/>
  <c r="S18"/>
  <c r="P18"/>
  <c r="O18"/>
  <c r="N18"/>
  <c r="L18"/>
  <c r="K18"/>
  <c r="J18"/>
  <c r="H18"/>
  <c r="G18"/>
  <c r="C18"/>
  <c r="T15"/>
  <c r="S15"/>
  <c r="R15"/>
  <c r="P15"/>
  <c r="O15"/>
  <c r="N15"/>
  <c r="K15"/>
  <c r="H15"/>
  <c r="G15"/>
  <c r="D15"/>
  <c r="C15"/>
  <c r="B15"/>
  <c r="T12"/>
  <c r="S12"/>
  <c r="R12"/>
  <c r="P12"/>
  <c r="O12"/>
  <c r="N12"/>
  <c r="L12"/>
  <c r="K12"/>
  <c r="J12"/>
  <c r="G12"/>
  <c r="D12"/>
  <c r="C12"/>
  <c r="B12"/>
  <c r="T9"/>
  <c r="S9"/>
  <c r="R9"/>
  <c r="P9"/>
  <c r="O9"/>
  <c r="N9"/>
  <c r="L9"/>
  <c r="K9"/>
  <c r="H9"/>
  <c r="G9"/>
  <c r="F9"/>
  <c r="C9"/>
  <c r="T6"/>
  <c r="S6"/>
  <c r="P6"/>
  <c r="O6"/>
  <c r="L6"/>
  <c r="K6"/>
  <c r="J6"/>
  <c r="H6"/>
  <c r="G6"/>
  <c r="F6"/>
  <c r="D6"/>
  <c r="C6"/>
  <c r="T3"/>
  <c r="S3"/>
  <c r="P3"/>
  <c r="O3"/>
  <c r="L3"/>
  <c r="K3"/>
  <c r="J3"/>
  <c r="H3"/>
  <c r="G3"/>
  <c r="D3"/>
  <c r="C3"/>
  <c r="B3"/>
  <c r="T42" i="23"/>
  <c r="S42"/>
  <c r="R42"/>
  <c r="P42"/>
  <c r="O42"/>
  <c r="N42"/>
  <c r="L42"/>
  <c r="K42"/>
  <c r="H42"/>
  <c r="G42"/>
  <c r="F42"/>
  <c r="D42"/>
  <c r="C42"/>
  <c r="B42"/>
  <c r="T39"/>
  <c r="S39"/>
  <c r="R39"/>
  <c r="P39"/>
  <c r="O39"/>
  <c r="N39"/>
  <c r="L39"/>
  <c r="K39"/>
  <c r="J39"/>
  <c r="H39"/>
  <c r="G39"/>
  <c r="D39"/>
  <c r="C39"/>
  <c r="B39"/>
  <c r="T36"/>
  <c r="S36"/>
  <c r="P36"/>
  <c r="O36"/>
  <c r="L36"/>
  <c r="K36"/>
  <c r="J36"/>
  <c r="G36"/>
  <c r="C36"/>
  <c r="T33"/>
  <c r="S33"/>
  <c r="R33"/>
  <c r="P33"/>
  <c r="O33"/>
  <c r="N33"/>
  <c r="L33"/>
  <c r="K33"/>
  <c r="H33"/>
  <c r="G33"/>
  <c r="F33"/>
  <c r="D33"/>
  <c r="C33"/>
  <c r="B33"/>
  <c r="T30"/>
  <c r="S30"/>
  <c r="R30"/>
  <c r="P30"/>
  <c r="O30"/>
  <c r="L30"/>
  <c r="K30"/>
  <c r="J30"/>
  <c r="H30"/>
  <c r="G30"/>
  <c r="T27"/>
  <c r="S27"/>
  <c r="R27"/>
  <c r="P27"/>
  <c r="O27"/>
  <c r="N27"/>
  <c r="K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L21"/>
  <c r="K21"/>
  <c r="H21"/>
  <c r="G21"/>
  <c r="F21"/>
  <c r="D21"/>
  <c r="C21"/>
  <c r="B21"/>
  <c r="S18"/>
  <c r="P18"/>
  <c r="O18"/>
  <c r="N18"/>
  <c r="L18"/>
  <c r="K18"/>
  <c r="J18"/>
  <c r="H18"/>
  <c r="G18"/>
  <c r="C18"/>
  <c r="T15"/>
  <c r="S15"/>
  <c r="R15"/>
  <c r="P15"/>
  <c r="O15"/>
  <c r="N15"/>
  <c r="K15"/>
  <c r="H15"/>
  <c r="G15"/>
  <c r="D15"/>
  <c r="C15"/>
  <c r="B15"/>
  <c r="T12"/>
  <c r="S12"/>
  <c r="R12"/>
  <c r="P12"/>
  <c r="O12"/>
  <c r="N12"/>
  <c r="L12"/>
  <c r="K12"/>
  <c r="J12"/>
  <c r="G12"/>
  <c r="D12"/>
  <c r="C12"/>
  <c r="B12"/>
  <c r="T9"/>
  <c r="S9"/>
  <c r="R9"/>
  <c r="P9"/>
  <c r="O9"/>
  <c r="N9"/>
  <c r="L9"/>
  <c r="K9"/>
  <c r="H9"/>
  <c r="G9"/>
  <c r="F9"/>
  <c r="C9"/>
  <c r="T6"/>
  <c r="S6"/>
  <c r="P6"/>
  <c r="O6"/>
  <c r="L6"/>
  <c r="K6"/>
  <c r="J6"/>
  <c r="H6"/>
  <c r="G6"/>
  <c r="F6"/>
  <c r="D6"/>
  <c r="C6"/>
  <c r="T3"/>
  <c r="S3"/>
  <c r="P3"/>
  <c r="O3"/>
  <c r="L3"/>
  <c r="K3"/>
  <c r="J3"/>
  <c r="H3"/>
  <c r="G3"/>
  <c r="D3"/>
  <c r="C3"/>
  <c r="B3"/>
  <c r="T42" i="22"/>
  <c r="S42"/>
  <c r="R42"/>
  <c r="P42"/>
  <c r="O42"/>
  <c r="N42"/>
  <c r="L42"/>
  <c r="K42"/>
  <c r="J42"/>
  <c r="H42"/>
  <c r="G42"/>
  <c r="F42"/>
  <c r="D42"/>
  <c r="C42"/>
  <c r="B42"/>
  <c r="T39"/>
  <c r="S39"/>
  <c r="R39"/>
  <c r="P39"/>
  <c r="O39"/>
  <c r="N39"/>
  <c r="L39"/>
  <c r="K39"/>
  <c r="J39"/>
  <c r="H39"/>
  <c r="G39"/>
  <c r="F39"/>
  <c r="D39"/>
  <c r="C39"/>
  <c r="B39"/>
  <c r="T36"/>
  <c r="S36"/>
  <c r="R36"/>
  <c r="P36"/>
  <c r="O36"/>
  <c r="N36"/>
  <c r="L36"/>
  <c r="K36"/>
  <c r="J36"/>
  <c r="H36"/>
  <c r="G36"/>
  <c r="F36"/>
  <c r="D36"/>
  <c r="C36"/>
  <c r="B36"/>
  <c r="T33"/>
  <c r="S33"/>
  <c r="R33"/>
  <c r="P33"/>
  <c r="O33"/>
  <c r="N33"/>
  <c r="L33"/>
  <c r="K33"/>
  <c r="J33"/>
  <c r="H33"/>
  <c r="G33"/>
  <c r="F33"/>
  <c r="D33"/>
  <c r="C33"/>
  <c r="B33"/>
  <c r="T30"/>
  <c r="S30"/>
  <c r="R30"/>
  <c r="P30"/>
  <c r="O30"/>
  <c r="N30"/>
  <c r="L30"/>
  <c r="K30"/>
  <c r="J30"/>
  <c r="H30"/>
  <c r="G30"/>
  <c r="F30"/>
  <c r="D30"/>
  <c r="C30"/>
  <c r="B30"/>
  <c r="T27"/>
  <c r="S27"/>
  <c r="R27"/>
  <c r="P27"/>
  <c r="O27"/>
  <c r="N27"/>
  <c r="L27"/>
  <c r="K27"/>
  <c r="J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L21"/>
  <c r="K21"/>
  <c r="H21"/>
  <c r="G21"/>
  <c r="F21"/>
  <c r="D21"/>
  <c r="C21"/>
  <c r="B21"/>
  <c r="S18"/>
  <c r="P18"/>
  <c r="O18"/>
  <c r="N18"/>
  <c r="L18"/>
  <c r="K18"/>
  <c r="J18"/>
  <c r="H18"/>
  <c r="G18"/>
  <c r="C18"/>
  <c r="T15"/>
  <c r="S15"/>
  <c r="R15"/>
  <c r="P15"/>
  <c r="O15"/>
  <c r="N15"/>
  <c r="K15"/>
  <c r="H15"/>
  <c r="G15"/>
  <c r="D15"/>
  <c r="C15"/>
  <c r="B15"/>
  <c r="T12"/>
  <c r="S12"/>
  <c r="R12"/>
  <c r="P12"/>
  <c r="O12"/>
  <c r="N12"/>
  <c r="L12"/>
  <c r="K12"/>
  <c r="J12"/>
  <c r="G12"/>
  <c r="D12"/>
  <c r="C12"/>
  <c r="B12"/>
  <c r="T9"/>
  <c r="S9"/>
  <c r="R9"/>
  <c r="P9"/>
  <c r="O9"/>
  <c r="N9"/>
  <c r="L9"/>
  <c r="K9"/>
  <c r="H9"/>
  <c r="G9"/>
  <c r="F9"/>
  <c r="C9"/>
  <c r="T6"/>
  <c r="S6"/>
  <c r="P6"/>
  <c r="O6"/>
  <c r="L6"/>
  <c r="K6"/>
  <c r="J6"/>
  <c r="H6"/>
  <c r="G6"/>
  <c r="F6"/>
  <c r="D6"/>
  <c r="C6"/>
  <c r="T3"/>
  <c r="S3"/>
  <c r="P3"/>
  <c r="O3"/>
  <c r="L3"/>
  <c r="K3"/>
  <c r="J3"/>
  <c r="H3"/>
  <c r="G3"/>
  <c r="D3"/>
  <c r="C3"/>
  <c r="B3"/>
  <c r="T42" i="21"/>
  <c r="S42"/>
  <c r="R42"/>
  <c r="P42"/>
  <c r="O42"/>
  <c r="L42"/>
  <c r="K42"/>
  <c r="J42"/>
  <c r="H42"/>
  <c r="G42"/>
  <c r="F42"/>
  <c r="D42"/>
  <c r="C42"/>
  <c r="B42"/>
  <c r="T39"/>
  <c r="S39"/>
  <c r="R39"/>
  <c r="P39"/>
  <c r="O39"/>
  <c r="N39"/>
  <c r="L39"/>
  <c r="K39"/>
  <c r="J39"/>
  <c r="H39"/>
  <c r="G39"/>
  <c r="D39"/>
  <c r="C39"/>
  <c r="B39"/>
  <c r="T36"/>
  <c r="S36"/>
  <c r="P36"/>
  <c r="O36"/>
  <c r="N36"/>
  <c r="L36"/>
  <c r="K36"/>
  <c r="G36"/>
  <c r="D36"/>
  <c r="C36"/>
  <c r="B36"/>
  <c r="T33"/>
  <c r="S33"/>
  <c r="R33"/>
  <c r="P33"/>
  <c r="O33"/>
  <c r="L33"/>
  <c r="K33"/>
  <c r="J33"/>
  <c r="H33"/>
  <c r="G33"/>
  <c r="F33"/>
  <c r="D33"/>
  <c r="C33"/>
  <c r="B33"/>
  <c r="T30"/>
  <c r="S30"/>
  <c r="R30"/>
  <c r="P30"/>
  <c r="O30"/>
  <c r="N30"/>
  <c r="L30"/>
  <c r="K30"/>
  <c r="H30"/>
  <c r="G30"/>
  <c r="D30"/>
  <c r="C30"/>
  <c r="B30"/>
  <c r="T27"/>
  <c r="S27"/>
  <c r="R27"/>
  <c r="P27"/>
  <c r="O27"/>
  <c r="L27"/>
  <c r="K27"/>
  <c r="J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K21"/>
  <c r="H21"/>
  <c r="G21"/>
  <c r="F21"/>
  <c r="D21"/>
  <c r="C21"/>
  <c r="B21"/>
  <c r="S18"/>
  <c r="P18"/>
  <c r="O18"/>
  <c r="N18"/>
  <c r="L18"/>
  <c r="K18"/>
  <c r="J18"/>
  <c r="H18"/>
  <c r="G18"/>
  <c r="D18"/>
  <c r="C18"/>
  <c r="B18"/>
  <c r="T15"/>
  <c r="S15"/>
  <c r="R15"/>
  <c r="O15"/>
  <c r="L15"/>
  <c r="K15"/>
  <c r="J15"/>
  <c r="H15"/>
  <c r="G15"/>
  <c r="D15"/>
  <c r="C15"/>
  <c r="B15"/>
  <c r="T12"/>
  <c r="S12"/>
  <c r="R12"/>
  <c r="P12"/>
  <c r="O12"/>
  <c r="N12"/>
  <c r="L12"/>
  <c r="K12"/>
  <c r="J12"/>
  <c r="G12"/>
  <c r="D12"/>
  <c r="C12"/>
  <c r="T9"/>
  <c r="S9"/>
  <c r="R9"/>
  <c r="P9"/>
  <c r="O9"/>
  <c r="L9"/>
  <c r="K9"/>
  <c r="J9"/>
  <c r="H9"/>
  <c r="G9"/>
  <c r="F9"/>
  <c r="C9"/>
  <c r="T6"/>
  <c r="S6"/>
  <c r="P6"/>
  <c r="O6"/>
  <c r="N6"/>
  <c r="L6"/>
  <c r="K6"/>
  <c r="H6"/>
  <c r="G6"/>
  <c r="D6"/>
  <c r="C6"/>
  <c r="B6"/>
  <c r="T3"/>
  <c r="S3"/>
  <c r="P3"/>
  <c r="O3"/>
  <c r="N3"/>
  <c r="L3"/>
  <c r="K3"/>
  <c r="H3"/>
  <c r="G3"/>
  <c r="F3"/>
  <c r="D3"/>
  <c r="C3"/>
  <c r="T42" i="20"/>
  <c r="S42"/>
  <c r="R42"/>
  <c r="P42"/>
  <c r="O42"/>
  <c r="N42"/>
  <c r="L42"/>
  <c r="K42"/>
  <c r="H42"/>
  <c r="G42"/>
  <c r="F42"/>
  <c r="D42"/>
  <c r="C42"/>
  <c r="B42"/>
  <c r="T39"/>
  <c r="S39"/>
  <c r="R39"/>
  <c r="P39"/>
  <c r="O39"/>
  <c r="N39"/>
  <c r="L39"/>
  <c r="K39"/>
  <c r="J39"/>
  <c r="H39"/>
  <c r="G39"/>
  <c r="D39"/>
  <c r="C39"/>
  <c r="B39"/>
  <c r="T36"/>
  <c r="S36"/>
  <c r="P36"/>
  <c r="O36"/>
  <c r="N36"/>
  <c r="L36"/>
  <c r="K36"/>
  <c r="G36"/>
  <c r="D36"/>
  <c r="C36"/>
  <c r="B36"/>
  <c r="T33"/>
  <c r="S33"/>
  <c r="R33"/>
  <c r="P33"/>
  <c r="O33"/>
  <c r="N33"/>
  <c r="L33"/>
  <c r="K33"/>
  <c r="H33"/>
  <c r="G33"/>
  <c r="F33"/>
  <c r="D33"/>
  <c r="C33"/>
  <c r="B33"/>
  <c r="T30"/>
  <c r="S30"/>
  <c r="R30"/>
  <c r="P30"/>
  <c r="O30"/>
  <c r="N30"/>
  <c r="L30"/>
  <c r="K30"/>
  <c r="H30"/>
  <c r="G30"/>
  <c r="D30"/>
  <c r="C30"/>
  <c r="B30"/>
  <c r="T27"/>
  <c r="S27"/>
  <c r="R27"/>
  <c r="P27"/>
  <c r="O27"/>
  <c r="N27"/>
  <c r="L27"/>
  <c r="K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K21"/>
  <c r="H21"/>
  <c r="G21"/>
  <c r="F21"/>
  <c r="D21"/>
  <c r="C21"/>
  <c r="B21"/>
  <c r="S18"/>
  <c r="P18"/>
  <c r="O18"/>
  <c r="N18"/>
  <c r="L18"/>
  <c r="K18"/>
  <c r="J18"/>
  <c r="H18"/>
  <c r="G18"/>
  <c r="D18"/>
  <c r="C18"/>
  <c r="B18"/>
  <c r="T15"/>
  <c r="S15"/>
  <c r="R15"/>
  <c r="O15"/>
  <c r="L15"/>
  <c r="K15"/>
  <c r="J15"/>
  <c r="H15"/>
  <c r="G15"/>
  <c r="D15"/>
  <c r="C15"/>
  <c r="B15"/>
  <c r="T12"/>
  <c r="S12"/>
  <c r="R12"/>
  <c r="P12"/>
  <c r="O12"/>
  <c r="N12"/>
  <c r="L12"/>
  <c r="K12"/>
  <c r="J12"/>
  <c r="G12"/>
  <c r="D12"/>
  <c r="C12"/>
  <c r="T9"/>
  <c r="S9"/>
  <c r="R9"/>
  <c r="P9"/>
  <c r="O9"/>
  <c r="L9"/>
  <c r="K9"/>
  <c r="J9"/>
  <c r="H9"/>
  <c r="G9"/>
  <c r="F9"/>
  <c r="C9"/>
  <c r="T6"/>
  <c r="S6"/>
  <c r="P6"/>
  <c r="O6"/>
  <c r="N6"/>
  <c r="L6"/>
  <c r="K6"/>
  <c r="H6"/>
  <c r="G6"/>
  <c r="D6"/>
  <c r="C6"/>
  <c r="B6"/>
  <c r="T3"/>
  <c r="S3"/>
  <c r="P3"/>
  <c r="O3"/>
  <c r="N3"/>
  <c r="L3"/>
  <c r="K3"/>
  <c r="H3"/>
  <c r="G3"/>
  <c r="F3"/>
  <c r="D3"/>
  <c r="C3"/>
  <c r="T42" i="19"/>
  <c r="S42"/>
  <c r="R42"/>
  <c r="P42"/>
  <c r="O42"/>
  <c r="N42"/>
  <c r="L42"/>
  <c r="K42"/>
  <c r="J42"/>
  <c r="H42"/>
  <c r="G42"/>
  <c r="F42"/>
  <c r="D42"/>
  <c r="C42"/>
  <c r="B42"/>
  <c r="T39"/>
  <c r="S39"/>
  <c r="R39"/>
  <c r="P39"/>
  <c r="O39"/>
  <c r="N39"/>
  <c r="L39"/>
  <c r="K39"/>
  <c r="J39"/>
  <c r="H39"/>
  <c r="G39"/>
  <c r="F39"/>
  <c r="D39"/>
  <c r="C39"/>
  <c r="B39"/>
  <c r="T36"/>
  <c r="S36"/>
  <c r="R36"/>
  <c r="P36"/>
  <c r="O36"/>
  <c r="N36"/>
  <c r="L36"/>
  <c r="K36"/>
  <c r="J36"/>
  <c r="H36"/>
  <c r="G36"/>
  <c r="F36"/>
  <c r="D36"/>
  <c r="C36"/>
  <c r="B36"/>
  <c r="T33"/>
  <c r="S33"/>
  <c r="R33"/>
  <c r="P33"/>
  <c r="O33"/>
  <c r="N33"/>
  <c r="L33"/>
  <c r="K33"/>
  <c r="J33"/>
  <c r="H33"/>
  <c r="G33"/>
  <c r="F33"/>
  <c r="D33"/>
  <c r="C33"/>
  <c r="B33"/>
  <c r="T30"/>
  <c r="S30"/>
  <c r="R30"/>
  <c r="P30"/>
  <c r="O30"/>
  <c r="N30"/>
  <c r="L30"/>
  <c r="K30"/>
  <c r="J30"/>
  <c r="H30"/>
  <c r="G30"/>
  <c r="F30"/>
  <c r="D30"/>
  <c r="C30"/>
  <c r="B30"/>
  <c r="T27"/>
  <c r="S27"/>
  <c r="R27"/>
  <c r="P27"/>
  <c r="O27"/>
  <c r="N27"/>
  <c r="L27"/>
  <c r="K27"/>
  <c r="J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K21"/>
  <c r="H21"/>
  <c r="G21"/>
  <c r="F21"/>
  <c r="D21"/>
  <c r="C21"/>
  <c r="B21"/>
  <c r="S18"/>
  <c r="P18"/>
  <c r="O18"/>
  <c r="N18"/>
  <c r="L18"/>
  <c r="K18"/>
  <c r="J18"/>
  <c r="H18"/>
  <c r="G18"/>
  <c r="D18"/>
  <c r="C18"/>
  <c r="B18"/>
  <c r="T15"/>
  <c r="S15"/>
  <c r="R15"/>
  <c r="O15"/>
  <c r="L15"/>
  <c r="K15"/>
  <c r="J15"/>
  <c r="H15"/>
  <c r="G15"/>
  <c r="D15"/>
  <c r="C15"/>
  <c r="B15"/>
  <c r="T12"/>
  <c r="S12"/>
  <c r="R12"/>
  <c r="P12"/>
  <c r="O12"/>
  <c r="N12"/>
  <c r="L12"/>
  <c r="K12"/>
  <c r="J12"/>
  <c r="G12"/>
  <c r="D12"/>
  <c r="C12"/>
  <c r="T9"/>
  <c r="S9"/>
  <c r="R9"/>
  <c r="P9"/>
  <c r="O9"/>
  <c r="L9"/>
  <c r="K9"/>
  <c r="J9"/>
  <c r="H9"/>
  <c r="G9"/>
  <c r="F9"/>
  <c r="C9"/>
  <c r="T6"/>
  <c r="S6"/>
  <c r="P6"/>
  <c r="O6"/>
  <c r="N6"/>
  <c r="L6"/>
  <c r="K6"/>
  <c r="H6"/>
  <c r="G6"/>
  <c r="D6"/>
  <c r="C6"/>
  <c r="B6"/>
  <c r="T3"/>
  <c r="S3"/>
  <c r="P3"/>
  <c r="O3"/>
  <c r="N3"/>
  <c r="L3"/>
  <c r="K3"/>
  <c r="H3"/>
  <c r="G3"/>
  <c r="F3"/>
  <c r="D3"/>
  <c r="C3"/>
  <c r="T42" i="18"/>
  <c r="S42"/>
  <c r="R42"/>
  <c r="P42"/>
  <c r="O42"/>
  <c r="N42"/>
  <c r="K42"/>
  <c r="H42"/>
  <c r="G42"/>
  <c r="F42"/>
  <c r="D42"/>
  <c r="C42"/>
  <c r="B42"/>
  <c r="T39"/>
  <c r="S39"/>
  <c r="R39"/>
  <c r="P39"/>
  <c r="O39"/>
  <c r="N39"/>
  <c r="L39"/>
  <c r="K39"/>
  <c r="J39"/>
  <c r="H39"/>
  <c r="G39"/>
  <c r="D39"/>
  <c r="C39"/>
  <c r="B39"/>
  <c r="T36"/>
  <c r="S36"/>
  <c r="O36"/>
  <c r="L36"/>
  <c r="K36"/>
  <c r="J36"/>
  <c r="H36"/>
  <c r="G36"/>
  <c r="D36"/>
  <c r="C36"/>
  <c r="T33"/>
  <c r="S33"/>
  <c r="R33"/>
  <c r="P33"/>
  <c r="O33"/>
  <c r="N33"/>
  <c r="L33"/>
  <c r="K33"/>
  <c r="H33"/>
  <c r="G33"/>
  <c r="F33"/>
  <c r="D33"/>
  <c r="C33"/>
  <c r="B33"/>
  <c r="T30"/>
  <c r="S30"/>
  <c r="R30"/>
  <c r="P30"/>
  <c r="O30"/>
  <c r="L30"/>
  <c r="K30"/>
  <c r="H30"/>
  <c r="G30"/>
  <c r="F30"/>
  <c r="D30"/>
  <c r="C30"/>
  <c r="B30"/>
  <c r="T27"/>
  <c r="S27"/>
  <c r="R27"/>
  <c r="P27"/>
  <c r="O27"/>
  <c r="N27"/>
  <c r="L27"/>
  <c r="K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K21"/>
  <c r="H21"/>
  <c r="G21"/>
  <c r="F21"/>
  <c r="D21"/>
  <c r="C21"/>
  <c r="B21"/>
  <c r="S18"/>
  <c r="P18"/>
  <c r="O18"/>
  <c r="N18"/>
  <c r="L18"/>
  <c r="K18"/>
  <c r="J18"/>
  <c r="H18"/>
  <c r="G18"/>
  <c r="D18"/>
  <c r="C18"/>
  <c r="T15"/>
  <c r="S15"/>
  <c r="R15"/>
  <c r="O15"/>
  <c r="L15"/>
  <c r="K15"/>
  <c r="J15"/>
  <c r="H15"/>
  <c r="G15"/>
  <c r="F15"/>
  <c r="D15"/>
  <c r="C15"/>
  <c r="T12"/>
  <c r="S12"/>
  <c r="R12"/>
  <c r="P12"/>
  <c r="O12"/>
  <c r="N12"/>
  <c r="L12"/>
  <c r="K12"/>
  <c r="J12"/>
  <c r="H12"/>
  <c r="G12"/>
  <c r="F12"/>
  <c r="C12"/>
  <c r="T9"/>
  <c r="S9"/>
  <c r="R9"/>
  <c r="P9"/>
  <c r="O9"/>
  <c r="N9"/>
  <c r="L9"/>
  <c r="K9"/>
  <c r="G9"/>
  <c r="D9"/>
  <c r="C9"/>
  <c r="B9"/>
  <c r="T6"/>
  <c r="S6"/>
  <c r="P6"/>
  <c r="O6"/>
  <c r="L6"/>
  <c r="K6"/>
  <c r="J6"/>
  <c r="H6"/>
  <c r="G6"/>
  <c r="F6"/>
  <c r="D6"/>
  <c r="C6"/>
  <c r="T3"/>
  <c r="S3"/>
  <c r="P3"/>
  <c r="O3"/>
  <c r="L3"/>
  <c r="K3"/>
  <c r="J3"/>
  <c r="H3"/>
  <c r="G3"/>
  <c r="D3"/>
  <c r="C3"/>
  <c r="B3"/>
  <c r="T42" i="17"/>
  <c r="S42"/>
  <c r="R42"/>
  <c r="P42"/>
  <c r="O42"/>
  <c r="L42"/>
  <c r="K42"/>
  <c r="J42"/>
  <c r="H42"/>
  <c r="G42"/>
  <c r="F42"/>
  <c r="D42"/>
  <c r="C42"/>
  <c r="B42"/>
  <c r="T39"/>
  <c r="S39"/>
  <c r="R39"/>
  <c r="P39"/>
  <c r="O39"/>
  <c r="N39"/>
  <c r="L39"/>
  <c r="K39"/>
  <c r="J39"/>
  <c r="H39"/>
  <c r="G39"/>
  <c r="D39"/>
  <c r="C39"/>
  <c r="B39"/>
  <c r="T36"/>
  <c r="S36"/>
  <c r="P36"/>
  <c r="O36"/>
  <c r="N36"/>
  <c r="L36"/>
  <c r="K36"/>
  <c r="G36"/>
  <c r="D36"/>
  <c r="C36"/>
  <c r="B36"/>
  <c r="T33"/>
  <c r="S33"/>
  <c r="R33"/>
  <c r="P33"/>
  <c r="O33"/>
  <c r="L33"/>
  <c r="K33"/>
  <c r="J33"/>
  <c r="H33"/>
  <c r="G33"/>
  <c r="F33"/>
  <c r="D33"/>
  <c r="C33"/>
  <c r="B33"/>
  <c r="T30"/>
  <c r="S30"/>
  <c r="R30"/>
  <c r="P30"/>
  <c r="O30"/>
  <c r="N30"/>
  <c r="L30"/>
  <c r="K30"/>
  <c r="H30"/>
  <c r="G30"/>
  <c r="D30"/>
  <c r="C30"/>
  <c r="B30"/>
  <c r="T27"/>
  <c r="S27"/>
  <c r="R27"/>
  <c r="O27"/>
  <c r="L27"/>
  <c r="K27"/>
  <c r="J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K21"/>
  <c r="H21"/>
  <c r="G21"/>
  <c r="F21"/>
  <c r="D21"/>
  <c r="C21"/>
  <c r="B21"/>
  <c r="S18"/>
  <c r="P18"/>
  <c r="O18"/>
  <c r="N18"/>
  <c r="L18"/>
  <c r="K18"/>
  <c r="J18"/>
  <c r="H18"/>
  <c r="G18"/>
  <c r="D18"/>
  <c r="C18"/>
  <c r="T15"/>
  <c r="S15"/>
  <c r="R15"/>
  <c r="O15"/>
  <c r="L15"/>
  <c r="K15"/>
  <c r="J15"/>
  <c r="H15"/>
  <c r="G15"/>
  <c r="F15"/>
  <c r="D15"/>
  <c r="C15"/>
  <c r="T12"/>
  <c r="S12"/>
  <c r="R12"/>
  <c r="P12"/>
  <c r="O12"/>
  <c r="N12"/>
  <c r="L12"/>
  <c r="K12"/>
  <c r="J12"/>
  <c r="H12"/>
  <c r="G12"/>
  <c r="F12"/>
  <c r="C12"/>
  <c r="T9"/>
  <c r="S9"/>
  <c r="R9"/>
  <c r="P9"/>
  <c r="O9"/>
  <c r="N9"/>
  <c r="L9"/>
  <c r="K9"/>
  <c r="G9"/>
  <c r="D9"/>
  <c r="C9"/>
  <c r="B9"/>
  <c r="T6"/>
  <c r="S6"/>
  <c r="P6"/>
  <c r="O6"/>
  <c r="L6"/>
  <c r="K6"/>
  <c r="J6"/>
  <c r="H6"/>
  <c r="G6"/>
  <c r="F6"/>
  <c r="D6"/>
  <c r="C6"/>
  <c r="T3"/>
  <c r="S3"/>
  <c r="P3"/>
  <c r="O3"/>
  <c r="L3"/>
  <c r="K3"/>
  <c r="J3"/>
  <c r="H3"/>
  <c r="G3"/>
  <c r="D3"/>
  <c r="C3"/>
  <c r="B3"/>
  <c r="T42" i="14"/>
  <c r="S42"/>
  <c r="R42"/>
  <c r="P42"/>
  <c r="O42"/>
  <c r="N42"/>
  <c r="L42"/>
  <c r="K42"/>
  <c r="J42"/>
  <c r="H42"/>
  <c r="G42"/>
  <c r="F42"/>
  <c r="D42"/>
  <c r="C42"/>
  <c r="B42"/>
  <c r="T39"/>
  <c r="S39"/>
  <c r="R39"/>
  <c r="P39"/>
  <c r="O39"/>
  <c r="N39"/>
  <c r="L39"/>
  <c r="K39"/>
  <c r="J39"/>
  <c r="H39"/>
  <c r="G39"/>
  <c r="F39"/>
  <c r="D39"/>
  <c r="C39"/>
  <c r="B39"/>
  <c r="T36"/>
  <c r="S36"/>
  <c r="R36"/>
  <c r="P36"/>
  <c r="O36"/>
  <c r="N36"/>
  <c r="L36"/>
  <c r="K36"/>
  <c r="J36"/>
  <c r="H36"/>
  <c r="G36"/>
  <c r="F36"/>
  <c r="D36"/>
  <c r="C36"/>
  <c r="B36"/>
  <c r="T33"/>
  <c r="S33"/>
  <c r="R33"/>
  <c r="P33"/>
  <c r="O33"/>
  <c r="N33"/>
  <c r="L33"/>
  <c r="K33"/>
  <c r="J33"/>
  <c r="H33"/>
  <c r="G33"/>
  <c r="F33"/>
  <c r="D33"/>
  <c r="C33"/>
  <c r="B33"/>
  <c r="T30"/>
  <c r="S30"/>
  <c r="R30"/>
  <c r="P30"/>
  <c r="O30"/>
  <c r="N30"/>
  <c r="L30"/>
  <c r="K30"/>
  <c r="J30"/>
  <c r="H30"/>
  <c r="G30"/>
  <c r="F30"/>
  <c r="D30"/>
  <c r="C30"/>
  <c r="B30"/>
  <c r="T27"/>
  <c r="S27"/>
  <c r="R27"/>
  <c r="P27"/>
  <c r="O27"/>
  <c r="N27"/>
  <c r="L27"/>
  <c r="K27"/>
  <c r="J27"/>
  <c r="H27"/>
  <c r="G27"/>
  <c r="F27"/>
  <c r="D27"/>
  <c r="C27"/>
  <c r="B27"/>
  <c r="T24"/>
  <c r="S24"/>
  <c r="P24"/>
  <c r="O24"/>
  <c r="N24"/>
  <c r="L24"/>
  <c r="K24"/>
  <c r="J24"/>
  <c r="H24"/>
  <c r="G24"/>
  <c r="F24"/>
  <c r="D24"/>
  <c r="C24"/>
  <c r="B24"/>
  <c r="T21"/>
  <c r="S21"/>
  <c r="R21"/>
  <c r="P21"/>
  <c r="O21"/>
  <c r="K21"/>
  <c r="H21"/>
  <c r="G21"/>
  <c r="F21"/>
  <c r="D21"/>
  <c r="C21"/>
  <c r="B21"/>
  <c r="S18"/>
  <c r="P18"/>
  <c r="O18"/>
  <c r="N18"/>
  <c r="L18"/>
  <c r="K18"/>
  <c r="J18"/>
  <c r="H18"/>
  <c r="G18"/>
  <c r="D18"/>
  <c r="C18"/>
  <c r="T15"/>
  <c r="S15"/>
  <c r="R15"/>
  <c r="O15"/>
  <c r="L15"/>
  <c r="K15"/>
  <c r="J15"/>
  <c r="H15"/>
  <c r="G15"/>
  <c r="F15"/>
  <c r="D15"/>
  <c r="C15"/>
  <c r="T12"/>
  <c r="S12"/>
  <c r="R12"/>
  <c r="P12"/>
  <c r="O12"/>
  <c r="N12"/>
  <c r="L12"/>
  <c r="K12"/>
  <c r="J12"/>
  <c r="H12"/>
  <c r="G12"/>
  <c r="F12"/>
  <c r="C12"/>
  <c r="T9"/>
  <c r="S9"/>
  <c r="R9"/>
  <c r="P9"/>
  <c r="O9"/>
  <c r="N9"/>
  <c r="L9"/>
  <c r="K9"/>
  <c r="G9"/>
  <c r="D9"/>
  <c r="C9"/>
  <c r="B9"/>
  <c r="T6"/>
  <c r="S6"/>
  <c r="P6"/>
  <c r="O6"/>
  <c r="L6"/>
  <c r="K6"/>
  <c r="J6"/>
  <c r="H6"/>
  <c r="G6"/>
  <c r="F6"/>
  <c r="D6"/>
  <c r="C6"/>
  <c r="T3"/>
  <c r="S3"/>
  <c r="P3"/>
  <c r="O3"/>
  <c r="L3"/>
  <c r="K3"/>
  <c r="J3"/>
  <c r="D3"/>
  <c r="C3"/>
  <c r="B3"/>
  <c r="H3"/>
  <c r="E1411" i="4"/>
  <c r="E1410"/>
  <c r="E1409"/>
  <c r="E1408"/>
  <c r="E1407"/>
  <c r="E1406"/>
  <c r="E1405"/>
  <c r="E1404"/>
  <c r="E1403"/>
  <c r="E1402"/>
  <c r="F39" i="30" s="1"/>
  <c r="E1401" i="4"/>
  <c r="E1400"/>
  <c r="E1399"/>
  <c r="E1398"/>
  <c r="E1397"/>
  <c r="E1396"/>
  <c r="E1395"/>
  <c r="E1394"/>
  <c r="E1393"/>
  <c r="E1392"/>
  <c r="L36" i="30" s="1"/>
  <c r="E1391" i="4"/>
  <c r="E1390"/>
  <c r="E1389"/>
  <c r="E1388"/>
  <c r="E1387"/>
  <c r="E1386"/>
  <c r="E1385"/>
  <c r="E1384"/>
  <c r="E1383"/>
  <c r="E1382"/>
  <c r="F36" i="30" s="1"/>
  <c r="E1381" i="4"/>
  <c r="E1380"/>
  <c r="E1379"/>
  <c r="E1378"/>
  <c r="E1377"/>
  <c r="E1376"/>
  <c r="E1375"/>
  <c r="E1374"/>
  <c r="E1373"/>
  <c r="E1372"/>
  <c r="R18" i="30" s="1"/>
  <c r="E1351" i="4"/>
  <c r="E1350"/>
  <c r="E1349"/>
  <c r="E1348"/>
  <c r="E1347"/>
  <c r="E1346"/>
  <c r="E1345"/>
  <c r="E1344"/>
  <c r="E1343"/>
  <c r="E1342"/>
  <c r="R36" i="29" s="1"/>
  <c r="E1341" i="4"/>
  <c r="E1340"/>
  <c r="E1339"/>
  <c r="E1338"/>
  <c r="E1337"/>
  <c r="E1336"/>
  <c r="E1335"/>
  <c r="E1334"/>
  <c r="E1333"/>
  <c r="E1332"/>
  <c r="R24" i="30" s="1"/>
  <c r="E1331" i="4"/>
  <c r="E1330"/>
  <c r="E1329"/>
  <c r="E1328"/>
  <c r="E1327"/>
  <c r="E1326"/>
  <c r="E1325"/>
  <c r="E1324"/>
  <c r="E1323"/>
  <c r="E1322"/>
  <c r="T18" i="30" s="1"/>
  <c r="E1301" i="4"/>
  <c r="E1300"/>
  <c r="E1299"/>
  <c r="E1298"/>
  <c r="E1297"/>
  <c r="E1296"/>
  <c r="E1295"/>
  <c r="E1294"/>
  <c r="E1293"/>
  <c r="E1292"/>
  <c r="N42" i="30" s="1"/>
  <c r="E1291" i="4"/>
  <c r="E1290"/>
  <c r="E1289"/>
  <c r="E1288"/>
  <c r="E1287"/>
  <c r="E1286"/>
  <c r="E1285"/>
  <c r="E1284"/>
  <c r="E1283"/>
  <c r="E1282"/>
  <c r="P42" i="30" s="1"/>
  <c r="E1281" i="4"/>
  <c r="E1280"/>
  <c r="E1279"/>
  <c r="E1278"/>
  <c r="E1277"/>
  <c r="E1276"/>
  <c r="E1275"/>
  <c r="E1274"/>
  <c r="E1273"/>
  <c r="E1272"/>
  <c r="N27" i="30" s="1"/>
  <c r="E1271" i="4"/>
  <c r="E1270"/>
  <c r="E1269"/>
  <c r="E1268"/>
  <c r="E1267"/>
  <c r="E1266"/>
  <c r="E1265"/>
  <c r="E1264"/>
  <c r="E1263"/>
  <c r="E1262"/>
  <c r="J42" i="29" s="1"/>
  <c r="E1261" i="4"/>
  <c r="E1260"/>
  <c r="E1259"/>
  <c r="E1258"/>
  <c r="E1257"/>
  <c r="E1256"/>
  <c r="E1255"/>
  <c r="E1254"/>
  <c r="E1253"/>
  <c r="E1252"/>
  <c r="J33" i="29" s="1"/>
  <c r="E1251" i="4"/>
  <c r="E1250"/>
  <c r="E1249"/>
  <c r="E1248"/>
  <c r="E1247"/>
  <c r="E1246"/>
  <c r="E1245"/>
  <c r="E1244"/>
  <c r="E1243"/>
  <c r="E1242"/>
  <c r="J27" i="29" s="1"/>
  <c r="E1241" i="4"/>
  <c r="E1240"/>
  <c r="E1239"/>
  <c r="E1238"/>
  <c r="E1237"/>
  <c r="E1236"/>
  <c r="E1235"/>
  <c r="E1234"/>
  <c r="E1233"/>
  <c r="E1232"/>
  <c r="N21" i="30" s="1"/>
  <c r="E1231" i="4"/>
  <c r="E1230"/>
  <c r="E1229"/>
  <c r="E1228"/>
  <c r="E1227"/>
  <c r="E1226"/>
  <c r="E1225"/>
  <c r="E1224"/>
  <c r="E1223"/>
  <c r="E1222"/>
  <c r="J21" i="30" s="1"/>
  <c r="E1221" i="4"/>
  <c r="E1220"/>
  <c r="E1219"/>
  <c r="E1218"/>
  <c r="E1217"/>
  <c r="E1216"/>
  <c r="E1215"/>
  <c r="E1214"/>
  <c r="E1213"/>
  <c r="E1212"/>
  <c r="N12" i="30" s="1"/>
  <c r="E1211" i="4"/>
  <c r="E1210"/>
  <c r="E1209"/>
  <c r="E1208"/>
  <c r="E1207"/>
  <c r="E1206"/>
  <c r="E1205"/>
  <c r="E1204"/>
  <c r="E1203"/>
  <c r="E1202"/>
  <c r="L21" i="30" s="1"/>
  <c r="E1201" i="4"/>
  <c r="E1200"/>
  <c r="E1199"/>
  <c r="E1198"/>
  <c r="E1197"/>
  <c r="E1196"/>
  <c r="E1195"/>
  <c r="E1194"/>
  <c r="E1193"/>
  <c r="E1192"/>
  <c r="P12" i="30" s="1"/>
  <c r="E1191" i="4"/>
  <c r="E1190"/>
  <c r="E1189"/>
  <c r="E1188"/>
  <c r="E1187"/>
  <c r="E1186"/>
  <c r="E1185"/>
  <c r="E1184"/>
  <c r="E1183"/>
  <c r="E1182"/>
  <c r="J3" i="30" s="1"/>
  <c r="E1181" i="4"/>
  <c r="E1180"/>
  <c r="E1179"/>
  <c r="E1178"/>
  <c r="E1177"/>
  <c r="E1176"/>
  <c r="E1175"/>
  <c r="E1174"/>
  <c r="E1173"/>
  <c r="E1172"/>
  <c r="R36" i="27" s="1"/>
  <c r="E1151" i="4"/>
  <c r="E1150"/>
  <c r="E1149"/>
  <c r="E1148"/>
  <c r="E1147"/>
  <c r="E1146"/>
  <c r="E1145"/>
  <c r="E1144"/>
  <c r="E1143"/>
  <c r="E1142"/>
  <c r="T36" i="27" s="1"/>
  <c r="E1141" i="4"/>
  <c r="E1140"/>
  <c r="E1139"/>
  <c r="E1138"/>
  <c r="E1137"/>
  <c r="E1136"/>
  <c r="E1135"/>
  <c r="E1134"/>
  <c r="E1133"/>
  <c r="E1132"/>
  <c r="R6" i="27" s="1"/>
  <c r="E1111" i="4"/>
  <c r="E1110"/>
  <c r="E1109"/>
  <c r="E1108"/>
  <c r="E1107"/>
  <c r="E1106"/>
  <c r="E1105"/>
  <c r="E1104"/>
  <c r="E1103"/>
  <c r="E1102"/>
  <c r="J42" i="27" s="1"/>
  <c r="E1101" i="4"/>
  <c r="E1100"/>
  <c r="E1099"/>
  <c r="E1098"/>
  <c r="E1097"/>
  <c r="E1096"/>
  <c r="E1095"/>
  <c r="E1094"/>
  <c r="E1093"/>
  <c r="E1092"/>
  <c r="J33" i="27" s="1"/>
  <c r="E1091" i="4"/>
  <c r="E1090"/>
  <c r="E1089"/>
  <c r="E1088"/>
  <c r="E1087"/>
  <c r="E1086"/>
  <c r="E1085"/>
  <c r="E1084"/>
  <c r="E1083"/>
  <c r="E1082"/>
  <c r="J27" i="27" s="1"/>
  <c r="E1081" i="4"/>
  <c r="E1080"/>
  <c r="E1079"/>
  <c r="E1078"/>
  <c r="E1077"/>
  <c r="E1076"/>
  <c r="E1075"/>
  <c r="E1074"/>
  <c r="E1073"/>
  <c r="E1072"/>
  <c r="N42" i="26" s="1"/>
  <c r="E1071" i="4"/>
  <c r="E1070"/>
  <c r="E1069"/>
  <c r="E1068"/>
  <c r="E1067"/>
  <c r="E1066"/>
  <c r="E1065"/>
  <c r="E1064"/>
  <c r="E1063"/>
  <c r="E1062"/>
  <c r="N33" i="26" s="1"/>
  <c r="E1061" i="4"/>
  <c r="E1060"/>
  <c r="E1059"/>
  <c r="E1058"/>
  <c r="E1057"/>
  <c r="E1056"/>
  <c r="E1055"/>
  <c r="E1054"/>
  <c r="E1053"/>
  <c r="E1052"/>
  <c r="N27" i="26" s="1"/>
  <c r="E1051" i="4"/>
  <c r="E1050"/>
  <c r="E1049"/>
  <c r="E1048"/>
  <c r="E1047"/>
  <c r="E1046"/>
  <c r="E1045"/>
  <c r="E1044"/>
  <c r="E1043"/>
  <c r="E1042"/>
  <c r="J21" i="27" s="1"/>
  <c r="E1041" i="4"/>
  <c r="E1040"/>
  <c r="E1039"/>
  <c r="E1038"/>
  <c r="E1037"/>
  <c r="E1036"/>
  <c r="E1035"/>
  <c r="E1034"/>
  <c r="E1033"/>
  <c r="E1032"/>
  <c r="N21" i="27" s="1"/>
  <c r="E1031" i="4"/>
  <c r="E1030"/>
  <c r="E1029"/>
  <c r="E1028"/>
  <c r="E1027"/>
  <c r="E1026"/>
  <c r="E1025"/>
  <c r="E1024"/>
  <c r="E1023"/>
  <c r="E1022"/>
  <c r="L21" i="27" s="1"/>
  <c r="E1021" i="4"/>
  <c r="E1020"/>
  <c r="E1019"/>
  <c r="E1018"/>
  <c r="E1017"/>
  <c r="E1016"/>
  <c r="E1015"/>
  <c r="E1014"/>
  <c r="E1013"/>
  <c r="E1012"/>
  <c r="P15" i="27" s="1"/>
  <c r="E1011" i="4"/>
  <c r="E1010"/>
  <c r="E1009"/>
  <c r="E1008"/>
  <c r="E1007"/>
  <c r="E1006"/>
  <c r="E1005"/>
  <c r="E1004"/>
  <c r="E1003"/>
  <c r="E1002"/>
  <c r="N15" i="27" s="1"/>
  <c r="E1001" i="4"/>
  <c r="E1000"/>
  <c r="E999"/>
  <c r="E998"/>
  <c r="E997"/>
  <c r="E996"/>
  <c r="E995"/>
  <c r="E994"/>
  <c r="E993"/>
  <c r="E992"/>
  <c r="J3" i="27" s="1"/>
  <c r="E991" i="4"/>
  <c r="E990"/>
  <c r="E989"/>
  <c r="E988"/>
  <c r="E987"/>
  <c r="E986"/>
  <c r="E985"/>
  <c r="E984"/>
  <c r="E983"/>
  <c r="E982"/>
  <c r="J30" i="24" s="1"/>
  <c r="E981" i="4"/>
  <c r="E980"/>
  <c r="E979"/>
  <c r="E978"/>
  <c r="E977"/>
  <c r="E976"/>
  <c r="E975"/>
  <c r="E974"/>
  <c r="E973"/>
  <c r="E972"/>
  <c r="F39" i="24" s="1"/>
  <c r="E971" i="4"/>
  <c r="E970"/>
  <c r="E969"/>
  <c r="E968"/>
  <c r="E967"/>
  <c r="E966"/>
  <c r="E965"/>
  <c r="E964"/>
  <c r="E963"/>
  <c r="E962"/>
  <c r="J36" i="24" s="1"/>
  <c r="E961" i="4"/>
  <c r="E960"/>
  <c r="E959"/>
  <c r="E958"/>
  <c r="E957"/>
  <c r="E956"/>
  <c r="E955"/>
  <c r="E954"/>
  <c r="E953"/>
  <c r="E952"/>
  <c r="N30" i="23" s="1"/>
  <c r="E951" i="4"/>
  <c r="E950"/>
  <c r="E949"/>
  <c r="E948"/>
  <c r="E947"/>
  <c r="E946"/>
  <c r="E945"/>
  <c r="E944"/>
  <c r="E943"/>
  <c r="E942"/>
  <c r="R18" i="24" s="1"/>
  <c r="E921" i="4"/>
  <c r="E920"/>
  <c r="E919"/>
  <c r="E918"/>
  <c r="E917"/>
  <c r="E916"/>
  <c r="E915"/>
  <c r="E914"/>
  <c r="E913"/>
  <c r="E912"/>
  <c r="R36" i="24" s="1"/>
  <c r="E911" i="4"/>
  <c r="E910"/>
  <c r="E909"/>
  <c r="E908"/>
  <c r="E907"/>
  <c r="E906"/>
  <c r="E905"/>
  <c r="E904"/>
  <c r="E903"/>
  <c r="E902"/>
  <c r="R24" i="24" s="1"/>
  <c r="E901" i="4"/>
  <c r="E900"/>
  <c r="E899"/>
  <c r="E898"/>
  <c r="E897"/>
  <c r="E896"/>
  <c r="E895"/>
  <c r="E894"/>
  <c r="E893"/>
  <c r="E892"/>
  <c r="T18" i="24" s="1"/>
  <c r="E871" i="4"/>
  <c r="E870"/>
  <c r="E869"/>
  <c r="E868"/>
  <c r="E867"/>
  <c r="E866"/>
  <c r="E865"/>
  <c r="E864"/>
  <c r="E863"/>
  <c r="E862"/>
  <c r="N42" i="24" s="1"/>
  <c r="E861" i="4"/>
  <c r="E860"/>
  <c r="E859"/>
  <c r="E858"/>
  <c r="E857"/>
  <c r="E856"/>
  <c r="E855"/>
  <c r="E854"/>
  <c r="E853"/>
  <c r="E852"/>
  <c r="N33" i="24" s="1"/>
  <c r="E851" i="4"/>
  <c r="E850"/>
  <c r="E849"/>
  <c r="E848"/>
  <c r="E847"/>
  <c r="E846"/>
  <c r="E845"/>
  <c r="E844"/>
  <c r="E843"/>
  <c r="E842"/>
  <c r="P33" i="24" s="1"/>
  <c r="E841" i="4"/>
  <c r="E840"/>
  <c r="E839"/>
  <c r="E838"/>
  <c r="E837"/>
  <c r="E836"/>
  <c r="E835"/>
  <c r="E834"/>
  <c r="E833"/>
  <c r="E832"/>
  <c r="J42" i="23" s="1"/>
  <c r="E831" i="4"/>
  <c r="E830"/>
  <c r="E829"/>
  <c r="E828"/>
  <c r="E827"/>
  <c r="E826"/>
  <c r="E825"/>
  <c r="E824"/>
  <c r="E823"/>
  <c r="E822"/>
  <c r="J33" i="23" s="1"/>
  <c r="E821" i="4"/>
  <c r="E820"/>
  <c r="E819"/>
  <c r="E818"/>
  <c r="E817"/>
  <c r="E816"/>
  <c r="E815"/>
  <c r="E814"/>
  <c r="E813"/>
  <c r="E812"/>
  <c r="J27" i="23" s="1"/>
  <c r="E811" i="4"/>
  <c r="E810"/>
  <c r="E809"/>
  <c r="E808"/>
  <c r="E807"/>
  <c r="E806"/>
  <c r="E805"/>
  <c r="E804"/>
  <c r="E803"/>
  <c r="E802"/>
  <c r="L27" i="23" s="1"/>
  <c r="E801" i="4"/>
  <c r="E800"/>
  <c r="E799"/>
  <c r="E798"/>
  <c r="E797"/>
  <c r="E796"/>
  <c r="E795"/>
  <c r="E794"/>
  <c r="E793"/>
  <c r="E792"/>
  <c r="N21" i="24" s="1"/>
  <c r="E791" i="4"/>
  <c r="E790"/>
  <c r="E789"/>
  <c r="E788"/>
  <c r="E787"/>
  <c r="E786"/>
  <c r="E785"/>
  <c r="E784"/>
  <c r="E783"/>
  <c r="E782"/>
  <c r="J15" i="23" s="1"/>
  <c r="E781" i="4"/>
  <c r="E780"/>
  <c r="E779"/>
  <c r="E778"/>
  <c r="E777"/>
  <c r="E776"/>
  <c r="E775"/>
  <c r="E774"/>
  <c r="E773"/>
  <c r="E772"/>
  <c r="N6" i="23" s="1"/>
  <c r="E771" i="4"/>
  <c r="E770"/>
  <c r="E769"/>
  <c r="E768"/>
  <c r="E767"/>
  <c r="E766"/>
  <c r="E765"/>
  <c r="E764"/>
  <c r="E763"/>
  <c r="E762"/>
  <c r="L15" i="23" s="1"/>
  <c r="E761" i="4"/>
  <c r="E760"/>
  <c r="E759"/>
  <c r="E758"/>
  <c r="E757"/>
  <c r="E756"/>
  <c r="E755"/>
  <c r="E754"/>
  <c r="E753"/>
  <c r="E752"/>
  <c r="N3" i="24" s="1"/>
  <c r="E751" i="4"/>
  <c r="E750"/>
  <c r="E749"/>
  <c r="E748"/>
  <c r="E747"/>
  <c r="E746"/>
  <c r="E745"/>
  <c r="E744"/>
  <c r="E743"/>
  <c r="E742"/>
  <c r="J30" i="20" s="1"/>
  <c r="E741" i="4"/>
  <c r="E740"/>
  <c r="E739"/>
  <c r="E738"/>
  <c r="E737"/>
  <c r="E736"/>
  <c r="E735"/>
  <c r="E734"/>
  <c r="E733"/>
  <c r="E732"/>
  <c r="R18" i="21" s="1"/>
  <c r="E711" i="4"/>
  <c r="E710"/>
  <c r="E709"/>
  <c r="E708"/>
  <c r="E707"/>
  <c r="E706"/>
  <c r="E705"/>
  <c r="E704"/>
  <c r="E703"/>
  <c r="E702"/>
  <c r="R36" i="21" s="1"/>
  <c r="E701" i="4"/>
  <c r="E700"/>
  <c r="E699"/>
  <c r="E698"/>
  <c r="E697"/>
  <c r="E696"/>
  <c r="E695"/>
  <c r="E694"/>
  <c r="E693"/>
  <c r="E692"/>
  <c r="R24" i="21" s="1"/>
  <c r="E691" i="4"/>
  <c r="E690"/>
  <c r="E689"/>
  <c r="E688"/>
  <c r="E687"/>
  <c r="E686"/>
  <c r="E685"/>
  <c r="E684"/>
  <c r="E683"/>
  <c r="E682"/>
  <c r="T18" i="21" s="1"/>
  <c r="E661" i="4"/>
  <c r="E660"/>
  <c r="E659"/>
  <c r="E658"/>
  <c r="E657"/>
  <c r="E656"/>
  <c r="E655"/>
  <c r="E654"/>
  <c r="E653"/>
  <c r="E652"/>
  <c r="N42" i="21" s="1"/>
  <c r="E651" i="4"/>
  <c r="E650"/>
  <c r="E649"/>
  <c r="E648"/>
  <c r="E647"/>
  <c r="E646"/>
  <c r="E645"/>
  <c r="E644"/>
  <c r="E643"/>
  <c r="E642"/>
  <c r="N33" i="21" s="1"/>
  <c r="E641" i="4"/>
  <c r="E640"/>
  <c r="E639"/>
  <c r="E638"/>
  <c r="E637"/>
  <c r="E636"/>
  <c r="E635"/>
  <c r="E634"/>
  <c r="E633"/>
  <c r="E632"/>
  <c r="N27" i="21" s="1"/>
  <c r="E631" i="4"/>
  <c r="E630"/>
  <c r="E629"/>
  <c r="E628"/>
  <c r="E627"/>
  <c r="E626"/>
  <c r="E625"/>
  <c r="E624"/>
  <c r="E623"/>
  <c r="E622"/>
  <c r="J42" i="20" s="1"/>
  <c r="E621" i="4"/>
  <c r="E620"/>
  <c r="E619"/>
  <c r="E618"/>
  <c r="E617"/>
  <c r="E616"/>
  <c r="E615"/>
  <c r="E614"/>
  <c r="E613"/>
  <c r="E612"/>
  <c r="J33" i="20" s="1"/>
  <c r="E611" i="4"/>
  <c r="E610"/>
  <c r="E609"/>
  <c r="E608"/>
  <c r="E607"/>
  <c r="E606"/>
  <c r="E605"/>
  <c r="E604"/>
  <c r="E603"/>
  <c r="E602"/>
  <c r="J27" i="20" s="1"/>
  <c r="E601" i="4"/>
  <c r="E600"/>
  <c r="E599"/>
  <c r="E598"/>
  <c r="E597"/>
  <c r="E596"/>
  <c r="E595"/>
  <c r="E594"/>
  <c r="E593"/>
  <c r="E592"/>
  <c r="N21" i="21" s="1"/>
  <c r="E591" i="4"/>
  <c r="E590"/>
  <c r="E589"/>
  <c r="E588"/>
  <c r="E587"/>
  <c r="E586"/>
  <c r="E585"/>
  <c r="E584"/>
  <c r="E583"/>
  <c r="E582"/>
  <c r="J21" i="21" s="1"/>
  <c r="E581" i="4"/>
  <c r="E580"/>
  <c r="E579"/>
  <c r="E578"/>
  <c r="E577"/>
  <c r="E576"/>
  <c r="E575"/>
  <c r="E574"/>
  <c r="E573"/>
  <c r="E572"/>
  <c r="P15" i="21" s="1"/>
  <c r="E571" i="4"/>
  <c r="E570"/>
  <c r="E569"/>
  <c r="E568"/>
  <c r="E567"/>
  <c r="E566"/>
  <c r="E565"/>
  <c r="E564"/>
  <c r="E563"/>
  <c r="E562"/>
  <c r="L21" i="21" s="1"/>
  <c r="E561" i="4"/>
  <c r="E560"/>
  <c r="E559"/>
  <c r="E558"/>
  <c r="E557"/>
  <c r="E556"/>
  <c r="E555"/>
  <c r="E554"/>
  <c r="E553"/>
  <c r="E552"/>
  <c r="N15" i="21" s="1"/>
  <c r="E551" i="4"/>
  <c r="E550"/>
  <c r="E549"/>
  <c r="E548"/>
  <c r="E547"/>
  <c r="E546"/>
  <c r="E545"/>
  <c r="E544"/>
  <c r="E543"/>
  <c r="E542"/>
  <c r="J3" i="21" s="1"/>
  <c r="E541" i="4"/>
  <c r="E540"/>
  <c r="E539"/>
  <c r="E538"/>
  <c r="E537"/>
  <c r="E536"/>
  <c r="E535"/>
  <c r="E534"/>
  <c r="E533"/>
  <c r="E532"/>
  <c r="F36" i="18" s="1"/>
  <c r="E391" i="4"/>
  <c r="E390"/>
  <c r="E389"/>
  <c r="E388"/>
  <c r="E387"/>
  <c r="E386"/>
  <c r="E385"/>
  <c r="E384"/>
  <c r="E383"/>
  <c r="E382"/>
  <c r="J21" i="18" s="1"/>
  <c r="E381" i="4"/>
  <c r="E380"/>
  <c r="E379"/>
  <c r="E378"/>
  <c r="E377"/>
  <c r="E376"/>
  <c r="E375"/>
  <c r="E374"/>
  <c r="E373"/>
  <c r="E372"/>
  <c r="N21" i="14" s="1"/>
  <c r="E371" i="4"/>
  <c r="E370"/>
  <c r="E369"/>
  <c r="E368"/>
  <c r="E367"/>
  <c r="E366"/>
  <c r="E365"/>
  <c r="E364"/>
  <c r="E363"/>
  <c r="E362"/>
  <c r="L21" i="18" s="1"/>
  <c r="E361" i="4"/>
  <c r="E360"/>
  <c r="E359"/>
  <c r="E358"/>
  <c r="E357"/>
  <c r="E356"/>
  <c r="E355"/>
  <c r="E354"/>
  <c r="E353"/>
  <c r="E352"/>
  <c r="N6" i="18" s="1"/>
  <c r="E351" i="4"/>
  <c r="E350"/>
  <c r="E349"/>
  <c r="E348"/>
  <c r="E347"/>
  <c r="E346"/>
  <c r="E345"/>
  <c r="E344"/>
  <c r="E343"/>
  <c r="E342"/>
  <c r="N15" i="18" s="1"/>
  <c r="E341" i="4"/>
  <c r="E340"/>
  <c r="E339"/>
  <c r="E338"/>
  <c r="E337"/>
  <c r="E336"/>
  <c r="E335"/>
  <c r="E334"/>
  <c r="E333"/>
  <c r="E332"/>
  <c r="N3" i="18" s="1"/>
  <c r="E531" i="4"/>
  <c r="E530"/>
  <c r="E529"/>
  <c r="E528"/>
  <c r="E527"/>
  <c r="E526"/>
  <c r="E525"/>
  <c r="E524"/>
  <c r="E523"/>
  <c r="E522"/>
  <c r="R18" i="18" s="1"/>
  <c r="E501" i="4"/>
  <c r="E500"/>
  <c r="E499"/>
  <c r="E498"/>
  <c r="E497"/>
  <c r="E496"/>
  <c r="E495"/>
  <c r="E494"/>
  <c r="E493"/>
  <c r="E492"/>
  <c r="R24" i="14" s="1"/>
  <c r="E491" i="4"/>
  <c r="E490"/>
  <c r="E489"/>
  <c r="E488"/>
  <c r="E487"/>
  <c r="E486"/>
  <c r="E485"/>
  <c r="E484"/>
  <c r="E483"/>
  <c r="E482"/>
  <c r="R36" i="18" s="1"/>
  <c r="E481" i="4"/>
  <c r="E480"/>
  <c r="E479"/>
  <c r="E478"/>
  <c r="E477"/>
  <c r="E476"/>
  <c r="E475"/>
  <c r="E474"/>
  <c r="E473"/>
  <c r="E472"/>
  <c r="R6" i="18" s="1"/>
  <c r="E451" i="4"/>
  <c r="E450"/>
  <c r="E449"/>
  <c r="E448"/>
  <c r="E447"/>
  <c r="E446"/>
  <c r="E445"/>
  <c r="E444"/>
  <c r="E443"/>
  <c r="E442"/>
  <c r="J42" i="18" s="1"/>
  <c r="E441" i="4"/>
  <c r="E440"/>
  <c r="E439"/>
  <c r="E438"/>
  <c r="E437"/>
  <c r="E436"/>
  <c r="E435"/>
  <c r="E434"/>
  <c r="E433"/>
  <c r="E432"/>
  <c r="J33" i="18" s="1"/>
  <c r="E431" i="4"/>
  <c r="E430"/>
  <c r="E429"/>
  <c r="E428"/>
  <c r="E427"/>
  <c r="E426"/>
  <c r="E425"/>
  <c r="E424"/>
  <c r="E423"/>
  <c r="E422"/>
  <c r="J27" i="18" s="1"/>
  <c r="E421" i="4"/>
  <c r="E420"/>
  <c r="E419"/>
  <c r="E418"/>
  <c r="E417"/>
  <c r="E416"/>
  <c r="E415"/>
  <c r="E414"/>
  <c r="E413"/>
  <c r="E412"/>
  <c r="N42" i="17" s="1"/>
  <c r="E411" i="4"/>
  <c r="E410"/>
  <c r="E409"/>
  <c r="E408"/>
  <c r="E407"/>
  <c r="E406"/>
  <c r="E405"/>
  <c r="E404"/>
  <c r="E403"/>
  <c r="E402"/>
  <c r="N33" i="17" s="1"/>
  <c r="E401" i="4"/>
  <c r="E400"/>
  <c r="E399"/>
  <c r="E398"/>
  <c r="E397"/>
  <c r="E396"/>
  <c r="E395"/>
  <c r="E394"/>
  <c r="E393"/>
  <c r="E392"/>
  <c r="N27" i="17" s="1"/>
  <c r="E331" i="4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N36" i="18" s="1"/>
  <c r="E311" i="4"/>
  <c r="E310"/>
  <c r="E309"/>
  <c r="E308"/>
  <c r="E307"/>
  <c r="E306"/>
  <c r="E305"/>
  <c r="E304"/>
  <c r="E303"/>
  <c r="E302"/>
  <c r="F36" i="17" s="1"/>
  <c r="E301" i="4"/>
  <c r="E300"/>
  <c r="E299"/>
  <c r="E298"/>
  <c r="E297"/>
  <c r="E296"/>
  <c r="E295"/>
  <c r="E294"/>
  <c r="E293"/>
  <c r="E292"/>
  <c r="F15" i="30" s="1"/>
  <c r="E291" i="4"/>
  <c r="E290"/>
  <c r="E289"/>
  <c r="E288"/>
  <c r="E287"/>
  <c r="E286"/>
  <c r="E285"/>
  <c r="E284"/>
  <c r="E283"/>
  <c r="E282"/>
  <c r="B12" i="30" s="1"/>
  <c r="E281" i="4"/>
  <c r="E280"/>
  <c r="E279"/>
  <c r="E278"/>
  <c r="E277"/>
  <c r="E276"/>
  <c r="E275"/>
  <c r="E274"/>
  <c r="E273"/>
  <c r="E272"/>
  <c r="F18" i="30" s="1"/>
  <c r="E271" i="4"/>
  <c r="E270"/>
  <c r="E269"/>
  <c r="E268"/>
  <c r="E267"/>
  <c r="E266"/>
  <c r="E265"/>
  <c r="E264"/>
  <c r="E263"/>
  <c r="E262"/>
  <c r="B18" i="18" s="1"/>
  <c r="E261" i="4"/>
  <c r="E260"/>
  <c r="E259"/>
  <c r="E258"/>
  <c r="E257"/>
  <c r="E256"/>
  <c r="E255"/>
  <c r="E254"/>
  <c r="E253"/>
  <c r="E252"/>
  <c r="B15" i="18" s="1"/>
  <c r="E251" i="4"/>
  <c r="E250"/>
  <c r="E249"/>
  <c r="E248"/>
  <c r="E247"/>
  <c r="E246"/>
  <c r="E245"/>
  <c r="E244"/>
  <c r="E243"/>
  <c r="E242"/>
  <c r="F18" i="18" s="1"/>
  <c r="E241" i="4"/>
  <c r="E240"/>
  <c r="E239"/>
  <c r="E238"/>
  <c r="E237"/>
  <c r="E236"/>
  <c r="E235"/>
  <c r="E234"/>
  <c r="E233"/>
  <c r="E232"/>
  <c r="F39" i="29" s="1"/>
  <c r="E231" i="4"/>
  <c r="E230"/>
  <c r="E229"/>
  <c r="E228"/>
  <c r="E227"/>
  <c r="E226"/>
  <c r="E225"/>
  <c r="E224"/>
  <c r="E223"/>
  <c r="E222"/>
  <c r="J30" i="27" s="1"/>
  <c r="E221" i="4"/>
  <c r="E220"/>
  <c r="E219"/>
  <c r="E218"/>
  <c r="E217"/>
  <c r="E216"/>
  <c r="E215"/>
  <c r="E214"/>
  <c r="E213"/>
  <c r="E212"/>
  <c r="F39" i="27" s="1"/>
  <c r="E211" i="4"/>
  <c r="E210"/>
  <c r="E209"/>
  <c r="E208"/>
  <c r="E207"/>
  <c r="E206"/>
  <c r="E205"/>
  <c r="E204"/>
  <c r="E203"/>
  <c r="E202"/>
  <c r="J36" i="26" s="1"/>
  <c r="E201" i="4"/>
  <c r="E200"/>
  <c r="E199"/>
  <c r="E198"/>
  <c r="E197"/>
  <c r="E196"/>
  <c r="E195"/>
  <c r="E194"/>
  <c r="E193"/>
  <c r="E192"/>
  <c r="F39" i="26" s="1"/>
  <c r="E191" i="4"/>
  <c r="E190"/>
  <c r="E189"/>
  <c r="E188"/>
  <c r="E187"/>
  <c r="E186"/>
  <c r="E185"/>
  <c r="E184"/>
  <c r="E183"/>
  <c r="E182"/>
  <c r="N36" i="23" s="1"/>
  <c r="E181" i="4"/>
  <c r="E180"/>
  <c r="E179"/>
  <c r="E178"/>
  <c r="E177"/>
  <c r="E176"/>
  <c r="E175"/>
  <c r="E174"/>
  <c r="E173"/>
  <c r="E172"/>
  <c r="F39" i="23" s="1"/>
  <c r="E171" i="4"/>
  <c r="E170"/>
  <c r="E169"/>
  <c r="E168"/>
  <c r="E167"/>
  <c r="E166"/>
  <c r="E165"/>
  <c r="E164"/>
  <c r="E163"/>
  <c r="E162"/>
  <c r="F39" i="21" s="1"/>
  <c r="E161" i="4"/>
  <c r="E160"/>
  <c r="E159"/>
  <c r="E158"/>
  <c r="E157"/>
  <c r="E156"/>
  <c r="E155"/>
  <c r="E154"/>
  <c r="E153"/>
  <c r="E152"/>
  <c r="H36" i="21" s="1"/>
  <c r="E151" i="4"/>
  <c r="E150"/>
  <c r="E149"/>
  <c r="E148"/>
  <c r="E147"/>
  <c r="E146"/>
  <c r="E145"/>
  <c r="E144"/>
  <c r="E143"/>
  <c r="E142"/>
  <c r="J36" i="21" s="1"/>
  <c r="E141" i="4"/>
  <c r="E140"/>
  <c r="E139"/>
  <c r="E138"/>
  <c r="E137"/>
  <c r="E136"/>
  <c r="E135"/>
  <c r="E134"/>
  <c r="E133"/>
  <c r="E132"/>
  <c r="F39" i="20" s="1"/>
  <c r="E131" i="4"/>
  <c r="E130"/>
  <c r="E129"/>
  <c r="E128"/>
  <c r="E127"/>
  <c r="E126"/>
  <c r="E125"/>
  <c r="E124"/>
  <c r="E123"/>
  <c r="E122"/>
  <c r="J30" i="29" s="1"/>
  <c r="E121" i="4"/>
  <c r="E120"/>
  <c r="E119"/>
  <c r="E118"/>
  <c r="E117"/>
  <c r="E116"/>
  <c r="E115"/>
  <c r="E114"/>
  <c r="E113"/>
  <c r="E112"/>
  <c r="F39" i="18" s="1"/>
  <c r="E111" i="4"/>
  <c r="E110"/>
  <c r="E109"/>
  <c r="E108"/>
  <c r="E107"/>
  <c r="E106"/>
  <c r="E105"/>
  <c r="E104"/>
  <c r="E103"/>
  <c r="E102"/>
  <c r="F39" i="17" s="1"/>
  <c r="E101" i="4"/>
  <c r="E100"/>
  <c r="E99"/>
  <c r="E98"/>
  <c r="E97"/>
  <c r="E96"/>
  <c r="E95"/>
  <c r="E94"/>
  <c r="E93"/>
  <c r="E92"/>
  <c r="J36" i="17" s="1"/>
  <c r="E91" i="4"/>
  <c r="E90"/>
  <c r="E89"/>
  <c r="E88"/>
  <c r="E87"/>
  <c r="E86"/>
  <c r="E85"/>
  <c r="E84"/>
  <c r="E83"/>
  <c r="E82"/>
  <c r="J30" i="18" s="1"/>
  <c r="E81" i="4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P36" i="18" s="1"/>
  <c r="E51" i="4"/>
  <c r="E50"/>
  <c r="E49"/>
  <c r="E48"/>
  <c r="E47"/>
  <c r="E46"/>
  <c r="E45"/>
  <c r="E44"/>
  <c r="E43"/>
  <c r="E42"/>
  <c r="H36" i="17" s="1"/>
  <c r="E41" i="4"/>
  <c r="E40"/>
  <c r="E39"/>
  <c r="E38"/>
  <c r="E37"/>
  <c r="E36"/>
  <c r="E35"/>
  <c r="E34"/>
  <c r="E33"/>
  <c r="E32"/>
  <c r="B6" i="18" s="1"/>
  <c r="E31" i="4"/>
  <c r="E30"/>
  <c r="E29"/>
  <c r="E28"/>
  <c r="E27"/>
  <c r="E26"/>
  <c r="E25"/>
  <c r="E24"/>
  <c r="E23"/>
  <c r="E22"/>
  <c r="H9" i="18" s="1"/>
  <c r="E21" i="4"/>
  <c r="E20"/>
  <c r="E19"/>
  <c r="E18"/>
  <c r="E17"/>
  <c r="E16"/>
  <c r="E15"/>
  <c r="E14"/>
  <c r="E13"/>
  <c r="E12"/>
  <c r="B12" i="18" s="1"/>
  <c r="E11" i="4"/>
  <c r="E10"/>
  <c r="E9"/>
  <c r="E8"/>
  <c r="E7"/>
  <c r="E6"/>
  <c r="E5"/>
  <c r="E4"/>
  <c r="E3"/>
  <c r="E2"/>
  <c r="F9" i="18" s="1"/>
  <c r="G3" i="14"/>
  <c r="D1411" i="4"/>
  <c r="B1411"/>
  <c r="Q1411" s="1"/>
  <c r="D1410"/>
  <c r="B1410"/>
  <c r="Q1410" s="1"/>
  <c r="D1409"/>
  <c r="B1409"/>
  <c r="Q1409" s="1"/>
  <c r="D1408"/>
  <c r="B1408"/>
  <c r="Q1408" s="1"/>
  <c r="D1407"/>
  <c r="B1407"/>
  <c r="Q1407" s="1"/>
  <c r="D1406"/>
  <c r="B1406"/>
  <c r="Q1406" s="1"/>
  <c r="D1405"/>
  <c r="B1405"/>
  <c r="Q1405" s="1"/>
  <c r="D1404"/>
  <c r="B1404"/>
  <c r="Q1404" s="1"/>
  <c r="D1403"/>
  <c r="B1403"/>
  <c r="Q1403" s="1"/>
  <c r="D1401"/>
  <c r="B1401"/>
  <c r="Q1401" s="1"/>
  <c r="D1400"/>
  <c r="B1400"/>
  <c r="Q1400" s="1"/>
  <c r="D1399"/>
  <c r="B1399"/>
  <c r="Q1399" s="1"/>
  <c r="D1398"/>
  <c r="B1398"/>
  <c r="Q1398" s="1"/>
  <c r="D1397"/>
  <c r="B1397"/>
  <c r="Q1397" s="1"/>
  <c r="D1396"/>
  <c r="B1396"/>
  <c r="Q1396" s="1"/>
  <c r="D1395"/>
  <c r="B1395"/>
  <c r="Q1395" s="1"/>
  <c r="D1394"/>
  <c r="B1394"/>
  <c r="Q1394" s="1"/>
  <c r="D1393"/>
  <c r="B1393"/>
  <c r="Q1393" s="1"/>
  <c r="D1391"/>
  <c r="B1391"/>
  <c r="Q1391" s="1"/>
  <c r="D1390"/>
  <c r="B1390"/>
  <c r="Q1390" s="1"/>
  <c r="D1389"/>
  <c r="B1389"/>
  <c r="Q1389" s="1"/>
  <c r="D1388"/>
  <c r="B1388"/>
  <c r="Q1388" s="1"/>
  <c r="D1387"/>
  <c r="B1387"/>
  <c r="Q1387" s="1"/>
  <c r="D1386"/>
  <c r="B1386"/>
  <c r="Q1386" s="1"/>
  <c r="D1385"/>
  <c r="B1385"/>
  <c r="Q1385" s="1"/>
  <c r="D1384"/>
  <c r="B1384"/>
  <c r="Q1384" s="1"/>
  <c r="D1383"/>
  <c r="B1383"/>
  <c r="Q1383" s="1"/>
  <c r="D1381"/>
  <c r="B1381"/>
  <c r="Q1381" s="1"/>
  <c r="D1380"/>
  <c r="B1380"/>
  <c r="Q1380" s="1"/>
  <c r="D1379"/>
  <c r="B1379"/>
  <c r="Q1379" s="1"/>
  <c r="D1378"/>
  <c r="B1378"/>
  <c r="Q1378" s="1"/>
  <c r="D1377"/>
  <c r="B1377"/>
  <c r="Q1377" s="1"/>
  <c r="D1376"/>
  <c r="B1376"/>
  <c r="Q1376" s="1"/>
  <c r="D1375"/>
  <c r="B1375"/>
  <c r="Q1375" s="1"/>
  <c r="D1374"/>
  <c r="B1374"/>
  <c r="Q1374" s="1"/>
  <c r="D1373"/>
  <c r="B1373"/>
  <c r="Q1373" s="1"/>
  <c r="D1351"/>
  <c r="B1351"/>
  <c r="Q1351" s="1"/>
  <c r="D1350"/>
  <c r="B1350"/>
  <c r="Q1350" s="1"/>
  <c r="D1349"/>
  <c r="B1349"/>
  <c r="Q1349" s="1"/>
  <c r="D1348"/>
  <c r="B1348"/>
  <c r="Q1348" s="1"/>
  <c r="D1347"/>
  <c r="B1347"/>
  <c r="Q1347" s="1"/>
  <c r="D1346"/>
  <c r="B1346"/>
  <c r="Q1346" s="1"/>
  <c r="D1345"/>
  <c r="B1345"/>
  <c r="Q1345" s="1"/>
  <c r="D1344"/>
  <c r="B1344"/>
  <c r="Q1344" s="1"/>
  <c r="D1343"/>
  <c r="B1343"/>
  <c r="Q1343" s="1"/>
  <c r="D1341"/>
  <c r="B1341"/>
  <c r="Q1341" s="1"/>
  <c r="D1340"/>
  <c r="B1340"/>
  <c r="Q1340" s="1"/>
  <c r="D1339"/>
  <c r="B1339"/>
  <c r="Q1339" s="1"/>
  <c r="D1338"/>
  <c r="B1338"/>
  <c r="Q1338" s="1"/>
  <c r="D1337"/>
  <c r="B1337"/>
  <c r="Q1337" s="1"/>
  <c r="D1336"/>
  <c r="B1336"/>
  <c r="Q1336" s="1"/>
  <c r="D1335"/>
  <c r="B1335"/>
  <c r="Q1335" s="1"/>
  <c r="D1334"/>
  <c r="B1334"/>
  <c r="Q1334" s="1"/>
  <c r="D1333"/>
  <c r="B1333"/>
  <c r="Q1333" s="1"/>
  <c r="D1331"/>
  <c r="B1331"/>
  <c r="Q1331" s="1"/>
  <c r="D1330"/>
  <c r="B1330"/>
  <c r="Q1330" s="1"/>
  <c r="D1329"/>
  <c r="B1329"/>
  <c r="Q1329" s="1"/>
  <c r="D1328"/>
  <c r="B1328"/>
  <c r="Q1328" s="1"/>
  <c r="D1327"/>
  <c r="B1327"/>
  <c r="Q1327" s="1"/>
  <c r="D1326"/>
  <c r="B1326"/>
  <c r="Q1326" s="1"/>
  <c r="D1325"/>
  <c r="B1325"/>
  <c r="Q1325" s="1"/>
  <c r="D1324"/>
  <c r="B1324"/>
  <c r="Q1324" s="1"/>
  <c r="D1323"/>
  <c r="B1323"/>
  <c r="Q1323" s="1"/>
  <c r="D1301"/>
  <c r="B1301"/>
  <c r="Q1301" s="1"/>
  <c r="D1300"/>
  <c r="B1300"/>
  <c r="Q1300" s="1"/>
  <c r="D1299"/>
  <c r="B1299"/>
  <c r="Q1299" s="1"/>
  <c r="D1298"/>
  <c r="B1298"/>
  <c r="Q1298" s="1"/>
  <c r="D1297"/>
  <c r="B1297"/>
  <c r="Q1297" s="1"/>
  <c r="D1296"/>
  <c r="B1296"/>
  <c r="Q1296" s="1"/>
  <c r="D1295"/>
  <c r="B1295"/>
  <c r="Q1295" s="1"/>
  <c r="D1294"/>
  <c r="B1294"/>
  <c r="Q1294" s="1"/>
  <c r="D1293"/>
  <c r="B1293"/>
  <c r="Q1293" s="1"/>
  <c r="D1291"/>
  <c r="B1291"/>
  <c r="Q1291" s="1"/>
  <c r="D1290"/>
  <c r="B1290"/>
  <c r="Q1290" s="1"/>
  <c r="D1289"/>
  <c r="B1289"/>
  <c r="Q1289" s="1"/>
  <c r="D1288"/>
  <c r="B1288"/>
  <c r="Q1288" s="1"/>
  <c r="D1287"/>
  <c r="B1287"/>
  <c r="Q1287" s="1"/>
  <c r="D1286"/>
  <c r="B1286"/>
  <c r="Q1286" s="1"/>
  <c r="D1285"/>
  <c r="B1285"/>
  <c r="Q1285" s="1"/>
  <c r="D1284"/>
  <c r="B1284"/>
  <c r="Q1284" s="1"/>
  <c r="D1283"/>
  <c r="B1283"/>
  <c r="Q1283" s="1"/>
  <c r="D1281"/>
  <c r="B1281"/>
  <c r="Q1281" s="1"/>
  <c r="D1280"/>
  <c r="B1280"/>
  <c r="Q1280" s="1"/>
  <c r="D1279"/>
  <c r="B1279"/>
  <c r="Q1279" s="1"/>
  <c r="D1278"/>
  <c r="B1278"/>
  <c r="Q1278" s="1"/>
  <c r="D1277"/>
  <c r="B1277"/>
  <c r="Q1277" s="1"/>
  <c r="D1276"/>
  <c r="B1276"/>
  <c r="Q1276" s="1"/>
  <c r="D1275"/>
  <c r="B1275"/>
  <c r="Q1275" s="1"/>
  <c r="D1274"/>
  <c r="B1274"/>
  <c r="Q1274" s="1"/>
  <c r="D1273"/>
  <c r="B1273"/>
  <c r="Q1273" s="1"/>
  <c r="D1271"/>
  <c r="B1271"/>
  <c r="Q1271" s="1"/>
  <c r="D1270"/>
  <c r="B1270"/>
  <c r="Q1270" s="1"/>
  <c r="D1269"/>
  <c r="B1269"/>
  <c r="Q1269" s="1"/>
  <c r="D1268"/>
  <c r="B1268"/>
  <c r="Q1268" s="1"/>
  <c r="D1267"/>
  <c r="B1267"/>
  <c r="Q1267" s="1"/>
  <c r="D1266"/>
  <c r="B1266"/>
  <c r="Q1266" s="1"/>
  <c r="D1265"/>
  <c r="B1265"/>
  <c r="Q1265" s="1"/>
  <c r="D1264"/>
  <c r="B1264"/>
  <c r="Q1264" s="1"/>
  <c r="D1263"/>
  <c r="B1263"/>
  <c r="Q1263" s="1"/>
  <c r="D1261"/>
  <c r="B1261"/>
  <c r="Q1261" s="1"/>
  <c r="D1260"/>
  <c r="B1260"/>
  <c r="Q1260" s="1"/>
  <c r="D1259"/>
  <c r="B1259"/>
  <c r="Q1259" s="1"/>
  <c r="D1258"/>
  <c r="B1258"/>
  <c r="Q1258" s="1"/>
  <c r="D1257"/>
  <c r="B1257"/>
  <c r="Q1257" s="1"/>
  <c r="D1256"/>
  <c r="B1256"/>
  <c r="Q1256" s="1"/>
  <c r="D1255"/>
  <c r="B1255"/>
  <c r="Q1255" s="1"/>
  <c r="D1254"/>
  <c r="B1254"/>
  <c r="Q1254" s="1"/>
  <c r="D1253"/>
  <c r="B1253"/>
  <c r="Q1253" s="1"/>
  <c r="D1251"/>
  <c r="B1251"/>
  <c r="Q1251" s="1"/>
  <c r="D1250"/>
  <c r="B1250"/>
  <c r="Q1250" s="1"/>
  <c r="D1249"/>
  <c r="B1249"/>
  <c r="Q1249" s="1"/>
  <c r="D1248"/>
  <c r="B1248"/>
  <c r="Q1248" s="1"/>
  <c r="D1247"/>
  <c r="B1247"/>
  <c r="Q1247" s="1"/>
  <c r="D1246"/>
  <c r="B1246"/>
  <c r="Q1246" s="1"/>
  <c r="D1245"/>
  <c r="B1245"/>
  <c r="Q1245" s="1"/>
  <c r="D1244"/>
  <c r="B1244"/>
  <c r="Q1244" s="1"/>
  <c r="D1243"/>
  <c r="B1243"/>
  <c r="Q1243" s="1"/>
  <c r="D1241"/>
  <c r="B1241"/>
  <c r="Q1241" s="1"/>
  <c r="D1240"/>
  <c r="B1240"/>
  <c r="Q1240" s="1"/>
  <c r="D1239"/>
  <c r="B1239"/>
  <c r="Q1239" s="1"/>
  <c r="D1238"/>
  <c r="B1238"/>
  <c r="Q1238" s="1"/>
  <c r="D1237"/>
  <c r="B1237"/>
  <c r="Q1237" s="1"/>
  <c r="D1236"/>
  <c r="B1236"/>
  <c r="Q1236" s="1"/>
  <c r="D1235"/>
  <c r="B1235"/>
  <c r="Q1235" s="1"/>
  <c r="D1234"/>
  <c r="B1234"/>
  <c r="Q1234" s="1"/>
  <c r="D1233"/>
  <c r="B1233"/>
  <c r="Q1233" s="1"/>
  <c r="D1231"/>
  <c r="B1231"/>
  <c r="Q1231" s="1"/>
  <c r="D1230"/>
  <c r="B1230"/>
  <c r="Q1230" s="1"/>
  <c r="D1229"/>
  <c r="B1229"/>
  <c r="Q1229" s="1"/>
  <c r="D1228"/>
  <c r="B1228"/>
  <c r="Q1228" s="1"/>
  <c r="D1227"/>
  <c r="B1227"/>
  <c r="Q1227" s="1"/>
  <c r="D1226"/>
  <c r="B1226"/>
  <c r="Q1226" s="1"/>
  <c r="D1225"/>
  <c r="B1225"/>
  <c r="Q1225" s="1"/>
  <c r="D1224"/>
  <c r="B1224"/>
  <c r="Q1224" s="1"/>
  <c r="D1223"/>
  <c r="B1223"/>
  <c r="Q1223" s="1"/>
  <c r="D1221"/>
  <c r="B1221"/>
  <c r="Q1221" s="1"/>
  <c r="D1220"/>
  <c r="B1220"/>
  <c r="Q1220" s="1"/>
  <c r="D1219"/>
  <c r="B1219"/>
  <c r="Q1219" s="1"/>
  <c r="D1218"/>
  <c r="B1218"/>
  <c r="Q1218" s="1"/>
  <c r="D1217"/>
  <c r="B1217"/>
  <c r="Q1217" s="1"/>
  <c r="D1216"/>
  <c r="B1216"/>
  <c r="Q1216" s="1"/>
  <c r="D1215"/>
  <c r="B1215"/>
  <c r="Q1215" s="1"/>
  <c r="D1214"/>
  <c r="B1214"/>
  <c r="Q1214" s="1"/>
  <c r="D1213"/>
  <c r="B1213"/>
  <c r="Q1213" s="1"/>
  <c r="D1211"/>
  <c r="B1211"/>
  <c r="Q1211" s="1"/>
  <c r="D1210"/>
  <c r="B1210"/>
  <c r="Q1210" s="1"/>
  <c r="D1209"/>
  <c r="B1209"/>
  <c r="Q1209" s="1"/>
  <c r="D1208"/>
  <c r="B1208"/>
  <c r="Q1208" s="1"/>
  <c r="D1207"/>
  <c r="B1207"/>
  <c r="Q1207" s="1"/>
  <c r="D1206"/>
  <c r="B1206"/>
  <c r="Q1206" s="1"/>
  <c r="D1205"/>
  <c r="B1205"/>
  <c r="Q1205" s="1"/>
  <c r="D1204"/>
  <c r="B1204"/>
  <c r="Q1204" s="1"/>
  <c r="D1203"/>
  <c r="B1203"/>
  <c r="Q1203" s="1"/>
  <c r="D1201"/>
  <c r="B1201"/>
  <c r="Q1201" s="1"/>
  <c r="D1200"/>
  <c r="B1200"/>
  <c r="Q1200" s="1"/>
  <c r="D1199"/>
  <c r="B1199"/>
  <c r="Q1199" s="1"/>
  <c r="D1198"/>
  <c r="B1198"/>
  <c r="Q1198" s="1"/>
  <c r="D1197"/>
  <c r="B1197"/>
  <c r="Q1197" s="1"/>
  <c r="D1196"/>
  <c r="B1196"/>
  <c r="Q1196" s="1"/>
  <c r="D1195"/>
  <c r="B1195"/>
  <c r="Q1195" s="1"/>
  <c r="D1194"/>
  <c r="B1194"/>
  <c r="Q1194" s="1"/>
  <c r="D1193"/>
  <c r="B1193"/>
  <c r="Q1193" s="1"/>
  <c r="D1191"/>
  <c r="B1191"/>
  <c r="Q1191" s="1"/>
  <c r="D1190"/>
  <c r="B1190"/>
  <c r="Q1190" s="1"/>
  <c r="D1189"/>
  <c r="B1189"/>
  <c r="Q1189" s="1"/>
  <c r="D1188"/>
  <c r="B1188"/>
  <c r="Q1188" s="1"/>
  <c r="D1187"/>
  <c r="B1187"/>
  <c r="Q1187" s="1"/>
  <c r="D1186"/>
  <c r="B1186"/>
  <c r="Q1186" s="1"/>
  <c r="D1185"/>
  <c r="B1185"/>
  <c r="Q1185" s="1"/>
  <c r="D1184"/>
  <c r="B1184"/>
  <c r="Q1184" s="1"/>
  <c r="D1183"/>
  <c r="B1183"/>
  <c r="Q1183" s="1"/>
  <c r="D1181"/>
  <c r="B1181"/>
  <c r="Q1181" s="1"/>
  <c r="D1180"/>
  <c r="B1180"/>
  <c r="Q1180" s="1"/>
  <c r="D1179"/>
  <c r="B1179"/>
  <c r="Q1179" s="1"/>
  <c r="D1178"/>
  <c r="B1178"/>
  <c r="Q1178" s="1"/>
  <c r="D1177"/>
  <c r="B1177"/>
  <c r="Q1177" s="1"/>
  <c r="D1176"/>
  <c r="B1176"/>
  <c r="Q1176" s="1"/>
  <c r="D1175"/>
  <c r="B1175"/>
  <c r="Q1175" s="1"/>
  <c r="D1174"/>
  <c r="B1174"/>
  <c r="Q1174" s="1"/>
  <c r="D1173"/>
  <c r="B1173"/>
  <c r="Q1173" s="1"/>
  <c r="D1151"/>
  <c r="B1151"/>
  <c r="Q1151" s="1"/>
  <c r="D1150"/>
  <c r="B1150"/>
  <c r="Q1150" s="1"/>
  <c r="D1149"/>
  <c r="B1149"/>
  <c r="Q1149" s="1"/>
  <c r="D1148"/>
  <c r="B1148"/>
  <c r="Q1148" s="1"/>
  <c r="D1147"/>
  <c r="B1147"/>
  <c r="Q1147" s="1"/>
  <c r="D1146"/>
  <c r="B1146"/>
  <c r="Q1146" s="1"/>
  <c r="D1145"/>
  <c r="B1145"/>
  <c r="Q1145" s="1"/>
  <c r="D1144"/>
  <c r="B1144"/>
  <c r="Q1144" s="1"/>
  <c r="D1143"/>
  <c r="B1143"/>
  <c r="Q1143" s="1"/>
  <c r="D1141"/>
  <c r="B1141"/>
  <c r="Q1141" s="1"/>
  <c r="D1140"/>
  <c r="B1140"/>
  <c r="Q1140" s="1"/>
  <c r="D1139"/>
  <c r="B1139"/>
  <c r="Q1139" s="1"/>
  <c r="D1138"/>
  <c r="B1138"/>
  <c r="Q1138" s="1"/>
  <c r="D1137"/>
  <c r="B1137"/>
  <c r="Q1137" s="1"/>
  <c r="D1136"/>
  <c r="B1136"/>
  <c r="Q1136" s="1"/>
  <c r="D1135"/>
  <c r="B1135"/>
  <c r="Q1135" s="1"/>
  <c r="D1134"/>
  <c r="B1134"/>
  <c r="Q1134" s="1"/>
  <c r="D1133"/>
  <c r="B1133"/>
  <c r="Q1133" s="1"/>
  <c r="D1111"/>
  <c r="B1111"/>
  <c r="Q1111" s="1"/>
  <c r="D1110"/>
  <c r="B1110"/>
  <c r="Q1110" s="1"/>
  <c r="D1109"/>
  <c r="B1109"/>
  <c r="Q1109" s="1"/>
  <c r="D1108"/>
  <c r="B1108"/>
  <c r="Q1108" s="1"/>
  <c r="D1107"/>
  <c r="B1107"/>
  <c r="Q1107" s="1"/>
  <c r="D1106"/>
  <c r="B1106"/>
  <c r="Q1106" s="1"/>
  <c r="D1105"/>
  <c r="B1105"/>
  <c r="Q1105" s="1"/>
  <c r="D1104"/>
  <c r="B1104"/>
  <c r="Q1104" s="1"/>
  <c r="D1103"/>
  <c r="B1103"/>
  <c r="Q1103" s="1"/>
  <c r="D1101"/>
  <c r="B1101"/>
  <c r="Q1101" s="1"/>
  <c r="D1100"/>
  <c r="B1100"/>
  <c r="Q1100" s="1"/>
  <c r="D1099"/>
  <c r="B1099"/>
  <c r="Q1099" s="1"/>
  <c r="D1098"/>
  <c r="B1098"/>
  <c r="Q1098" s="1"/>
  <c r="D1097"/>
  <c r="B1097"/>
  <c r="Q1097" s="1"/>
  <c r="D1096"/>
  <c r="B1096"/>
  <c r="Q1096" s="1"/>
  <c r="D1095"/>
  <c r="B1095"/>
  <c r="Q1095" s="1"/>
  <c r="D1094"/>
  <c r="B1094"/>
  <c r="Q1094" s="1"/>
  <c r="D1093"/>
  <c r="B1093"/>
  <c r="Q1093" s="1"/>
  <c r="D1091"/>
  <c r="B1091"/>
  <c r="Q1091" s="1"/>
  <c r="D1090"/>
  <c r="B1090"/>
  <c r="Q1090" s="1"/>
  <c r="D1089"/>
  <c r="B1089"/>
  <c r="Q1089" s="1"/>
  <c r="D1088"/>
  <c r="B1088"/>
  <c r="Q1088" s="1"/>
  <c r="D1087"/>
  <c r="B1087"/>
  <c r="Q1087" s="1"/>
  <c r="D1086"/>
  <c r="B1086"/>
  <c r="Q1086" s="1"/>
  <c r="D1085"/>
  <c r="B1085"/>
  <c r="Q1085" s="1"/>
  <c r="D1084"/>
  <c r="B1084"/>
  <c r="Q1084" s="1"/>
  <c r="D1083"/>
  <c r="B1083"/>
  <c r="Q1083" s="1"/>
  <c r="D1081"/>
  <c r="B1081"/>
  <c r="Q1081" s="1"/>
  <c r="D1080"/>
  <c r="B1080"/>
  <c r="Q1080" s="1"/>
  <c r="D1079"/>
  <c r="B1079"/>
  <c r="Q1079" s="1"/>
  <c r="D1078"/>
  <c r="B1078"/>
  <c r="Q1078" s="1"/>
  <c r="D1077"/>
  <c r="B1077"/>
  <c r="Q1077" s="1"/>
  <c r="D1076"/>
  <c r="B1076"/>
  <c r="Q1076" s="1"/>
  <c r="D1075"/>
  <c r="B1075"/>
  <c r="Q1075" s="1"/>
  <c r="D1074"/>
  <c r="B1074"/>
  <c r="Q1074" s="1"/>
  <c r="D1073"/>
  <c r="B1073"/>
  <c r="Q1073" s="1"/>
  <c r="D1071"/>
  <c r="B1071"/>
  <c r="Q1071" s="1"/>
  <c r="D1070"/>
  <c r="B1070"/>
  <c r="Q1070" s="1"/>
  <c r="D1069"/>
  <c r="B1069"/>
  <c r="Q1069" s="1"/>
  <c r="D1068"/>
  <c r="B1068"/>
  <c r="Q1068" s="1"/>
  <c r="D1067"/>
  <c r="B1067"/>
  <c r="Q1067" s="1"/>
  <c r="D1066"/>
  <c r="B1066"/>
  <c r="Q1066" s="1"/>
  <c r="D1065"/>
  <c r="B1065"/>
  <c r="Q1065" s="1"/>
  <c r="D1064"/>
  <c r="B1064"/>
  <c r="Q1064" s="1"/>
  <c r="D1063"/>
  <c r="B1063"/>
  <c r="Q1063" s="1"/>
  <c r="D1061"/>
  <c r="B1061"/>
  <c r="Q1061" s="1"/>
  <c r="D1060"/>
  <c r="B1060"/>
  <c r="Q1060" s="1"/>
  <c r="D1059"/>
  <c r="B1059"/>
  <c r="Q1059" s="1"/>
  <c r="D1058"/>
  <c r="B1058"/>
  <c r="Q1058" s="1"/>
  <c r="D1057"/>
  <c r="B1057"/>
  <c r="Q1057" s="1"/>
  <c r="D1056"/>
  <c r="B1056"/>
  <c r="Q1056" s="1"/>
  <c r="D1055"/>
  <c r="B1055"/>
  <c r="Q1055" s="1"/>
  <c r="D1054"/>
  <c r="B1054"/>
  <c r="Q1054" s="1"/>
  <c r="D1053"/>
  <c r="B1053"/>
  <c r="Q1053" s="1"/>
  <c r="D1051"/>
  <c r="B1051"/>
  <c r="Q1051" s="1"/>
  <c r="D1050"/>
  <c r="B1050"/>
  <c r="Q1050" s="1"/>
  <c r="D1049"/>
  <c r="B1049"/>
  <c r="Q1049" s="1"/>
  <c r="D1048"/>
  <c r="B1048"/>
  <c r="Q1048" s="1"/>
  <c r="D1047"/>
  <c r="B1047"/>
  <c r="Q1047" s="1"/>
  <c r="D1046"/>
  <c r="B1046"/>
  <c r="Q1046" s="1"/>
  <c r="D1045"/>
  <c r="B1045"/>
  <c r="Q1045" s="1"/>
  <c r="D1044"/>
  <c r="B1044"/>
  <c r="Q1044" s="1"/>
  <c r="D1043"/>
  <c r="B1043"/>
  <c r="Q1043" s="1"/>
  <c r="D1041"/>
  <c r="B1041"/>
  <c r="Q1041" s="1"/>
  <c r="D1040"/>
  <c r="B1040"/>
  <c r="Q1040" s="1"/>
  <c r="D1039"/>
  <c r="B1039"/>
  <c r="Q1039" s="1"/>
  <c r="D1038"/>
  <c r="B1038"/>
  <c r="Q1038" s="1"/>
  <c r="D1037"/>
  <c r="B1037"/>
  <c r="Q1037" s="1"/>
  <c r="D1036"/>
  <c r="B1036"/>
  <c r="Q1036" s="1"/>
  <c r="D1035"/>
  <c r="B1035"/>
  <c r="Q1035" s="1"/>
  <c r="D1034"/>
  <c r="B1034"/>
  <c r="Q1034" s="1"/>
  <c r="D1033"/>
  <c r="B1033"/>
  <c r="Q1033" s="1"/>
  <c r="D1031"/>
  <c r="B1031"/>
  <c r="Q1031" s="1"/>
  <c r="D1030"/>
  <c r="B1030"/>
  <c r="Q1030" s="1"/>
  <c r="D1029"/>
  <c r="B1029"/>
  <c r="Q1029" s="1"/>
  <c r="D1028"/>
  <c r="B1028"/>
  <c r="Q1028" s="1"/>
  <c r="D1027"/>
  <c r="B1027"/>
  <c r="Q1027" s="1"/>
  <c r="D1026"/>
  <c r="B1026"/>
  <c r="Q1026" s="1"/>
  <c r="D1025"/>
  <c r="B1025"/>
  <c r="Q1025" s="1"/>
  <c r="D1024"/>
  <c r="B1024"/>
  <c r="Q1024" s="1"/>
  <c r="D1023"/>
  <c r="B1023"/>
  <c r="Q1023" s="1"/>
  <c r="D1021"/>
  <c r="B1021"/>
  <c r="Q1021" s="1"/>
  <c r="D1020"/>
  <c r="B1020"/>
  <c r="Q1020" s="1"/>
  <c r="D1019"/>
  <c r="B1019"/>
  <c r="Q1019" s="1"/>
  <c r="D1018"/>
  <c r="B1018"/>
  <c r="Q1018" s="1"/>
  <c r="D1017"/>
  <c r="B1017"/>
  <c r="Q1017" s="1"/>
  <c r="D1016"/>
  <c r="B1016"/>
  <c r="Q1016" s="1"/>
  <c r="D1015"/>
  <c r="B1015"/>
  <c r="Q1015" s="1"/>
  <c r="D1014"/>
  <c r="B1014"/>
  <c r="Q1014" s="1"/>
  <c r="D1013"/>
  <c r="B1013"/>
  <c r="Q1013" s="1"/>
  <c r="D1011"/>
  <c r="B1011"/>
  <c r="Q1011" s="1"/>
  <c r="D1010"/>
  <c r="B1010"/>
  <c r="Q1010" s="1"/>
  <c r="D1009"/>
  <c r="B1009"/>
  <c r="Q1009" s="1"/>
  <c r="D1008"/>
  <c r="B1008"/>
  <c r="Q1008" s="1"/>
  <c r="D1007"/>
  <c r="B1007"/>
  <c r="Q1007" s="1"/>
  <c r="D1006"/>
  <c r="B1006"/>
  <c r="Q1006" s="1"/>
  <c r="D1005"/>
  <c r="B1005"/>
  <c r="Q1005" s="1"/>
  <c r="D1004"/>
  <c r="B1004"/>
  <c r="Q1004" s="1"/>
  <c r="D1003"/>
  <c r="B1003"/>
  <c r="Q1003" s="1"/>
  <c r="D1001"/>
  <c r="B1001"/>
  <c r="Q1001" s="1"/>
  <c r="D1000"/>
  <c r="B1000"/>
  <c r="Q1000" s="1"/>
  <c r="D999"/>
  <c r="B999"/>
  <c r="Q999" s="1"/>
  <c r="D998"/>
  <c r="B998"/>
  <c r="Q998" s="1"/>
  <c r="D997"/>
  <c r="B997"/>
  <c r="Q997" s="1"/>
  <c r="D996"/>
  <c r="B996"/>
  <c r="Q996" s="1"/>
  <c r="D995"/>
  <c r="B995"/>
  <c r="Q995" s="1"/>
  <c r="D994"/>
  <c r="B994"/>
  <c r="Q994" s="1"/>
  <c r="D993"/>
  <c r="B993"/>
  <c r="Q993" s="1"/>
  <c r="D991"/>
  <c r="B991"/>
  <c r="Q991" s="1"/>
  <c r="D990"/>
  <c r="B990"/>
  <c r="Q990" s="1"/>
  <c r="D989"/>
  <c r="B989"/>
  <c r="Q989" s="1"/>
  <c r="D988"/>
  <c r="B988"/>
  <c r="Q988" s="1"/>
  <c r="D987"/>
  <c r="B987"/>
  <c r="Q987" s="1"/>
  <c r="D986"/>
  <c r="B986"/>
  <c r="Q986" s="1"/>
  <c r="D985"/>
  <c r="B985"/>
  <c r="Q985" s="1"/>
  <c r="D984"/>
  <c r="B984"/>
  <c r="Q984" s="1"/>
  <c r="D983"/>
  <c r="B983"/>
  <c r="Q983" s="1"/>
  <c r="D981"/>
  <c r="B981"/>
  <c r="Q981" s="1"/>
  <c r="D980"/>
  <c r="B980"/>
  <c r="Q980" s="1"/>
  <c r="D979"/>
  <c r="B979"/>
  <c r="Q979" s="1"/>
  <c r="D978"/>
  <c r="B978"/>
  <c r="Q978" s="1"/>
  <c r="D977"/>
  <c r="B977"/>
  <c r="Q977" s="1"/>
  <c r="D976"/>
  <c r="B976"/>
  <c r="Q976" s="1"/>
  <c r="D975"/>
  <c r="B975"/>
  <c r="Q975" s="1"/>
  <c r="D974"/>
  <c r="B974"/>
  <c r="Q974" s="1"/>
  <c r="D973"/>
  <c r="B973"/>
  <c r="Q973" s="1"/>
  <c r="D971"/>
  <c r="B971"/>
  <c r="Q971" s="1"/>
  <c r="D970"/>
  <c r="B970"/>
  <c r="Q970" s="1"/>
  <c r="D969"/>
  <c r="B969"/>
  <c r="Q969" s="1"/>
  <c r="D968"/>
  <c r="B968"/>
  <c r="Q968" s="1"/>
  <c r="D967"/>
  <c r="B967"/>
  <c r="Q967" s="1"/>
  <c r="D966"/>
  <c r="B966"/>
  <c r="Q966" s="1"/>
  <c r="D965"/>
  <c r="B965"/>
  <c r="Q965" s="1"/>
  <c r="D964"/>
  <c r="B964"/>
  <c r="Q964" s="1"/>
  <c r="D963"/>
  <c r="B963"/>
  <c r="Q963" s="1"/>
  <c r="D961"/>
  <c r="B961"/>
  <c r="Q961" s="1"/>
  <c r="D960"/>
  <c r="B960"/>
  <c r="Q960" s="1"/>
  <c r="D959"/>
  <c r="B959"/>
  <c r="Q959" s="1"/>
  <c r="D958"/>
  <c r="B958"/>
  <c r="Q958" s="1"/>
  <c r="D957"/>
  <c r="B957"/>
  <c r="Q957" s="1"/>
  <c r="D956"/>
  <c r="B956"/>
  <c r="Q956" s="1"/>
  <c r="D955"/>
  <c r="B955"/>
  <c r="Q955" s="1"/>
  <c r="D954"/>
  <c r="B954"/>
  <c r="Q954" s="1"/>
  <c r="D953"/>
  <c r="B953"/>
  <c r="Q953" s="1"/>
  <c r="D951"/>
  <c r="B951"/>
  <c r="Q951" s="1"/>
  <c r="D950"/>
  <c r="B950"/>
  <c r="Q950" s="1"/>
  <c r="D949"/>
  <c r="B949"/>
  <c r="Q949" s="1"/>
  <c r="D948"/>
  <c r="B948"/>
  <c r="Q948" s="1"/>
  <c r="D947"/>
  <c r="B947"/>
  <c r="Q947" s="1"/>
  <c r="D946"/>
  <c r="B946"/>
  <c r="Q946" s="1"/>
  <c r="D945"/>
  <c r="B945"/>
  <c r="Q945" s="1"/>
  <c r="D944"/>
  <c r="B944"/>
  <c r="Q944" s="1"/>
  <c r="D943"/>
  <c r="B943"/>
  <c r="Q943" s="1"/>
  <c r="D921"/>
  <c r="B921"/>
  <c r="Q921" s="1"/>
  <c r="D920"/>
  <c r="B920"/>
  <c r="Q920" s="1"/>
  <c r="D919"/>
  <c r="B919"/>
  <c r="Q919" s="1"/>
  <c r="D918"/>
  <c r="B918"/>
  <c r="Q918" s="1"/>
  <c r="D917"/>
  <c r="B917"/>
  <c r="Q917" s="1"/>
  <c r="D916"/>
  <c r="B916"/>
  <c r="Q916" s="1"/>
  <c r="D915"/>
  <c r="B915"/>
  <c r="Q915" s="1"/>
  <c r="D914"/>
  <c r="B914"/>
  <c r="Q914" s="1"/>
  <c r="D913"/>
  <c r="B913"/>
  <c r="Q913" s="1"/>
  <c r="D911"/>
  <c r="B911"/>
  <c r="Q911" s="1"/>
  <c r="D910"/>
  <c r="B910"/>
  <c r="Q910" s="1"/>
  <c r="D909"/>
  <c r="B909"/>
  <c r="Q909" s="1"/>
  <c r="D908"/>
  <c r="B908"/>
  <c r="Q908" s="1"/>
  <c r="D907"/>
  <c r="B907"/>
  <c r="Q907" s="1"/>
  <c r="D906"/>
  <c r="B906"/>
  <c r="Q906" s="1"/>
  <c r="D905"/>
  <c r="B905"/>
  <c r="Q905" s="1"/>
  <c r="D904"/>
  <c r="B904"/>
  <c r="Q904" s="1"/>
  <c r="D903"/>
  <c r="B903"/>
  <c r="Q903" s="1"/>
  <c r="D901"/>
  <c r="B901"/>
  <c r="Q901" s="1"/>
  <c r="D900"/>
  <c r="B900"/>
  <c r="Q900" s="1"/>
  <c r="D899"/>
  <c r="B899"/>
  <c r="Q899" s="1"/>
  <c r="D898"/>
  <c r="B898"/>
  <c r="Q898" s="1"/>
  <c r="D897"/>
  <c r="B897"/>
  <c r="Q897" s="1"/>
  <c r="D896"/>
  <c r="B896"/>
  <c r="Q896" s="1"/>
  <c r="D895"/>
  <c r="B895"/>
  <c r="Q895" s="1"/>
  <c r="D894"/>
  <c r="B894"/>
  <c r="Q894" s="1"/>
  <c r="D893"/>
  <c r="B893"/>
  <c r="Q893" s="1"/>
  <c r="D871"/>
  <c r="B871"/>
  <c r="Q871" s="1"/>
  <c r="D870"/>
  <c r="B870"/>
  <c r="Q870" s="1"/>
  <c r="D869"/>
  <c r="B869"/>
  <c r="Q869" s="1"/>
  <c r="D868"/>
  <c r="B868"/>
  <c r="Q868" s="1"/>
  <c r="D867"/>
  <c r="B867"/>
  <c r="Q867" s="1"/>
  <c r="D866"/>
  <c r="B866"/>
  <c r="Q866" s="1"/>
  <c r="D865"/>
  <c r="B865"/>
  <c r="Q865" s="1"/>
  <c r="D864"/>
  <c r="B864"/>
  <c r="Q864" s="1"/>
  <c r="D863"/>
  <c r="B863"/>
  <c r="Q863" s="1"/>
  <c r="D861"/>
  <c r="B861"/>
  <c r="Q861" s="1"/>
  <c r="D860"/>
  <c r="B860"/>
  <c r="Q860" s="1"/>
  <c r="D859"/>
  <c r="B859"/>
  <c r="Q859" s="1"/>
  <c r="D858"/>
  <c r="B858"/>
  <c r="Q858" s="1"/>
  <c r="D857"/>
  <c r="B857"/>
  <c r="Q857" s="1"/>
  <c r="D856"/>
  <c r="B856"/>
  <c r="Q856" s="1"/>
  <c r="D855"/>
  <c r="B855"/>
  <c r="Q855" s="1"/>
  <c r="D854"/>
  <c r="B854"/>
  <c r="Q854" s="1"/>
  <c r="D853"/>
  <c r="B853"/>
  <c r="Q853" s="1"/>
  <c r="D851"/>
  <c r="B851"/>
  <c r="Q851" s="1"/>
  <c r="D850"/>
  <c r="B850"/>
  <c r="Q850" s="1"/>
  <c r="D849"/>
  <c r="B849"/>
  <c r="Q849" s="1"/>
  <c r="D848"/>
  <c r="B848"/>
  <c r="Q848" s="1"/>
  <c r="D847"/>
  <c r="B847"/>
  <c r="Q847" s="1"/>
  <c r="D846"/>
  <c r="B846"/>
  <c r="Q846" s="1"/>
  <c r="D845"/>
  <c r="B845"/>
  <c r="Q845" s="1"/>
  <c r="D844"/>
  <c r="B844"/>
  <c r="Q844" s="1"/>
  <c r="D843"/>
  <c r="B843"/>
  <c r="Q843" s="1"/>
  <c r="D841"/>
  <c r="B841"/>
  <c r="Q841" s="1"/>
  <c r="D840"/>
  <c r="B840"/>
  <c r="Q840" s="1"/>
  <c r="D839"/>
  <c r="B839"/>
  <c r="Q839" s="1"/>
  <c r="D838"/>
  <c r="B838"/>
  <c r="Q838" s="1"/>
  <c r="D837"/>
  <c r="B837"/>
  <c r="Q837" s="1"/>
  <c r="D836"/>
  <c r="B836"/>
  <c r="Q836" s="1"/>
  <c r="D835"/>
  <c r="B835"/>
  <c r="Q835" s="1"/>
  <c r="D834"/>
  <c r="B834"/>
  <c r="Q834" s="1"/>
  <c r="D833"/>
  <c r="B833"/>
  <c r="Q833" s="1"/>
  <c r="D831"/>
  <c r="B831"/>
  <c r="Q831" s="1"/>
  <c r="D830"/>
  <c r="B830"/>
  <c r="Q830" s="1"/>
  <c r="D829"/>
  <c r="B829"/>
  <c r="Q829" s="1"/>
  <c r="D828"/>
  <c r="B828"/>
  <c r="Q828" s="1"/>
  <c r="D827"/>
  <c r="B827"/>
  <c r="Q827" s="1"/>
  <c r="D826"/>
  <c r="B826"/>
  <c r="Q826" s="1"/>
  <c r="D825"/>
  <c r="B825"/>
  <c r="Q825" s="1"/>
  <c r="D824"/>
  <c r="B824"/>
  <c r="Q824" s="1"/>
  <c r="D823"/>
  <c r="B823"/>
  <c r="Q823" s="1"/>
  <c r="D821"/>
  <c r="B821"/>
  <c r="Q821" s="1"/>
  <c r="D820"/>
  <c r="B820"/>
  <c r="Q820" s="1"/>
  <c r="D819"/>
  <c r="B819"/>
  <c r="Q819" s="1"/>
  <c r="D818"/>
  <c r="B818"/>
  <c r="Q818" s="1"/>
  <c r="D817"/>
  <c r="B817"/>
  <c r="Q817" s="1"/>
  <c r="D816"/>
  <c r="B816"/>
  <c r="Q816" s="1"/>
  <c r="D815"/>
  <c r="B815"/>
  <c r="Q815" s="1"/>
  <c r="D814"/>
  <c r="B814"/>
  <c r="Q814" s="1"/>
  <c r="D813"/>
  <c r="B813"/>
  <c r="Q813" s="1"/>
  <c r="D811"/>
  <c r="B811"/>
  <c r="Q811" s="1"/>
  <c r="D810"/>
  <c r="B810"/>
  <c r="Q810" s="1"/>
  <c r="D809"/>
  <c r="B809"/>
  <c r="Q809" s="1"/>
  <c r="D808"/>
  <c r="B808"/>
  <c r="Q808" s="1"/>
  <c r="D807"/>
  <c r="B807"/>
  <c r="Q807" s="1"/>
  <c r="D806"/>
  <c r="B806"/>
  <c r="Q806" s="1"/>
  <c r="D805"/>
  <c r="B805"/>
  <c r="Q805" s="1"/>
  <c r="D804"/>
  <c r="B804"/>
  <c r="Q804" s="1"/>
  <c r="D803"/>
  <c r="B803"/>
  <c r="Q803" s="1"/>
  <c r="D801"/>
  <c r="B801"/>
  <c r="Q801" s="1"/>
  <c r="D800"/>
  <c r="B800"/>
  <c r="Q800" s="1"/>
  <c r="D799"/>
  <c r="B799"/>
  <c r="Q799" s="1"/>
  <c r="D798"/>
  <c r="B798"/>
  <c r="Q798" s="1"/>
  <c r="D797"/>
  <c r="B797"/>
  <c r="Q797" s="1"/>
  <c r="D796"/>
  <c r="B796"/>
  <c r="Q796" s="1"/>
  <c r="D795"/>
  <c r="B795"/>
  <c r="Q795" s="1"/>
  <c r="D794"/>
  <c r="B794"/>
  <c r="Q794" s="1"/>
  <c r="D793"/>
  <c r="B793"/>
  <c r="Q793" s="1"/>
  <c r="D791"/>
  <c r="B791"/>
  <c r="Q791" s="1"/>
  <c r="D790"/>
  <c r="B790"/>
  <c r="Q790" s="1"/>
  <c r="D789"/>
  <c r="B789"/>
  <c r="Q789" s="1"/>
  <c r="D788"/>
  <c r="B788"/>
  <c r="Q788" s="1"/>
  <c r="D787"/>
  <c r="B787"/>
  <c r="Q787" s="1"/>
  <c r="D786"/>
  <c r="B786"/>
  <c r="Q786" s="1"/>
  <c r="D785"/>
  <c r="B785"/>
  <c r="Q785" s="1"/>
  <c r="D784"/>
  <c r="B784"/>
  <c r="Q784" s="1"/>
  <c r="D783"/>
  <c r="B783"/>
  <c r="Q783" s="1"/>
  <c r="D781"/>
  <c r="B781"/>
  <c r="Q781" s="1"/>
  <c r="D780"/>
  <c r="B780"/>
  <c r="Q780" s="1"/>
  <c r="D779"/>
  <c r="B779"/>
  <c r="Q779" s="1"/>
  <c r="D778"/>
  <c r="B778"/>
  <c r="Q778" s="1"/>
  <c r="D777"/>
  <c r="B777"/>
  <c r="Q777" s="1"/>
  <c r="D776"/>
  <c r="B776"/>
  <c r="Q776" s="1"/>
  <c r="D775"/>
  <c r="B775"/>
  <c r="Q775" s="1"/>
  <c r="D774"/>
  <c r="B774"/>
  <c r="Q774" s="1"/>
  <c r="D773"/>
  <c r="B773"/>
  <c r="Q773" s="1"/>
  <c r="D771"/>
  <c r="B771"/>
  <c r="Q771" s="1"/>
  <c r="D770"/>
  <c r="B770"/>
  <c r="Q770" s="1"/>
  <c r="D769"/>
  <c r="B769"/>
  <c r="Q769" s="1"/>
  <c r="D768"/>
  <c r="B768"/>
  <c r="Q768" s="1"/>
  <c r="D767"/>
  <c r="B767"/>
  <c r="Q767" s="1"/>
  <c r="D766"/>
  <c r="B766"/>
  <c r="Q766" s="1"/>
  <c r="D765"/>
  <c r="B765"/>
  <c r="Q765" s="1"/>
  <c r="D764"/>
  <c r="B764"/>
  <c r="Q764" s="1"/>
  <c r="D763"/>
  <c r="B763"/>
  <c r="Q763" s="1"/>
  <c r="D761"/>
  <c r="B761"/>
  <c r="Q761" s="1"/>
  <c r="D760"/>
  <c r="B760"/>
  <c r="Q760" s="1"/>
  <c r="D759"/>
  <c r="B759"/>
  <c r="Q759" s="1"/>
  <c r="D758"/>
  <c r="B758"/>
  <c r="Q758" s="1"/>
  <c r="D757"/>
  <c r="B757"/>
  <c r="Q757" s="1"/>
  <c r="D756"/>
  <c r="B756"/>
  <c r="Q756" s="1"/>
  <c r="D755"/>
  <c r="B755"/>
  <c r="Q755" s="1"/>
  <c r="D754"/>
  <c r="B754"/>
  <c r="Q754" s="1"/>
  <c r="D753"/>
  <c r="B753"/>
  <c r="Q753" s="1"/>
  <c r="D751"/>
  <c r="B751"/>
  <c r="Q751" s="1"/>
  <c r="D750"/>
  <c r="B750"/>
  <c r="Q750" s="1"/>
  <c r="D749"/>
  <c r="B749"/>
  <c r="Q749" s="1"/>
  <c r="D748"/>
  <c r="B748"/>
  <c r="Q748" s="1"/>
  <c r="D747"/>
  <c r="B747"/>
  <c r="Q747" s="1"/>
  <c r="D746"/>
  <c r="B746"/>
  <c r="Q746" s="1"/>
  <c r="D745"/>
  <c r="B745"/>
  <c r="Q745" s="1"/>
  <c r="D744"/>
  <c r="B744"/>
  <c r="Q744" s="1"/>
  <c r="D743"/>
  <c r="B743"/>
  <c r="Q743" s="1"/>
  <c r="R3" i="17" l="1"/>
  <c r="R3" i="18"/>
  <c r="R3" i="20"/>
  <c r="R3" i="22"/>
  <c r="R3" i="24"/>
  <c r="R3" i="29"/>
  <c r="R3" i="14"/>
  <c r="R3" i="19"/>
  <c r="R3" i="21"/>
  <c r="R3" i="23"/>
  <c r="R3" i="25"/>
  <c r="R3" i="26"/>
  <c r="R3" i="27"/>
  <c r="R3" i="28"/>
  <c r="R3" i="30"/>
  <c r="R36"/>
  <c r="D12" i="14"/>
  <c r="T18"/>
  <c r="H12" i="22"/>
  <c r="D12" i="17"/>
  <c r="T18"/>
  <c r="D12" i="18"/>
  <c r="T18"/>
  <c r="H12" i="23"/>
  <c r="H12" i="24"/>
  <c r="J6" i="19"/>
  <c r="R6"/>
  <c r="N9"/>
  <c r="B12"/>
  <c r="F15"/>
  <c r="N15"/>
  <c r="P15"/>
  <c r="R18"/>
  <c r="T18"/>
  <c r="N21"/>
  <c r="R24"/>
  <c r="J6" i="20"/>
  <c r="R6"/>
  <c r="N9"/>
  <c r="B12"/>
  <c r="F15"/>
  <c r="N15"/>
  <c r="P15"/>
  <c r="R18"/>
  <c r="T18"/>
  <c r="N21"/>
  <c r="R24"/>
  <c r="J36"/>
  <c r="R36"/>
  <c r="J6" i="21"/>
  <c r="R6"/>
  <c r="N9"/>
  <c r="B12"/>
  <c r="F15"/>
  <c r="J30"/>
  <c r="F3" i="22"/>
  <c r="N3"/>
  <c r="B6"/>
  <c r="R6"/>
  <c r="F15"/>
  <c r="B18"/>
  <c r="D18"/>
  <c r="R18"/>
  <c r="T18"/>
  <c r="N21"/>
  <c r="R24"/>
  <c r="F3" i="23"/>
  <c r="N3"/>
  <c r="B6"/>
  <c r="R6"/>
  <c r="F15"/>
  <c r="B18"/>
  <c r="D18"/>
  <c r="R18"/>
  <c r="T18"/>
  <c r="N21"/>
  <c r="R24"/>
  <c r="F30"/>
  <c r="F36"/>
  <c r="H36"/>
  <c r="N6" i="24"/>
  <c r="B9"/>
  <c r="D9"/>
  <c r="J9"/>
  <c r="F12"/>
  <c r="J15"/>
  <c r="L15"/>
  <c r="F18"/>
  <c r="J21"/>
  <c r="F30"/>
  <c r="F36"/>
  <c r="H36"/>
  <c r="B30" i="23"/>
  <c r="F3" i="25"/>
  <c r="B6"/>
  <c r="J6"/>
  <c r="R6"/>
  <c r="F9"/>
  <c r="H9"/>
  <c r="N9"/>
  <c r="B12"/>
  <c r="D12"/>
  <c r="N15"/>
  <c r="P15"/>
  <c r="B18"/>
  <c r="R18"/>
  <c r="N21"/>
  <c r="R24"/>
  <c r="F3" i="26"/>
  <c r="B6"/>
  <c r="J6"/>
  <c r="R6"/>
  <c r="F9"/>
  <c r="H9"/>
  <c r="N9"/>
  <c r="B12"/>
  <c r="D12"/>
  <c r="N15"/>
  <c r="P15"/>
  <c r="B18"/>
  <c r="R18"/>
  <c r="N21"/>
  <c r="R24"/>
  <c r="P27"/>
  <c r="J30"/>
  <c r="R36"/>
  <c r="T36"/>
  <c r="F3" i="27"/>
  <c r="B6"/>
  <c r="J6"/>
  <c r="F9"/>
  <c r="H9"/>
  <c r="N9"/>
  <c r="B12"/>
  <c r="D12"/>
  <c r="B18"/>
  <c r="R18"/>
  <c r="R24"/>
  <c r="B36"/>
  <c r="J36"/>
  <c r="R6" i="28"/>
  <c r="B12"/>
  <c r="F15"/>
  <c r="R18"/>
  <c r="T18"/>
  <c r="N21"/>
  <c r="R24"/>
  <c r="R6" i="29"/>
  <c r="B12"/>
  <c r="F15"/>
  <c r="R18"/>
  <c r="T18"/>
  <c r="N21"/>
  <c r="R24"/>
  <c r="J36"/>
  <c r="L36"/>
  <c r="R6" i="30"/>
  <c r="J30"/>
  <c r="N33"/>
  <c r="B36"/>
  <c r="D36"/>
  <c r="J36"/>
  <c r="B3" i="19"/>
  <c r="J3"/>
  <c r="F6"/>
  <c r="B9"/>
  <c r="D9"/>
  <c r="F12"/>
  <c r="H12"/>
  <c r="F18"/>
  <c r="J21"/>
  <c r="L21"/>
  <c r="B3" i="20"/>
  <c r="J3"/>
  <c r="F6"/>
  <c r="B9"/>
  <c r="D9"/>
  <c r="F12"/>
  <c r="H12"/>
  <c r="F18"/>
  <c r="J21"/>
  <c r="L21"/>
  <c r="F30"/>
  <c r="F36"/>
  <c r="H36"/>
  <c r="B3" i="21"/>
  <c r="F6"/>
  <c r="B9"/>
  <c r="D9"/>
  <c r="F12"/>
  <c r="H12"/>
  <c r="F18"/>
  <c r="F30"/>
  <c r="F36"/>
  <c r="N6" i="22"/>
  <c r="B9"/>
  <c r="D9"/>
  <c r="J9"/>
  <c r="F12"/>
  <c r="J15"/>
  <c r="L15"/>
  <c r="F18"/>
  <c r="J21"/>
  <c r="B9" i="23"/>
  <c r="D9"/>
  <c r="J9"/>
  <c r="F12"/>
  <c r="F18"/>
  <c r="J21"/>
  <c r="B36"/>
  <c r="D36"/>
  <c r="R36"/>
  <c r="F3" i="24"/>
  <c r="B6"/>
  <c r="R6"/>
  <c r="F15"/>
  <c r="B18"/>
  <c r="D18"/>
  <c r="N27"/>
  <c r="B30"/>
  <c r="B36"/>
  <c r="D36"/>
  <c r="J3" i="25"/>
  <c r="B15"/>
  <c r="F18"/>
  <c r="J21"/>
  <c r="L21"/>
  <c r="J3" i="26"/>
  <c r="B15"/>
  <c r="F18"/>
  <c r="J21"/>
  <c r="L21"/>
  <c r="F30"/>
  <c r="F36"/>
  <c r="H36"/>
  <c r="B15" i="27"/>
  <c r="F18"/>
  <c r="N30"/>
  <c r="N36"/>
  <c r="P36"/>
  <c r="B3" i="28"/>
  <c r="J3"/>
  <c r="F6"/>
  <c r="N6"/>
  <c r="B9"/>
  <c r="D9"/>
  <c r="J9"/>
  <c r="F12"/>
  <c r="H12"/>
  <c r="N12"/>
  <c r="P12"/>
  <c r="F18"/>
  <c r="J21"/>
  <c r="L21"/>
  <c r="B3" i="29"/>
  <c r="J3"/>
  <c r="F6"/>
  <c r="N6"/>
  <c r="B9"/>
  <c r="D9"/>
  <c r="J9"/>
  <c r="F12"/>
  <c r="H12"/>
  <c r="N12"/>
  <c r="P12"/>
  <c r="F18"/>
  <c r="J21"/>
  <c r="L21"/>
  <c r="F30"/>
  <c r="F36"/>
  <c r="H36"/>
  <c r="N36"/>
  <c r="B3" i="30"/>
  <c r="F6"/>
  <c r="N6"/>
  <c r="B9"/>
  <c r="D9"/>
  <c r="J9"/>
  <c r="F12"/>
  <c r="H12"/>
  <c r="F30"/>
  <c r="F3" i="14"/>
  <c r="N3"/>
  <c r="B6"/>
  <c r="R6"/>
  <c r="F9"/>
  <c r="H9"/>
  <c r="B12"/>
  <c r="N15"/>
  <c r="P15"/>
  <c r="B18"/>
  <c r="R18"/>
  <c r="L21"/>
  <c r="F3" i="17"/>
  <c r="N3"/>
  <c r="B6"/>
  <c r="R6"/>
  <c r="F9"/>
  <c r="H9"/>
  <c r="B12"/>
  <c r="N15"/>
  <c r="P15"/>
  <c r="B18"/>
  <c r="R18"/>
  <c r="N21"/>
  <c r="R24"/>
  <c r="P27"/>
  <c r="J30"/>
  <c r="R36"/>
  <c r="F3" i="18"/>
  <c r="P15"/>
  <c r="N21"/>
  <c r="R24"/>
  <c r="B36"/>
  <c r="L42"/>
  <c r="N6" i="14"/>
  <c r="J9"/>
  <c r="B15"/>
  <c r="F18"/>
  <c r="J21"/>
  <c r="N6" i="17"/>
  <c r="J9"/>
  <c r="B15"/>
  <c r="F18"/>
  <c r="J21"/>
  <c r="L21"/>
  <c r="F30"/>
  <c r="J9" i="18"/>
  <c r="N30"/>
  <c r="D741" i="4"/>
  <c r="B741"/>
  <c r="Q741" s="1"/>
  <c r="D740"/>
  <c r="B740"/>
  <c r="Q740" s="1"/>
  <c r="D739"/>
  <c r="B739"/>
  <c r="Q739" s="1"/>
  <c r="D738"/>
  <c r="B738"/>
  <c r="Q738" s="1"/>
  <c r="D737"/>
  <c r="B737"/>
  <c r="Q737" s="1"/>
  <c r="D736"/>
  <c r="B736"/>
  <c r="Q736" s="1"/>
  <c r="D735"/>
  <c r="B735"/>
  <c r="Q735" s="1"/>
  <c r="D734"/>
  <c r="B734"/>
  <c r="Q734" s="1"/>
  <c r="D733"/>
  <c r="B733"/>
  <c r="Q733" s="1"/>
  <c r="D711"/>
  <c r="B711"/>
  <c r="Q711" s="1"/>
  <c r="D710"/>
  <c r="B710"/>
  <c r="Q710" s="1"/>
  <c r="D709"/>
  <c r="B709"/>
  <c r="Q709" s="1"/>
  <c r="D708"/>
  <c r="B708"/>
  <c r="Q708" s="1"/>
  <c r="D707"/>
  <c r="B707"/>
  <c r="Q707" s="1"/>
  <c r="D706"/>
  <c r="B706"/>
  <c r="Q706" s="1"/>
  <c r="D705"/>
  <c r="B705"/>
  <c r="Q705" s="1"/>
  <c r="D704"/>
  <c r="B704"/>
  <c r="Q704" s="1"/>
  <c r="D703"/>
  <c r="B703"/>
  <c r="Q703" s="1"/>
  <c r="F691"/>
  <c r="F690"/>
  <c r="F689"/>
  <c r="F688"/>
  <c r="F687"/>
  <c r="F686"/>
  <c r="F685"/>
  <c r="F684"/>
  <c r="F683"/>
  <c r="F682"/>
  <c r="D701"/>
  <c r="B701"/>
  <c r="Q701" s="1"/>
  <c r="D700"/>
  <c r="B700"/>
  <c r="Q700" s="1"/>
  <c r="D699"/>
  <c r="B699"/>
  <c r="Q699" s="1"/>
  <c r="D698"/>
  <c r="B698"/>
  <c r="Q698" s="1"/>
  <c r="D697"/>
  <c r="B697"/>
  <c r="Q697" s="1"/>
  <c r="D696"/>
  <c r="B696"/>
  <c r="Q696" s="1"/>
  <c r="D695"/>
  <c r="B695"/>
  <c r="Q695" s="1"/>
  <c r="D694"/>
  <c r="B694"/>
  <c r="Q694" s="1"/>
  <c r="D693"/>
  <c r="B693"/>
  <c r="Q693" s="1"/>
  <c r="D691"/>
  <c r="B691"/>
  <c r="Q691" s="1"/>
  <c r="D690"/>
  <c r="B690"/>
  <c r="Q690" s="1"/>
  <c r="D689"/>
  <c r="B689"/>
  <c r="Q689" s="1"/>
  <c r="D688"/>
  <c r="B688"/>
  <c r="Q688" s="1"/>
  <c r="D687"/>
  <c r="B687"/>
  <c r="Q687" s="1"/>
  <c r="D686"/>
  <c r="B686"/>
  <c r="Q686" s="1"/>
  <c r="D685"/>
  <c r="B685"/>
  <c r="Q685" s="1"/>
  <c r="D684"/>
  <c r="B684"/>
  <c r="Q684" s="1"/>
  <c r="D683"/>
  <c r="B683"/>
  <c r="Q683" s="1"/>
  <c r="D661"/>
  <c r="B661"/>
  <c r="Q661" s="1"/>
  <c r="D660"/>
  <c r="B660"/>
  <c r="Q660" s="1"/>
  <c r="D659"/>
  <c r="B659"/>
  <c r="Q659" s="1"/>
  <c r="D658"/>
  <c r="B658"/>
  <c r="Q658" s="1"/>
  <c r="D657"/>
  <c r="B657"/>
  <c r="Q657" s="1"/>
  <c r="D656"/>
  <c r="B656"/>
  <c r="Q656" s="1"/>
  <c r="D655"/>
  <c r="B655"/>
  <c r="Q655" s="1"/>
  <c r="D654"/>
  <c r="B654"/>
  <c r="Q654" s="1"/>
  <c r="D653"/>
  <c r="B653"/>
  <c r="Q653" s="1"/>
  <c r="D651"/>
  <c r="B651"/>
  <c r="Q651" s="1"/>
  <c r="D650"/>
  <c r="B650"/>
  <c r="Q650" s="1"/>
  <c r="D649"/>
  <c r="B649"/>
  <c r="Q649" s="1"/>
  <c r="D648"/>
  <c r="B648"/>
  <c r="Q648" s="1"/>
  <c r="D647"/>
  <c r="B647"/>
  <c r="Q647" s="1"/>
  <c r="D646"/>
  <c r="B646"/>
  <c r="Q646" s="1"/>
  <c r="D645"/>
  <c r="B645"/>
  <c r="Q645" s="1"/>
  <c r="D644"/>
  <c r="B644"/>
  <c r="Q644" s="1"/>
  <c r="D643"/>
  <c r="B643"/>
  <c r="Q643" s="1"/>
  <c r="D641"/>
  <c r="B641"/>
  <c r="Q641" s="1"/>
  <c r="D640"/>
  <c r="B640"/>
  <c r="Q640" s="1"/>
  <c r="D639"/>
  <c r="B639"/>
  <c r="Q639" s="1"/>
  <c r="D638"/>
  <c r="B638"/>
  <c r="Q638" s="1"/>
  <c r="D637"/>
  <c r="B637"/>
  <c r="Q637" s="1"/>
  <c r="D636"/>
  <c r="B636"/>
  <c r="Q636" s="1"/>
  <c r="D635"/>
  <c r="B635"/>
  <c r="Q635" s="1"/>
  <c r="D634"/>
  <c r="B634"/>
  <c r="Q634" s="1"/>
  <c r="D633"/>
  <c r="B633"/>
  <c r="Q633" s="1"/>
  <c r="D631"/>
  <c r="B631"/>
  <c r="Q631" s="1"/>
  <c r="D630"/>
  <c r="B630"/>
  <c r="Q630" s="1"/>
  <c r="D629"/>
  <c r="B629"/>
  <c r="Q629" s="1"/>
  <c r="D628"/>
  <c r="B628"/>
  <c r="Q628" s="1"/>
  <c r="D627"/>
  <c r="B627"/>
  <c r="Q627" s="1"/>
  <c r="D626"/>
  <c r="B626"/>
  <c r="Q626" s="1"/>
  <c r="D625"/>
  <c r="B625"/>
  <c r="Q625" s="1"/>
  <c r="D624"/>
  <c r="B624"/>
  <c r="Q624" s="1"/>
  <c r="D623"/>
  <c r="B623"/>
  <c r="Q623" s="1"/>
  <c r="D621"/>
  <c r="B621"/>
  <c r="Q621" s="1"/>
  <c r="D620"/>
  <c r="B620"/>
  <c r="Q620" s="1"/>
  <c r="D619"/>
  <c r="B619"/>
  <c r="Q619" s="1"/>
  <c r="D618"/>
  <c r="B618"/>
  <c r="Q618" s="1"/>
  <c r="D617"/>
  <c r="B617"/>
  <c r="Q617" s="1"/>
  <c r="D616"/>
  <c r="B616"/>
  <c r="Q616" s="1"/>
  <c r="D615"/>
  <c r="B615"/>
  <c r="Q615" s="1"/>
  <c r="D614"/>
  <c r="B614"/>
  <c r="Q614" s="1"/>
  <c r="D613"/>
  <c r="B613"/>
  <c r="Q613" s="1"/>
  <c r="D611"/>
  <c r="B611"/>
  <c r="Q611" s="1"/>
  <c r="D610"/>
  <c r="B610"/>
  <c r="Q610" s="1"/>
  <c r="D609"/>
  <c r="B609"/>
  <c r="Q609" s="1"/>
  <c r="D608"/>
  <c r="B608"/>
  <c r="Q608" s="1"/>
  <c r="D607"/>
  <c r="B607"/>
  <c r="Q607" s="1"/>
  <c r="D606"/>
  <c r="B606"/>
  <c r="Q606" s="1"/>
  <c r="D605"/>
  <c r="B605"/>
  <c r="Q605" s="1"/>
  <c r="D604"/>
  <c r="B604"/>
  <c r="Q604" s="1"/>
  <c r="D603"/>
  <c r="B603"/>
  <c r="Q603" s="1"/>
  <c r="D601"/>
  <c r="B601"/>
  <c r="Q601" s="1"/>
  <c r="D600"/>
  <c r="B600"/>
  <c r="Q600" s="1"/>
  <c r="D599"/>
  <c r="B599"/>
  <c r="Q599" s="1"/>
  <c r="D598"/>
  <c r="B598"/>
  <c r="Q598" s="1"/>
  <c r="D597"/>
  <c r="B597"/>
  <c r="Q597" s="1"/>
  <c r="D596"/>
  <c r="B596"/>
  <c r="Q596" s="1"/>
  <c r="D595"/>
  <c r="B595"/>
  <c r="Q595" s="1"/>
  <c r="D594"/>
  <c r="B594"/>
  <c r="Q594" s="1"/>
  <c r="D593"/>
  <c r="B593"/>
  <c r="Q593" s="1"/>
  <c r="D591"/>
  <c r="B591"/>
  <c r="Q591" s="1"/>
  <c r="D590"/>
  <c r="B590"/>
  <c r="Q590" s="1"/>
  <c r="D589"/>
  <c r="B589"/>
  <c r="Q589" s="1"/>
  <c r="D588"/>
  <c r="B588"/>
  <c r="Q588" s="1"/>
  <c r="D587"/>
  <c r="B587"/>
  <c r="Q587" s="1"/>
  <c r="D586"/>
  <c r="B586"/>
  <c r="Q586" s="1"/>
  <c r="D585"/>
  <c r="B585"/>
  <c r="Q585" s="1"/>
  <c r="D584"/>
  <c r="B584"/>
  <c r="Q584" s="1"/>
  <c r="D583"/>
  <c r="B583"/>
  <c r="Q583" s="1"/>
  <c r="D581"/>
  <c r="B581"/>
  <c r="Q581" s="1"/>
  <c r="D580"/>
  <c r="B580"/>
  <c r="Q580" s="1"/>
  <c r="D579"/>
  <c r="B579"/>
  <c r="Q579" s="1"/>
  <c r="D578"/>
  <c r="B578"/>
  <c r="Q578" s="1"/>
  <c r="D577"/>
  <c r="B577"/>
  <c r="Q577" s="1"/>
  <c r="D576"/>
  <c r="B576"/>
  <c r="Q576" s="1"/>
  <c r="D575"/>
  <c r="B575"/>
  <c r="Q575" s="1"/>
  <c r="D574"/>
  <c r="B574"/>
  <c r="Q574" s="1"/>
  <c r="D573"/>
  <c r="B573"/>
  <c r="Q573" s="1"/>
  <c r="D571"/>
  <c r="B571"/>
  <c r="Q571" s="1"/>
  <c r="D570"/>
  <c r="B570"/>
  <c r="Q570" s="1"/>
  <c r="D569"/>
  <c r="B569"/>
  <c r="Q569" s="1"/>
  <c r="D568"/>
  <c r="B568"/>
  <c r="Q568" s="1"/>
  <c r="D567"/>
  <c r="B567"/>
  <c r="Q567" s="1"/>
  <c r="D566"/>
  <c r="B566"/>
  <c r="Q566" s="1"/>
  <c r="D565"/>
  <c r="B565"/>
  <c r="Q565" s="1"/>
  <c r="D564"/>
  <c r="B564"/>
  <c r="Q564" s="1"/>
  <c r="D563"/>
  <c r="B563"/>
  <c r="Q563" s="1"/>
  <c r="D561"/>
  <c r="B561"/>
  <c r="Q561" s="1"/>
  <c r="D560"/>
  <c r="B560"/>
  <c r="Q560" s="1"/>
  <c r="D559"/>
  <c r="B559"/>
  <c r="Q559" s="1"/>
  <c r="D558"/>
  <c r="B558"/>
  <c r="Q558" s="1"/>
  <c r="D557"/>
  <c r="B557"/>
  <c r="Q557" s="1"/>
  <c r="D556"/>
  <c r="B556"/>
  <c r="Q556" s="1"/>
  <c r="D555"/>
  <c r="B555"/>
  <c r="Q555" s="1"/>
  <c r="D554"/>
  <c r="B554"/>
  <c r="Q554" s="1"/>
  <c r="D553"/>
  <c r="B553"/>
  <c r="Q553" s="1"/>
  <c r="D551"/>
  <c r="B551"/>
  <c r="Q551" s="1"/>
  <c r="D550"/>
  <c r="B550"/>
  <c r="Q550" s="1"/>
  <c r="D549"/>
  <c r="B549"/>
  <c r="Q549" s="1"/>
  <c r="D548"/>
  <c r="B548"/>
  <c r="Q548" s="1"/>
  <c r="D547"/>
  <c r="B547"/>
  <c r="Q547" s="1"/>
  <c r="D546"/>
  <c r="B546"/>
  <c r="Q546" s="1"/>
  <c r="D545"/>
  <c r="B545"/>
  <c r="Q545" s="1"/>
  <c r="D544"/>
  <c r="B544"/>
  <c r="Q544" s="1"/>
  <c r="D543"/>
  <c r="B543"/>
  <c r="Q543" s="1"/>
  <c r="D541"/>
  <c r="B541"/>
  <c r="Q541" s="1"/>
  <c r="D540"/>
  <c r="B540"/>
  <c r="Q540" s="1"/>
  <c r="D539"/>
  <c r="B539"/>
  <c r="Q539" s="1"/>
  <c r="D538"/>
  <c r="B538"/>
  <c r="Q538" s="1"/>
  <c r="D537"/>
  <c r="B537"/>
  <c r="Q537" s="1"/>
  <c r="D536"/>
  <c r="B536"/>
  <c r="Q536" s="1"/>
  <c r="D535"/>
  <c r="B535"/>
  <c r="Q535" s="1"/>
  <c r="D534"/>
  <c r="B534"/>
  <c r="Q534" s="1"/>
  <c r="D533"/>
  <c r="B533"/>
  <c r="Q533" s="1"/>
  <c r="D531"/>
  <c r="B531"/>
  <c r="Q531" s="1"/>
  <c r="D530"/>
  <c r="B530"/>
  <c r="Q530" s="1"/>
  <c r="D529"/>
  <c r="B529"/>
  <c r="Q529" s="1"/>
  <c r="D528"/>
  <c r="B528"/>
  <c r="Q528" s="1"/>
  <c r="D527"/>
  <c r="B527"/>
  <c r="Q527" s="1"/>
  <c r="D526"/>
  <c r="B526"/>
  <c r="Q526" s="1"/>
  <c r="D525"/>
  <c r="B525"/>
  <c r="Q525" s="1"/>
  <c r="D524"/>
  <c r="B524"/>
  <c r="Q524" s="1"/>
  <c r="D523"/>
  <c r="B523"/>
  <c r="Q523" s="1"/>
  <c r="D501"/>
  <c r="B501"/>
  <c r="Q501" s="1"/>
  <c r="D500"/>
  <c r="B500"/>
  <c r="Q500" s="1"/>
  <c r="D499"/>
  <c r="B499"/>
  <c r="Q499" s="1"/>
  <c r="D498"/>
  <c r="B498"/>
  <c r="Q498" s="1"/>
  <c r="D497"/>
  <c r="B497"/>
  <c r="Q497" s="1"/>
  <c r="D496"/>
  <c r="B496"/>
  <c r="Q496" s="1"/>
  <c r="D495"/>
  <c r="B495"/>
  <c r="Q495" s="1"/>
  <c r="D494"/>
  <c r="B494"/>
  <c r="Q494" s="1"/>
  <c r="D493"/>
  <c r="B493"/>
  <c r="Q493" s="1"/>
  <c r="D491"/>
  <c r="B491"/>
  <c r="Q491" s="1"/>
  <c r="D490"/>
  <c r="B490"/>
  <c r="Q490" s="1"/>
  <c r="D489"/>
  <c r="B489"/>
  <c r="Q489" s="1"/>
  <c r="D488"/>
  <c r="B488"/>
  <c r="Q488" s="1"/>
  <c r="D487"/>
  <c r="B487"/>
  <c r="Q487" s="1"/>
  <c r="D486"/>
  <c r="B486"/>
  <c r="Q486" s="1"/>
  <c r="D485"/>
  <c r="B485"/>
  <c r="Q485" s="1"/>
  <c r="D484"/>
  <c r="B484"/>
  <c r="Q484" s="1"/>
  <c r="D483"/>
  <c r="B483"/>
  <c r="Q483" s="1"/>
  <c r="D481"/>
  <c r="B481"/>
  <c r="Q481" s="1"/>
  <c r="D480"/>
  <c r="B480"/>
  <c r="Q480" s="1"/>
  <c r="D479"/>
  <c r="B479"/>
  <c r="Q479" s="1"/>
  <c r="D478"/>
  <c r="B478"/>
  <c r="Q478" s="1"/>
  <c r="D477"/>
  <c r="B477"/>
  <c r="Q477" s="1"/>
  <c r="D476"/>
  <c r="B476"/>
  <c r="Q476" s="1"/>
  <c r="D475"/>
  <c r="B475"/>
  <c r="Q475" s="1"/>
  <c r="D474"/>
  <c r="B474"/>
  <c r="Q474" s="1"/>
  <c r="D473"/>
  <c r="B473"/>
  <c r="Q473" s="1"/>
  <c r="D451"/>
  <c r="B451"/>
  <c r="Q451" s="1"/>
  <c r="D450"/>
  <c r="B450"/>
  <c r="Q450" s="1"/>
  <c r="D449"/>
  <c r="B449"/>
  <c r="Q449" s="1"/>
  <c r="D448"/>
  <c r="B448"/>
  <c r="Q448" s="1"/>
  <c r="D447"/>
  <c r="B447"/>
  <c r="Q447" s="1"/>
  <c r="D446"/>
  <c r="B446"/>
  <c r="Q446" s="1"/>
  <c r="D445"/>
  <c r="B445"/>
  <c r="Q445" s="1"/>
  <c r="D444"/>
  <c r="B444"/>
  <c r="Q444" s="1"/>
  <c r="D443"/>
  <c r="B443"/>
  <c r="Q443" s="1"/>
  <c r="D441"/>
  <c r="B441"/>
  <c r="Q441" s="1"/>
  <c r="D440"/>
  <c r="B440"/>
  <c r="Q440" s="1"/>
  <c r="D439"/>
  <c r="B439"/>
  <c r="Q439" s="1"/>
  <c r="D438"/>
  <c r="B438"/>
  <c r="Q438" s="1"/>
  <c r="D437"/>
  <c r="B437"/>
  <c r="Q437" s="1"/>
  <c r="D436"/>
  <c r="B436"/>
  <c r="Q436" s="1"/>
  <c r="D435"/>
  <c r="B435"/>
  <c r="Q435" s="1"/>
  <c r="D434"/>
  <c r="B434"/>
  <c r="Q434" s="1"/>
  <c r="D433"/>
  <c r="B433"/>
  <c r="Q433" s="1"/>
  <c r="D431"/>
  <c r="B431"/>
  <c r="Q431" s="1"/>
  <c r="D430"/>
  <c r="B430"/>
  <c r="Q430" s="1"/>
  <c r="D429"/>
  <c r="B429"/>
  <c r="Q429" s="1"/>
  <c r="D428"/>
  <c r="B428"/>
  <c r="Q428" s="1"/>
  <c r="D427"/>
  <c r="B427"/>
  <c r="Q427" s="1"/>
  <c r="D426"/>
  <c r="B426"/>
  <c r="Q426" s="1"/>
  <c r="D425"/>
  <c r="B425"/>
  <c r="Q425" s="1"/>
  <c r="D424"/>
  <c r="B424"/>
  <c r="Q424" s="1"/>
  <c r="D423"/>
  <c r="B423"/>
  <c r="Q423" s="1"/>
  <c r="D421"/>
  <c r="B421"/>
  <c r="Q421" s="1"/>
  <c r="D420"/>
  <c r="B420"/>
  <c r="Q420" s="1"/>
  <c r="D419"/>
  <c r="B419"/>
  <c r="Q419" s="1"/>
  <c r="D418"/>
  <c r="B418"/>
  <c r="Q418" s="1"/>
  <c r="D417"/>
  <c r="B417"/>
  <c r="Q417" s="1"/>
  <c r="D416"/>
  <c r="B416"/>
  <c r="Q416" s="1"/>
  <c r="D415"/>
  <c r="B415"/>
  <c r="Q415" s="1"/>
  <c r="D414"/>
  <c r="B414"/>
  <c r="Q414" s="1"/>
  <c r="D413"/>
  <c r="B413"/>
  <c r="Q413" s="1"/>
  <c r="D411"/>
  <c r="B411"/>
  <c r="Q411" s="1"/>
  <c r="D410"/>
  <c r="B410"/>
  <c r="Q410" s="1"/>
  <c r="D409"/>
  <c r="B409"/>
  <c r="Q409" s="1"/>
  <c r="D408"/>
  <c r="B408"/>
  <c r="Q408" s="1"/>
  <c r="D407"/>
  <c r="B407"/>
  <c r="Q407" s="1"/>
  <c r="D406"/>
  <c r="B406"/>
  <c r="Q406" s="1"/>
  <c r="D405"/>
  <c r="B405"/>
  <c r="Q405" s="1"/>
  <c r="D404"/>
  <c r="B404"/>
  <c r="Q404" s="1"/>
  <c r="D403"/>
  <c r="B403"/>
  <c r="Q403" s="1"/>
  <c r="D401"/>
  <c r="B401"/>
  <c r="Q401" s="1"/>
  <c r="D400"/>
  <c r="B400"/>
  <c r="Q400" s="1"/>
  <c r="D399"/>
  <c r="B399"/>
  <c r="Q399" s="1"/>
  <c r="D398"/>
  <c r="B398"/>
  <c r="Q398" s="1"/>
  <c r="D397"/>
  <c r="B397"/>
  <c r="Q397" s="1"/>
  <c r="D396"/>
  <c r="B396"/>
  <c r="Q396" s="1"/>
  <c r="D395"/>
  <c r="B395"/>
  <c r="Q395" s="1"/>
  <c r="D394"/>
  <c r="B394"/>
  <c r="Q394" s="1"/>
  <c r="D393"/>
  <c r="B393"/>
  <c r="Q393" s="1"/>
  <c r="D391"/>
  <c r="B391"/>
  <c r="Q391" s="1"/>
  <c r="D390"/>
  <c r="B390"/>
  <c r="Q390" s="1"/>
  <c r="D389"/>
  <c r="B389"/>
  <c r="Q389" s="1"/>
  <c r="D388"/>
  <c r="B388"/>
  <c r="Q388" s="1"/>
  <c r="D387"/>
  <c r="B387"/>
  <c r="Q387" s="1"/>
  <c r="D386"/>
  <c r="B386"/>
  <c r="Q386" s="1"/>
  <c r="D385"/>
  <c r="B385"/>
  <c r="Q385" s="1"/>
  <c r="D384"/>
  <c r="B384"/>
  <c r="Q384" s="1"/>
  <c r="D383"/>
  <c r="B383"/>
  <c r="Q383" s="1"/>
  <c r="D381"/>
  <c r="B381"/>
  <c r="Q381" s="1"/>
  <c r="D380"/>
  <c r="B380"/>
  <c r="Q380" s="1"/>
  <c r="D379"/>
  <c r="B379"/>
  <c r="Q379" s="1"/>
  <c r="D378"/>
  <c r="B378"/>
  <c r="Q378" s="1"/>
  <c r="D377"/>
  <c r="B377"/>
  <c r="Q377" s="1"/>
  <c r="D376"/>
  <c r="B376"/>
  <c r="Q376" s="1"/>
  <c r="D375"/>
  <c r="B375"/>
  <c r="Q375" s="1"/>
  <c r="D374"/>
  <c r="B374"/>
  <c r="Q374" s="1"/>
  <c r="D373"/>
  <c r="B373"/>
  <c r="Q373" s="1"/>
  <c r="D371"/>
  <c r="B371"/>
  <c r="Q371" s="1"/>
  <c r="D370"/>
  <c r="B370"/>
  <c r="Q370" s="1"/>
  <c r="D369"/>
  <c r="B369"/>
  <c r="Q369" s="1"/>
  <c r="D368"/>
  <c r="B368"/>
  <c r="Q368" s="1"/>
  <c r="D367"/>
  <c r="B367"/>
  <c r="Q367" s="1"/>
  <c r="D366"/>
  <c r="B366"/>
  <c r="Q366" s="1"/>
  <c r="D365"/>
  <c r="B365"/>
  <c r="Q365" s="1"/>
  <c r="D364"/>
  <c r="B364"/>
  <c r="Q364" s="1"/>
  <c r="D363"/>
  <c r="B363"/>
  <c r="Q363" s="1"/>
  <c r="D361" l="1"/>
  <c r="B361"/>
  <c r="Q361" s="1"/>
  <c r="D360"/>
  <c r="B360"/>
  <c r="Q360" s="1"/>
  <c r="D359"/>
  <c r="B359"/>
  <c r="Q359" s="1"/>
  <c r="D358"/>
  <c r="B358"/>
  <c r="Q358" s="1"/>
  <c r="D357"/>
  <c r="B357"/>
  <c r="Q357" s="1"/>
  <c r="D356"/>
  <c r="B356"/>
  <c r="Q356" s="1"/>
  <c r="D355"/>
  <c r="B355"/>
  <c r="Q355" s="1"/>
  <c r="D354"/>
  <c r="B354"/>
  <c r="Q354" s="1"/>
  <c r="D353"/>
  <c r="B353"/>
  <c r="Q353" s="1"/>
  <c r="D351"/>
  <c r="B351"/>
  <c r="Q351" s="1"/>
  <c r="D350"/>
  <c r="B350"/>
  <c r="Q350" s="1"/>
  <c r="D349"/>
  <c r="B349"/>
  <c r="Q349" s="1"/>
  <c r="D348"/>
  <c r="B348"/>
  <c r="Q348" s="1"/>
  <c r="D347"/>
  <c r="B347"/>
  <c r="Q347" s="1"/>
  <c r="D346"/>
  <c r="B346"/>
  <c r="Q346" s="1"/>
  <c r="D345"/>
  <c r="B345"/>
  <c r="Q345" s="1"/>
  <c r="D344"/>
  <c r="B344"/>
  <c r="Q344" s="1"/>
  <c r="D343"/>
  <c r="B343"/>
  <c r="Q343" s="1"/>
  <c r="D341"/>
  <c r="B341"/>
  <c r="Q341" s="1"/>
  <c r="D340"/>
  <c r="B340"/>
  <c r="Q340" s="1"/>
  <c r="D339"/>
  <c r="B339"/>
  <c r="Q339" s="1"/>
  <c r="D338"/>
  <c r="B338"/>
  <c r="Q338" s="1"/>
  <c r="D337"/>
  <c r="B337"/>
  <c r="Q337" s="1"/>
  <c r="D336"/>
  <c r="B336"/>
  <c r="Q336" s="1"/>
  <c r="D335"/>
  <c r="B335"/>
  <c r="Q335" s="1"/>
  <c r="D334"/>
  <c r="B334"/>
  <c r="Q334" s="1"/>
  <c r="D333"/>
  <c r="B333"/>
  <c r="Q333" s="1"/>
  <c r="Y331"/>
  <c r="Y330"/>
  <c r="Y329"/>
  <c r="Y328"/>
  <c r="Y327"/>
  <c r="Y326"/>
  <c r="Y325"/>
  <c r="Y324"/>
  <c r="Y323"/>
  <c r="Y322"/>
  <c r="D331"/>
  <c r="B331"/>
  <c r="Q331" s="1"/>
  <c r="D330"/>
  <c r="B330"/>
  <c r="Q330" s="1"/>
  <c r="D329"/>
  <c r="B329"/>
  <c r="Q329" s="1"/>
  <c r="D328"/>
  <c r="B328"/>
  <c r="Q328" s="1"/>
  <c r="D327"/>
  <c r="B327"/>
  <c r="Q327" s="1"/>
  <c r="D326"/>
  <c r="B326"/>
  <c r="Q326" s="1"/>
  <c r="D325"/>
  <c r="B325"/>
  <c r="Q325" s="1"/>
  <c r="D324"/>
  <c r="B324"/>
  <c r="Q324" s="1"/>
  <c r="D323"/>
  <c r="B323"/>
  <c r="Q323" s="1"/>
  <c r="D321"/>
  <c r="B321"/>
  <c r="Q321" s="1"/>
  <c r="D320"/>
  <c r="B320"/>
  <c r="Q320" s="1"/>
  <c r="D319"/>
  <c r="B319"/>
  <c r="Q319" s="1"/>
  <c r="D318"/>
  <c r="B318"/>
  <c r="Q318" s="1"/>
  <c r="D317"/>
  <c r="B317"/>
  <c r="Q317" s="1"/>
  <c r="D316"/>
  <c r="B316"/>
  <c r="Q316" s="1"/>
  <c r="D315"/>
  <c r="B315"/>
  <c r="Q315" s="1"/>
  <c r="D314"/>
  <c r="B314"/>
  <c r="Q314" s="1"/>
  <c r="D313"/>
  <c r="B313"/>
  <c r="Q313" s="1"/>
  <c r="D311"/>
  <c r="B311"/>
  <c r="Q311" s="1"/>
  <c r="D310"/>
  <c r="B310"/>
  <c r="Q310" s="1"/>
  <c r="D309"/>
  <c r="B309"/>
  <c r="Q309" s="1"/>
  <c r="D308"/>
  <c r="B308"/>
  <c r="Q308" s="1"/>
  <c r="D307"/>
  <c r="B307"/>
  <c r="Q307" s="1"/>
  <c r="D306"/>
  <c r="B306"/>
  <c r="Q306" s="1"/>
  <c r="D305"/>
  <c r="B305"/>
  <c r="Q305" s="1"/>
  <c r="D304"/>
  <c r="B304"/>
  <c r="Q304" s="1"/>
  <c r="D303"/>
  <c r="B303"/>
  <c r="Q303" s="1"/>
  <c r="B312"/>
  <c r="Q312" s="1"/>
  <c r="D312"/>
  <c r="B322"/>
  <c r="Q322" s="1"/>
  <c r="D322"/>
  <c r="B332"/>
  <c r="Q332" s="1"/>
  <c r="D332"/>
  <c r="B342"/>
  <c r="Q342" s="1"/>
  <c r="D342"/>
  <c r="B352"/>
  <c r="Q352" s="1"/>
  <c r="D352"/>
  <c r="B362"/>
  <c r="Q362" s="1"/>
  <c r="D362"/>
  <c r="B372"/>
  <c r="Q372" s="1"/>
  <c r="D372"/>
  <c r="B382"/>
  <c r="Q382" s="1"/>
  <c r="D382"/>
  <c r="B392"/>
  <c r="Q392" s="1"/>
  <c r="D392"/>
  <c r="Y301"/>
  <c r="Y300"/>
  <c r="Y299"/>
  <c r="Y298"/>
  <c r="Y297"/>
  <c r="Y296"/>
  <c r="Y295"/>
  <c r="Y294"/>
  <c r="Y293"/>
  <c r="Y292"/>
  <c r="D301"/>
  <c r="B301"/>
  <c r="Q301" s="1"/>
  <c r="D300"/>
  <c r="B300"/>
  <c r="Q300" s="1"/>
  <c r="D299"/>
  <c r="B299"/>
  <c r="Q299" s="1"/>
  <c r="D298"/>
  <c r="B298"/>
  <c r="Q298" s="1"/>
  <c r="D297"/>
  <c r="B297"/>
  <c r="Q297" s="1"/>
  <c r="D296"/>
  <c r="B296"/>
  <c r="Q296" s="1"/>
  <c r="D295"/>
  <c r="B295"/>
  <c r="Q295" s="1"/>
  <c r="D294"/>
  <c r="B294"/>
  <c r="Q294" s="1"/>
  <c r="D293"/>
  <c r="B293"/>
  <c r="Q293" s="1"/>
  <c r="D291"/>
  <c r="B291"/>
  <c r="Q291" s="1"/>
  <c r="D290"/>
  <c r="B290"/>
  <c r="Q290" s="1"/>
  <c r="D289"/>
  <c r="B289"/>
  <c r="Q289" s="1"/>
  <c r="D288"/>
  <c r="B288"/>
  <c r="Q288" s="1"/>
  <c r="D287"/>
  <c r="B287"/>
  <c r="Q287" s="1"/>
  <c r="D286"/>
  <c r="B286"/>
  <c r="Q286" s="1"/>
  <c r="D285"/>
  <c r="B285"/>
  <c r="Q285" s="1"/>
  <c r="D284"/>
  <c r="B284"/>
  <c r="Q284" s="1"/>
  <c r="D283"/>
  <c r="B283"/>
  <c r="Q283" s="1"/>
  <c r="D281"/>
  <c r="B281"/>
  <c r="Q281" s="1"/>
  <c r="D280"/>
  <c r="B280"/>
  <c r="Q280" s="1"/>
  <c r="D279"/>
  <c r="B279"/>
  <c r="Q279" s="1"/>
  <c r="D278"/>
  <c r="B278"/>
  <c r="Q278" s="1"/>
  <c r="D277"/>
  <c r="B277"/>
  <c r="Q277" s="1"/>
  <c r="D276"/>
  <c r="B276"/>
  <c r="Q276" s="1"/>
  <c r="D275"/>
  <c r="B275"/>
  <c r="Q275" s="1"/>
  <c r="D274"/>
  <c r="B274"/>
  <c r="Q274" s="1"/>
  <c r="D273"/>
  <c r="B273"/>
  <c r="Q273" s="1"/>
  <c r="Y271"/>
  <c r="Y270"/>
  <c r="Y269"/>
  <c r="Y268"/>
  <c r="Y267"/>
  <c r="Y266"/>
  <c r="Y265"/>
  <c r="Y264"/>
  <c r="Y263"/>
  <c r="Y262"/>
  <c r="D271"/>
  <c r="B271"/>
  <c r="Q271" s="1"/>
  <c r="D270"/>
  <c r="B270"/>
  <c r="Q270" s="1"/>
  <c r="D269"/>
  <c r="B269"/>
  <c r="Q269" s="1"/>
  <c r="D268"/>
  <c r="B268"/>
  <c r="Q268" s="1"/>
  <c r="D267"/>
  <c r="B267"/>
  <c r="Q267" s="1"/>
  <c r="D266"/>
  <c r="B266"/>
  <c r="Q266" s="1"/>
  <c r="D265"/>
  <c r="B265"/>
  <c r="Q265" s="1"/>
  <c r="D264"/>
  <c r="B264"/>
  <c r="Q264" s="1"/>
  <c r="D263"/>
  <c r="B263"/>
  <c r="Q263" s="1"/>
  <c r="D261"/>
  <c r="B261"/>
  <c r="Q261" s="1"/>
  <c r="D260"/>
  <c r="B260"/>
  <c r="Q260" s="1"/>
  <c r="D259"/>
  <c r="B259"/>
  <c r="Q259" s="1"/>
  <c r="D258"/>
  <c r="B258"/>
  <c r="Q258" s="1"/>
  <c r="D257"/>
  <c r="B257"/>
  <c r="Q257" s="1"/>
  <c r="D256"/>
  <c r="B256"/>
  <c r="Q256" s="1"/>
  <c r="D255"/>
  <c r="B255"/>
  <c r="Q255" s="1"/>
  <c r="D254"/>
  <c r="B254"/>
  <c r="Q254" s="1"/>
  <c r="D253"/>
  <c r="B253"/>
  <c r="Q253" s="1"/>
  <c r="Y241" l="1"/>
  <c r="Y240"/>
  <c r="Y239"/>
  <c r="Y238"/>
  <c r="Y237"/>
  <c r="Y236"/>
  <c r="Y235"/>
  <c r="Y234"/>
  <c r="Y233"/>
  <c r="Y232"/>
  <c r="D241"/>
  <c r="B241"/>
  <c r="Q241" s="1"/>
  <c r="D240"/>
  <c r="B240"/>
  <c r="Q240" s="1"/>
  <c r="D239"/>
  <c r="B239"/>
  <c r="Q239" s="1"/>
  <c r="D238"/>
  <c r="B238"/>
  <c r="Q238" s="1"/>
  <c r="D237"/>
  <c r="B237"/>
  <c r="Q237" s="1"/>
  <c r="D236"/>
  <c r="B236"/>
  <c r="Q236" s="1"/>
  <c r="D235"/>
  <c r="B235"/>
  <c r="Q235" s="1"/>
  <c r="D234"/>
  <c r="B234"/>
  <c r="Q234" s="1"/>
  <c r="D233"/>
  <c r="B233"/>
  <c r="Q233" s="1"/>
  <c r="D231"/>
  <c r="B231"/>
  <c r="Q231" s="1"/>
  <c r="D230"/>
  <c r="B230"/>
  <c r="Q230" s="1"/>
  <c r="D229"/>
  <c r="B229"/>
  <c r="Q229" s="1"/>
  <c r="D228"/>
  <c r="B228"/>
  <c r="Q228" s="1"/>
  <c r="D227"/>
  <c r="B227"/>
  <c r="Q227" s="1"/>
  <c r="D226"/>
  <c r="B226"/>
  <c r="Q226" s="1"/>
  <c r="D225"/>
  <c r="B225"/>
  <c r="Q225" s="1"/>
  <c r="D224"/>
  <c r="B224"/>
  <c r="Q224" s="1"/>
  <c r="D223"/>
  <c r="B223"/>
  <c r="Q223" s="1"/>
  <c r="D221"/>
  <c r="B221"/>
  <c r="Q221" s="1"/>
  <c r="D220"/>
  <c r="B220"/>
  <c r="Q220" s="1"/>
  <c r="D219"/>
  <c r="B219"/>
  <c r="Q219" s="1"/>
  <c r="D218"/>
  <c r="B218"/>
  <c r="Q218" s="1"/>
  <c r="D217"/>
  <c r="B217"/>
  <c r="Q217" s="1"/>
  <c r="D216"/>
  <c r="B216"/>
  <c r="Q216" s="1"/>
  <c r="D215"/>
  <c r="B215"/>
  <c r="Q215" s="1"/>
  <c r="D214"/>
  <c r="B214"/>
  <c r="Q214" s="1"/>
  <c r="D213"/>
  <c r="B213"/>
  <c r="Q213" s="1"/>
  <c r="D211"/>
  <c r="B211"/>
  <c r="Q211" s="1"/>
  <c r="D210"/>
  <c r="B210"/>
  <c r="Q210" s="1"/>
  <c r="D209"/>
  <c r="B209"/>
  <c r="Q209" s="1"/>
  <c r="D208"/>
  <c r="B208"/>
  <c r="Q208" s="1"/>
  <c r="D207"/>
  <c r="B207"/>
  <c r="Q207" s="1"/>
  <c r="D206"/>
  <c r="B206"/>
  <c r="Q206" s="1"/>
  <c r="D205"/>
  <c r="B205"/>
  <c r="Q205" s="1"/>
  <c r="D204"/>
  <c r="B204"/>
  <c r="Q204" s="1"/>
  <c r="D203"/>
  <c r="B203"/>
  <c r="Q203" s="1"/>
  <c r="D201"/>
  <c r="B201"/>
  <c r="Q201" s="1"/>
  <c r="D200"/>
  <c r="B200"/>
  <c r="Q200" s="1"/>
  <c r="D199"/>
  <c r="B199"/>
  <c r="Q199" s="1"/>
  <c r="D198"/>
  <c r="B198"/>
  <c r="Q198" s="1"/>
  <c r="D197"/>
  <c r="B197"/>
  <c r="Q197" s="1"/>
  <c r="D196"/>
  <c r="B196"/>
  <c r="Q196" s="1"/>
  <c r="D195"/>
  <c r="B195"/>
  <c r="Q195" s="1"/>
  <c r="D194"/>
  <c r="B194"/>
  <c r="Q194" s="1"/>
  <c r="D193"/>
  <c r="B193"/>
  <c r="Q193" s="1"/>
  <c r="D191"/>
  <c r="B191"/>
  <c r="Q191" s="1"/>
  <c r="D190"/>
  <c r="B190"/>
  <c r="Q190" s="1"/>
  <c r="D189"/>
  <c r="B189"/>
  <c r="Q189" s="1"/>
  <c r="D188"/>
  <c r="B188"/>
  <c r="Q188" s="1"/>
  <c r="D187"/>
  <c r="B187"/>
  <c r="Q187" s="1"/>
  <c r="D186"/>
  <c r="B186"/>
  <c r="Q186" s="1"/>
  <c r="D185"/>
  <c r="B185"/>
  <c r="Q185" s="1"/>
  <c r="D184"/>
  <c r="B184"/>
  <c r="Q184" s="1"/>
  <c r="D183"/>
  <c r="B183"/>
  <c r="Q183" s="1"/>
  <c r="D181"/>
  <c r="B181"/>
  <c r="Q181" s="1"/>
  <c r="D180"/>
  <c r="B180"/>
  <c r="Q180" s="1"/>
  <c r="D179"/>
  <c r="B179"/>
  <c r="Q179" s="1"/>
  <c r="D178"/>
  <c r="B178"/>
  <c r="Q178" s="1"/>
  <c r="D177"/>
  <c r="B177"/>
  <c r="Q177" s="1"/>
  <c r="D176"/>
  <c r="B176"/>
  <c r="Q176" s="1"/>
  <c r="D175"/>
  <c r="B175"/>
  <c r="Q175" s="1"/>
  <c r="D174"/>
  <c r="B174"/>
  <c r="Q174" s="1"/>
  <c r="D173"/>
  <c r="B173"/>
  <c r="Q173" s="1"/>
  <c r="B182"/>
  <c r="Q182" s="1"/>
  <c r="D182"/>
  <c r="B192"/>
  <c r="Q192" s="1"/>
  <c r="D192"/>
  <c r="B202"/>
  <c r="Q202" s="1"/>
  <c r="D202"/>
  <c r="B212"/>
  <c r="Q212" s="1"/>
  <c r="D212"/>
  <c r="B222"/>
  <c r="Q222" s="1"/>
  <c r="D222"/>
  <c r="B232"/>
  <c r="Q232" s="1"/>
  <c r="D232"/>
  <c r="B242"/>
  <c r="Q242" s="1"/>
  <c r="D242"/>
  <c r="B243"/>
  <c r="Q243" s="1"/>
  <c r="D243"/>
  <c r="B244"/>
  <c r="Q244" s="1"/>
  <c r="D244"/>
  <c r="B245"/>
  <c r="Q245" s="1"/>
  <c r="D245"/>
  <c r="D171"/>
  <c r="B171"/>
  <c r="Q171" s="1"/>
  <c r="D170"/>
  <c r="B170"/>
  <c r="Q170" s="1"/>
  <c r="D169"/>
  <c r="B169"/>
  <c r="Q169" s="1"/>
  <c r="D168"/>
  <c r="B168"/>
  <c r="Q168" s="1"/>
  <c r="D167"/>
  <c r="B167"/>
  <c r="Q167" s="1"/>
  <c r="D166"/>
  <c r="B166"/>
  <c r="Q166" s="1"/>
  <c r="D165"/>
  <c r="B165"/>
  <c r="Q165" s="1"/>
  <c r="D164"/>
  <c r="B164"/>
  <c r="Q164" s="1"/>
  <c r="D163"/>
  <c r="B163"/>
  <c r="Q163" s="1"/>
  <c r="D161"/>
  <c r="B161"/>
  <c r="Q161" s="1"/>
  <c r="D160"/>
  <c r="B160"/>
  <c r="Q160" s="1"/>
  <c r="D159"/>
  <c r="B159"/>
  <c r="Q159" s="1"/>
  <c r="D158"/>
  <c r="B158"/>
  <c r="Q158" s="1"/>
  <c r="D157"/>
  <c r="B157"/>
  <c r="Q157" s="1"/>
  <c r="D156"/>
  <c r="B156"/>
  <c r="Q156" s="1"/>
  <c r="D155"/>
  <c r="B155"/>
  <c r="Q155" s="1"/>
  <c r="D154"/>
  <c r="B154"/>
  <c r="Q154" s="1"/>
  <c r="D153"/>
  <c r="B153"/>
  <c r="Q153" s="1"/>
  <c r="D151"/>
  <c r="B151"/>
  <c r="Q151" s="1"/>
  <c r="D150"/>
  <c r="B150"/>
  <c r="Q150" s="1"/>
  <c r="D149"/>
  <c r="B149"/>
  <c r="Q149" s="1"/>
  <c r="D148"/>
  <c r="B148"/>
  <c r="Q148" s="1"/>
  <c r="D147"/>
  <c r="B147"/>
  <c r="Q147" s="1"/>
  <c r="D141"/>
  <c r="B141"/>
  <c r="Q141" s="1"/>
  <c r="D140"/>
  <c r="B140"/>
  <c r="Q140" s="1"/>
  <c r="D139"/>
  <c r="B139"/>
  <c r="Q139" s="1"/>
  <c r="D138"/>
  <c r="B138"/>
  <c r="Q138" s="1"/>
  <c r="D137"/>
  <c r="B137"/>
  <c r="Q137" s="1"/>
  <c r="D131"/>
  <c r="B131"/>
  <c r="Q131" s="1"/>
  <c r="D130"/>
  <c r="B130"/>
  <c r="Q130" s="1"/>
  <c r="D129"/>
  <c r="B129"/>
  <c r="Q129" s="1"/>
  <c r="D128"/>
  <c r="B128"/>
  <c r="Q128" s="1"/>
  <c r="D127"/>
  <c r="B127"/>
  <c r="Q127" s="1"/>
  <c r="D121"/>
  <c r="B121"/>
  <c r="Q121" s="1"/>
  <c r="D120"/>
  <c r="B120"/>
  <c r="Q120" s="1"/>
  <c r="D119"/>
  <c r="B119"/>
  <c r="Q119" s="1"/>
  <c r="D118"/>
  <c r="B118"/>
  <c r="Q118" s="1"/>
  <c r="D117"/>
  <c r="B117"/>
  <c r="Q117" s="1"/>
  <c r="D111"/>
  <c r="B111"/>
  <c r="Q111" s="1"/>
  <c r="D110"/>
  <c r="B110"/>
  <c r="Q110" s="1"/>
  <c r="D109"/>
  <c r="B109"/>
  <c r="Q109" s="1"/>
  <c r="D108"/>
  <c r="B108"/>
  <c r="Q108" s="1"/>
  <c r="D107"/>
  <c r="B107"/>
  <c r="Q107" s="1"/>
  <c r="D101"/>
  <c r="B101"/>
  <c r="Q101" s="1"/>
  <c r="D100"/>
  <c r="B100"/>
  <c r="Q100" s="1"/>
  <c r="D99"/>
  <c r="B99"/>
  <c r="Q99" s="1"/>
  <c r="D98"/>
  <c r="B98"/>
  <c r="Q98" s="1"/>
  <c r="D97"/>
  <c r="B97"/>
  <c r="Q97" s="1"/>
  <c r="D91"/>
  <c r="B91"/>
  <c r="Q91" s="1"/>
  <c r="D90"/>
  <c r="B90"/>
  <c r="Q90" s="1"/>
  <c r="D89"/>
  <c r="B89"/>
  <c r="Q89" s="1"/>
  <c r="D88"/>
  <c r="B88"/>
  <c r="Q88" s="1"/>
  <c r="D87"/>
  <c r="B87"/>
  <c r="Q87" s="1"/>
  <c r="F73"/>
  <c r="D81"/>
  <c r="B81"/>
  <c r="Q81" s="1"/>
  <c r="D80"/>
  <c r="B80"/>
  <c r="Q80" s="1"/>
  <c r="D79"/>
  <c r="B79"/>
  <c r="Q79" s="1"/>
  <c r="D78"/>
  <c r="B78"/>
  <c r="Q78" s="1"/>
  <c r="D77"/>
  <c r="B77"/>
  <c r="Q77" s="1"/>
  <c r="F63"/>
  <c r="D71"/>
  <c r="B71"/>
  <c r="Q71" s="1"/>
  <c r="D70"/>
  <c r="B70"/>
  <c r="Q70" s="1"/>
  <c r="D69"/>
  <c r="B69"/>
  <c r="Q69" s="1"/>
  <c r="D68"/>
  <c r="B68"/>
  <c r="Q68" s="1"/>
  <c r="D67"/>
  <c r="B67"/>
  <c r="Q67" s="1"/>
  <c r="F53"/>
  <c r="D61"/>
  <c r="B61"/>
  <c r="Q61" s="1"/>
  <c r="D60"/>
  <c r="B60"/>
  <c r="Q60" s="1"/>
  <c r="D59"/>
  <c r="B59"/>
  <c r="Q59" s="1"/>
  <c r="D58"/>
  <c r="B58"/>
  <c r="Q58" s="1"/>
  <c r="D57"/>
  <c r="B57"/>
  <c r="Q57" s="1"/>
  <c r="F43"/>
  <c r="D51"/>
  <c r="B51"/>
  <c r="Q51" s="1"/>
  <c r="D50"/>
  <c r="B50"/>
  <c r="Q50" s="1"/>
  <c r="D49"/>
  <c r="B49"/>
  <c r="Q49" s="1"/>
  <c r="D48"/>
  <c r="B48"/>
  <c r="Q48" s="1"/>
  <c r="D47"/>
  <c r="B47"/>
  <c r="Q47" s="1"/>
  <c r="F64" l="1"/>
  <c r="F74"/>
  <c r="F44"/>
  <c r="F54"/>
  <c r="F65" l="1"/>
  <c r="F55"/>
  <c r="F45"/>
  <c r="F75"/>
  <c r="O33"/>
  <c r="F33" s="1"/>
  <c r="F66" l="1"/>
  <c r="O34"/>
  <c r="F34" s="1"/>
  <c r="F76"/>
  <c r="F46"/>
  <c r="F56"/>
  <c r="D41"/>
  <c r="B41"/>
  <c r="Q41" s="1"/>
  <c r="D40"/>
  <c r="B40"/>
  <c r="Q40" s="1"/>
  <c r="D39"/>
  <c r="B39"/>
  <c r="Q39" s="1"/>
  <c r="D38"/>
  <c r="B38"/>
  <c r="Q38" s="1"/>
  <c r="D37"/>
  <c r="B37"/>
  <c r="Q37" s="1"/>
  <c r="N23"/>
  <c r="F23" s="1"/>
  <c r="D31"/>
  <c r="B31"/>
  <c r="Q31" s="1"/>
  <c r="D30"/>
  <c r="B30"/>
  <c r="Q30" s="1"/>
  <c r="D29"/>
  <c r="B29"/>
  <c r="Q29" s="1"/>
  <c r="D28"/>
  <c r="B28"/>
  <c r="Q28" s="1"/>
  <c r="D27"/>
  <c r="B27"/>
  <c r="Q27" s="1"/>
  <c r="M13"/>
  <c r="F13" s="1"/>
  <c r="D21"/>
  <c r="B21"/>
  <c r="Q21" s="1"/>
  <c r="D20"/>
  <c r="B20"/>
  <c r="Q20" s="1"/>
  <c r="D19"/>
  <c r="B19"/>
  <c r="Q19" s="1"/>
  <c r="D18"/>
  <c r="B18"/>
  <c r="Q18" s="1"/>
  <c r="D17"/>
  <c r="B17"/>
  <c r="Q17" s="1"/>
  <c r="L3"/>
  <c r="F3" s="1"/>
  <c r="D11"/>
  <c r="B11"/>
  <c r="Q11" s="1"/>
  <c r="D10"/>
  <c r="B10"/>
  <c r="Q10" s="1"/>
  <c r="D9"/>
  <c r="B9"/>
  <c r="Q9" s="1"/>
  <c r="D8"/>
  <c r="B8"/>
  <c r="Q8" s="1"/>
  <c r="D7"/>
  <c r="B7"/>
  <c r="Q7" s="1"/>
  <c r="D146"/>
  <c r="B146"/>
  <c r="Q146" s="1"/>
  <c r="D145"/>
  <c r="B145"/>
  <c r="Q145" s="1"/>
  <c r="D144"/>
  <c r="B144"/>
  <c r="Q144" s="1"/>
  <c r="D143"/>
  <c r="B143"/>
  <c r="Q143" s="1"/>
  <c r="D136"/>
  <c r="B136"/>
  <c r="Q136" s="1"/>
  <c r="D135"/>
  <c r="B135"/>
  <c r="Q135" s="1"/>
  <c r="D134"/>
  <c r="B134"/>
  <c r="Q134" s="1"/>
  <c r="D133"/>
  <c r="B133"/>
  <c r="Q133" s="1"/>
  <c r="D126"/>
  <c r="B126"/>
  <c r="Q126" s="1"/>
  <c r="D125"/>
  <c r="B125"/>
  <c r="Q125" s="1"/>
  <c r="D124"/>
  <c r="B124"/>
  <c r="Q124" s="1"/>
  <c r="D123"/>
  <c r="B123"/>
  <c r="Q123" s="1"/>
  <c r="D116"/>
  <c r="B116"/>
  <c r="Q116" s="1"/>
  <c r="D115"/>
  <c r="B115"/>
  <c r="Q115" s="1"/>
  <c r="D114"/>
  <c r="B114"/>
  <c r="Q114" s="1"/>
  <c r="D113"/>
  <c r="B113"/>
  <c r="Q113" s="1"/>
  <c r="D104"/>
  <c r="B104"/>
  <c r="Q104" s="1"/>
  <c r="D106"/>
  <c r="B106"/>
  <c r="Q106" s="1"/>
  <c r="D105"/>
  <c r="B105"/>
  <c r="Q105" s="1"/>
  <c r="D103"/>
  <c r="B103"/>
  <c r="Q103" s="1"/>
  <c r="D96"/>
  <c r="B96"/>
  <c r="Q96" s="1"/>
  <c r="D95"/>
  <c r="B95"/>
  <c r="Q95" s="1"/>
  <c r="D94"/>
  <c r="B94"/>
  <c r="Q94" s="1"/>
  <c r="D93"/>
  <c r="B93"/>
  <c r="Q93" s="1"/>
  <c r="D86"/>
  <c r="B86"/>
  <c r="Q86" s="1"/>
  <c r="D85"/>
  <c r="B85"/>
  <c r="Q85" s="1"/>
  <c r="D84"/>
  <c r="B84"/>
  <c r="Q84" s="1"/>
  <c r="D83"/>
  <c r="B83"/>
  <c r="Q83" s="1"/>
  <c r="D251"/>
  <c r="B251"/>
  <c r="Q251" s="1"/>
  <c r="D250"/>
  <c r="B250"/>
  <c r="Q250" s="1"/>
  <c r="D249"/>
  <c r="B249"/>
  <c r="Q249" s="1"/>
  <c r="D248"/>
  <c r="B248"/>
  <c r="Q248" s="1"/>
  <c r="D247"/>
  <c r="B247"/>
  <c r="Q247" s="1"/>
  <c r="D246"/>
  <c r="B246"/>
  <c r="Q246" s="1"/>
  <c r="D76"/>
  <c r="B76"/>
  <c r="Q76" s="1"/>
  <c r="D75"/>
  <c r="B75"/>
  <c r="Q75" s="1"/>
  <c r="D74"/>
  <c r="B74"/>
  <c r="Q74" s="1"/>
  <c r="D73"/>
  <c r="B73"/>
  <c r="Q73" s="1"/>
  <c r="D72"/>
  <c r="B72"/>
  <c r="Q72" s="1"/>
  <c r="D66"/>
  <c r="B66"/>
  <c r="Q66" s="1"/>
  <c r="D65"/>
  <c r="B65"/>
  <c r="Q65" s="1"/>
  <c r="D64"/>
  <c r="B64"/>
  <c r="Q64" s="1"/>
  <c r="D63"/>
  <c r="B63"/>
  <c r="Q63" s="1"/>
  <c r="D62"/>
  <c r="B62"/>
  <c r="Q62" s="1"/>
  <c r="D56"/>
  <c r="B56"/>
  <c r="Q56" s="1"/>
  <c r="D55"/>
  <c r="B55"/>
  <c r="Q55" s="1"/>
  <c r="D54"/>
  <c r="B54"/>
  <c r="Q54" s="1"/>
  <c r="D53"/>
  <c r="B53"/>
  <c r="Q53" s="1"/>
  <c r="D52"/>
  <c r="B52"/>
  <c r="Q52" s="1"/>
  <c r="D46"/>
  <c r="B46"/>
  <c r="Q46" s="1"/>
  <c r="D45"/>
  <c r="B45"/>
  <c r="Q45" s="1"/>
  <c r="D44"/>
  <c r="B44"/>
  <c r="Q44" s="1"/>
  <c r="D43"/>
  <c r="B43"/>
  <c r="Q43" s="1"/>
  <c r="D42"/>
  <c r="B42"/>
  <c r="Q42" s="1"/>
  <c r="D36"/>
  <c r="B36"/>
  <c r="Q36" s="1"/>
  <c r="D35"/>
  <c r="B35"/>
  <c r="Q35" s="1"/>
  <c r="D34"/>
  <c r="B34"/>
  <c r="Q34" s="1"/>
  <c r="D33"/>
  <c r="B33"/>
  <c r="Q33" s="1"/>
  <c r="D26"/>
  <c r="B26"/>
  <c r="Q26" s="1"/>
  <c r="D25"/>
  <c r="B25"/>
  <c r="Q25" s="1"/>
  <c r="D24"/>
  <c r="B24"/>
  <c r="Q24" s="1"/>
  <c r="D23"/>
  <c r="B23"/>
  <c r="Q23" s="1"/>
  <c r="D16"/>
  <c r="B16"/>
  <c r="Q16" s="1"/>
  <c r="D15"/>
  <c r="B15"/>
  <c r="Q15" s="1"/>
  <c r="D14"/>
  <c r="B14"/>
  <c r="Q14" s="1"/>
  <c r="D13"/>
  <c r="B13"/>
  <c r="Q13" s="1"/>
  <c r="F67" l="1"/>
  <c r="F57"/>
  <c r="F47"/>
  <c r="F77"/>
  <c r="O35"/>
  <c r="F35" s="1"/>
  <c r="L4"/>
  <c r="F4" s="1"/>
  <c r="M14"/>
  <c r="F14" s="1"/>
  <c r="N24"/>
  <c r="F24" s="1"/>
  <c r="M15"/>
  <c r="F15" s="1"/>
  <c r="N25"/>
  <c r="F25" s="1"/>
  <c r="M16"/>
  <c r="F16" s="1"/>
  <c r="D6"/>
  <c r="B6"/>
  <c r="Q6" s="1"/>
  <c r="D5"/>
  <c r="B5"/>
  <c r="Q5" s="1"/>
  <c r="D4"/>
  <c r="B4"/>
  <c r="Q4" s="1"/>
  <c r="D3"/>
  <c r="B3"/>
  <c r="Q3" s="1"/>
  <c r="D1402"/>
  <c r="D1392"/>
  <c r="D1382"/>
  <c r="D1372"/>
  <c r="D1342"/>
  <c r="D1332"/>
  <c r="D1322"/>
  <c r="D1292"/>
  <c r="D1282"/>
  <c r="D1272"/>
  <c r="D1262"/>
  <c r="D1252"/>
  <c r="D1242"/>
  <c r="D1232"/>
  <c r="D1222"/>
  <c r="D1212"/>
  <c r="D1202"/>
  <c r="D1192"/>
  <c r="D1182"/>
  <c r="D1172"/>
  <c r="D1142"/>
  <c r="D1132"/>
  <c r="D1102"/>
  <c r="D1092"/>
  <c r="D1082"/>
  <c r="D1072"/>
  <c r="D1062"/>
  <c r="D1052"/>
  <c r="D1042"/>
  <c r="D1032"/>
  <c r="D1022"/>
  <c r="D1012"/>
  <c r="D1002"/>
  <c r="D992"/>
  <c r="D982"/>
  <c r="D972"/>
  <c r="D962"/>
  <c r="D952"/>
  <c r="D942"/>
  <c r="D912"/>
  <c r="D902"/>
  <c r="D892"/>
  <c r="D862"/>
  <c r="D852"/>
  <c r="D842"/>
  <c r="D832"/>
  <c r="D822"/>
  <c r="D812"/>
  <c r="D802"/>
  <c r="D792"/>
  <c r="D782"/>
  <c r="D772"/>
  <c r="D762"/>
  <c r="D752"/>
  <c r="D742"/>
  <c r="D732"/>
  <c r="D702"/>
  <c r="D692"/>
  <c r="D682"/>
  <c r="D652"/>
  <c r="D642"/>
  <c r="D632"/>
  <c r="D622"/>
  <c r="D612"/>
  <c r="D602"/>
  <c r="D592"/>
  <c r="D582"/>
  <c r="D572"/>
  <c r="D562"/>
  <c r="D552"/>
  <c r="D542"/>
  <c r="D532"/>
  <c r="D522"/>
  <c r="D492"/>
  <c r="D482"/>
  <c r="D472"/>
  <c r="D442"/>
  <c r="D432"/>
  <c r="D422"/>
  <c r="D412"/>
  <c r="D402"/>
  <c r="D302"/>
  <c r="D292"/>
  <c r="D282"/>
  <c r="D272"/>
  <c r="D262"/>
  <c r="D252"/>
  <c r="D172"/>
  <c r="D162"/>
  <c r="D152"/>
  <c r="D142"/>
  <c r="D132"/>
  <c r="D122"/>
  <c r="D112"/>
  <c r="D102"/>
  <c r="D92"/>
  <c r="D82"/>
  <c r="D32"/>
  <c r="D22"/>
  <c r="D12"/>
  <c r="D2"/>
  <c r="B1402"/>
  <c r="Q1402" s="1"/>
  <c r="B1392"/>
  <c r="Q1392" s="1"/>
  <c r="B1382"/>
  <c r="Q1382" s="1"/>
  <c r="B1372"/>
  <c r="Q1372" s="1"/>
  <c r="B1342"/>
  <c r="Q1342" s="1"/>
  <c r="B1332"/>
  <c r="Q1332" s="1"/>
  <c r="B1322"/>
  <c r="Q1322" s="1"/>
  <c r="B1292"/>
  <c r="Q1292" s="1"/>
  <c r="B1282"/>
  <c r="Q1282" s="1"/>
  <c r="B1272"/>
  <c r="Q1272" s="1"/>
  <c r="B1262"/>
  <c r="Q1262" s="1"/>
  <c r="B1252"/>
  <c r="Q1252" s="1"/>
  <c r="B1242"/>
  <c r="Q1242" s="1"/>
  <c r="B1232"/>
  <c r="Q1232" s="1"/>
  <c r="B1222"/>
  <c r="Q1222" s="1"/>
  <c r="B1212"/>
  <c r="Q1212" s="1"/>
  <c r="B1202"/>
  <c r="Q1202" s="1"/>
  <c r="B1192"/>
  <c r="Q1192" s="1"/>
  <c r="B1182"/>
  <c r="Q1182" s="1"/>
  <c r="B1172"/>
  <c r="Q1172" s="1"/>
  <c r="B1142"/>
  <c r="Q1142" s="1"/>
  <c r="B1132"/>
  <c r="Q1132" s="1"/>
  <c r="B1102"/>
  <c r="Q1102" s="1"/>
  <c r="B1092"/>
  <c r="Q1092" s="1"/>
  <c r="B1082"/>
  <c r="Q1082" s="1"/>
  <c r="B1072"/>
  <c r="Q1072" s="1"/>
  <c r="B1062"/>
  <c r="Q1062" s="1"/>
  <c r="B1052"/>
  <c r="Q1052" s="1"/>
  <c r="B1042"/>
  <c r="Q1042" s="1"/>
  <c r="B1032"/>
  <c r="Q1032" s="1"/>
  <c r="B1022"/>
  <c r="Q1022" s="1"/>
  <c r="B1012"/>
  <c r="Q1012" s="1"/>
  <c r="B1002"/>
  <c r="Q1002" s="1"/>
  <c r="B992"/>
  <c r="Q992" s="1"/>
  <c r="B982"/>
  <c r="Q982" s="1"/>
  <c r="B972"/>
  <c r="Q972" s="1"/>
  <c r="B962"/>
  <c r="Q962" s="1"/>
  <c r="B952"/>
  <c r="Q952" s="1"/>
  <c r="B942"/>
  <c r="Q942" s="1"/>
  <c r="B912"/>
  <c r="Q912" s="1"/>
  <c r="B902"/>
  <c r="Q902" s="1"/>
  <c r="B892"/>
  <c r="Q892" s="1"/>
  <c r="B862"/>
  <c r="Q862" s="1"/>
  <c r="B852"/>
  <c r="Q852" s="1"/>
  <c r="B842"/>
  <c r="Q842" s="1"/>
  <c r="B832"/>
  <c r="Q832" s="1"/>
  <c r="B822"/>
  <c r="Q822" s="1"/>
  <c r="B812"/>
  <c r="Q812" s="1"/>
  <c r="B802"/>
  <c r="Q802" s="1"/>
  <c r="B792"/>
  <c r="Q792" s="1"/>
  <c r="B782"/>
  <c r="Q782" s="1"/>
  <c r="B772"/>
  <c r="Q772" s="1"/>
  <c r="B762"/>
  <c r="Q762" s="1"/>
  <c r="B752"/>
  <c r="Q752" s="1"/>
  <c r="B742"/>
  <c r="Q742" s="1"/>
  <c r="B732"/>
  <c r="Q732" s="1"/>
  <c r="B702"/>
  <c r="Q702" s="1"/>
  <c r="B692"/>
  <c r="Q692" s="1"/>
  <c r="B682"/>
  <c r="Q682" s="1"/>
  <c r="B652"/>
  <c r="Q652" s="1"/>
  <c r="B642"/>
  <c r="Q642" s="1"/>
  <c r="B632"/>
  <c r="Q632" s="1"/>
  <c r="B622"/>
  <c r="Q622" s="1"/>
  <c r="B612"/>
  <c r="Q612" s="1"/>
  <c r="B602"/>
  <c r="Q602" s="1"/>
  <c r="B592"/>
  <c r="Q592" s="1"/>
  <c r="B582"/>
  <c r="Q582" s="1"/>
  <c r="B572"/>
  <c r="Q572" s="1"/>
  <c r="B562"/>
  <c r="Q562" s="1"/>
  <c r="B552"/>
  <c r="Q552" s="1"/>
  <c r="B542"/>
  <c r="Q542" s="1"/>
  <c r="B532"/>
  <c r="Q532" s="1"/>
  <c r="B522"/>
  <c r="Q522" s="1"/>
  <c r="B492"/>
  <c r="Q492" s="1"/>
  <c r="B482"/>
  <c r="Q482" s="1"/>
  <c r="B472"/>
  <c r="Q472" s="1"/>
  <c r="B442"/>
  <c r="Q442" s="1"/>
  <c r="B432"/>
  <c r="Q432" s="1"/>
  <c r="B422"/>
  <c r="Q422" s="1"/>
  <c r="B412"/>
  <c r="Q412" s="1"/>
  <c r="B402"/>
  <c r="Q402" s="1"/>
  <c r="B302"/>
  <c r="Q302" s="1"/>
  <c r="B292"/>
  <c r="Q292" s="1"/>
  <c r="B282"/>
  <c r="Q282" s="1"/>
  <c r="B272"/>
  <c r="Q272" s="1"/>
  <c r="B262"/>
  <c r="Q262" s="1"/>
  <c r="B252"/>
  <c r="Q252" s="1"/>
  <c r="B172"/>
  <c r="Q172" s="1"/>
  <c r="B162"/>
  <c r="Q162" s="1"/>
  <c r="B152"/>
  <c r="Q152" s="1"/>
  <c r="B142"/>
  <c r="Q142" s="1"/>
  <c r="B132"/>
  <c r="Q132" s="1"/>
  <c r="B122"/>
  <c r="Q122" s="1"/>
  <c r="B112"/>
  <c r="Q112" s="1"/>
  <c r="B102"/>
  <c r="Q102" s="1"/>
  <c r="B92"/>
  <c r="Q92" s="1"/>
  <c r="B82"/>
  <c r="Q82" s="1"/>
  <c r="B32"/>
  <c r="Q32" s="1"/>
  <c r="B22"/>
  <c r="Q22" s="1"/>
  <c r="B12"/>
  <c r="Q12" s="1"/>
  <c r="B2"/>
  <c r="Q2" s="1"/>
  <c r="F68" l="1"/>
  <c r="O36"/>
  <c r="F36" s="1"/>
  <c r="F78"/>
  <c r="F48"/>
  <c r="F58"/>
  <c r="N26"/>
  <c r="F26" s="1"/>
  <c r="L5"/>
  <c r="F5" s="1"/>
  <c r="M17"/>
  <c r="F17" s="1"/>
  <c r="F69" l="1"/>
  <c r="O37"/>
  <c r="F37" s="1"/>
  <c r="L6"/>
  <c r="F6" s="1"/>
  <c r="F59"/>
  <c r="F49"/>
  <c r="F79"/>
  <c r="N27"/>
  <c r="F27" s="1"/>
  <c r="M18"/>
  <c r="F18" s="1"/>
  <c r="F70" l="1"/>
  <c r="O38"/>
  <c r="F38" s="1"/>
  <c r="F80"/>
  <c r="F50"/>
  <c r="F60"/>
  <c r="L7"/>
  <c r="F7" s="1"/>
  <c r="N28"/>
  <c r="F28" s="1"/>
  <c r="M19"/>
  <c r="F19" s="1"/>
  <c r="F71" l="1"/>
  <c r="O39"/>
  <c r="F39" s="1"/>
  <c r="L8"/>
  <c r="F8" s="1"/>
  <c r="F61"/>
  <c r="F51"/>
  <c r="F81"/>
  <c r="N29"/>
  <c r="F29" s="1"/>
  <c r="M20"/>
  <c r="F20" s="1"/>
  <c r="N30" l="1"/>
  <c r="F30" s="1"/>
  <c r="L9"/>
  <c r="F9" s="1"/>
  <c r="O40"/>
  <c r="F40" s="1"/>
  <c r="M21"/>
  <c r="F21" s="1"/>
  <c r="N31" l="1"/>
  <c r="F31" s="1"/>
  <c r="L10"/>
  <c r="F10" s="1"/>
  <c r="O41"/>
  <c r="F41" s="1"/>
  <c r="L11" l="1"/>
  <c r="F11" s="1"/>
</calcChain>
</file>

<file path=xl/sharedStrings.xml><?xml version="1.0" encoding="utf-8"?>
<sst xmlns="http://schemas.openxmlformats.org/spreadsheetml/2006/main" count="3220" uniqueCount="519">
  <si>
    <t>SI_NONE</t>
  </si>
  <si>
    <t>ID Num</t>
  </si>
  <si>
    <t>SI_P_COMMON_MAGIC_ATTACK_BEGINNER</t>
  </si>
  <si>
    <t>SI_P_COMMON_PHYSIC_DEFENCE_BEGINNER</t>
  </si>
  <si>
    <t>SI_P_COMMON_MAGIC_DEFENCE_BEGINNER</t>
  </si>
  <si>
    <t>SI_P_COMMON_PHYSIC_ATTACK_INTERMEDIATE</t>
  </si>
  <si>
    <t>SI_P_COMMON_MAGIC_ATTACK_INTERMEDIATE</t>
  </si>
  <si>
    <t>SI_P_COMMON_PHYSIC_DEFENCE_INTERMEDIATE</t>
  </si>
  <si>
    <t>SI_P_COMMON_MAGIC_DEFENCE_INTERMEDIATE</t>
  </si>
  <si>
    <t>SI_P_COMMON_GET_CHANCE</t>
  </si>
  <si>
    <t>SI_P_COMMON_GET_MANA_UP</t>
  </si>
  <si>
    <t>SI_P_COMMON_POWERFUL_VITAL</t>
  </si>
  <si>
    <t>SI_P_COMMON_POWERFUL_SOUL</t>
  </si>
  <si>
    <t>SI_P_COMMON_SUPPORT_AURA</t>
  </si>
  <si>
    <t>SI_P_COMMON_UNLIMIT_MANA</t>
  </si>
  <si>
    <t>SI_P_COMMON_SHADOW_DATH</t>
  </si>
  <si>
    <t>SI_P_COMMON_PHYSIC_HARMONY</t>
  </si>
  <si>
    <t>SI_P_COMMON_SPRINTER</t>
  </si>
  <si>
    <t>SI_P_COMMON_SOFTBODY</t>
  </si>
  <si>
    <t>SI_P_COMMON_FIGHTER_SOUL</t>
  </si>
  <si>
    <t>SI_P_COMMON_CONFIDENCE_VICTORY</t>
  </si>
  <si>
    <t>SI_P_COMMON_HARDEN_BODY</t>
  </si>
  <si>
    <t>SI_P_COMMON_REVERSAL_SOLDIER</t>
  </si>
  <si>
    <t>SI_P_COMMON_INDUCE_DESIRE_WINNING</t>
  </si>
  <si>
    <t>SI_P_COMMON_REFINED_STEP</t>
  </si>
  <si>
    <t>SI_SA_COMMON_MAGIC_ACCEL</t>
  </si>
  <si>
    <t>SI_SA_COMMON_SHIELD_ACCEL</t>
  </si>
  <si>
    <t>SI_SA_COMMON_AURA_POWER_ACCEL</t>
  </si>
  <si>
    <t>SI_SA_COMMON_AURA_MAGIC_ACCEL</t>
  </si>
  <si>
    <t>SI_SA_COMMON_AURA_SHIELD_ACCEL</t>
  </si>
  <si>
    <t>SI_SA_COMMON_POWER_ADRENALIN</t>
  </si>
  <si>
    <t>SI_SA_COMMON_MAGIC_ADRENALIN</t>
  </si>
  <si>
    <t>SI_SA_COMMON_SHIELD_ADRENALIN</t>
  </si>
  <si>
    <t>SI_SA_ES_ASSAULT_SLASH</t>
  </si>
  <si>
    <t>SI_SA_ES_FATAL_FURY</t>
  </si>
  <si>
    <t>SI_SA_ES_FLAME_GEYSER</t>
  </si>
  <si>
    <t>SI_SA_ES_UNLIMITED_BLADE</t>
  </si>
  <si>
    <t>SI_SA_ES_TRIPLE_GEYSER</t>
  </si>
  <si>
    <t>SI_SA_ESK_AIR_SLASH</t>
  </si>
  <si>
    <t>SI_SA_ESK_SPIRAL_BLAST</t>
  </si>
  <si>
    <t>SI_SA_ESK_ARMAGEDON_BLADE</t>
  </si>
  <si>
    <t>SI_SA_EMK_WIND_BLADE</t>
  </si>
  <si>
    <t>SI_SA_EMK_RISING_SLASH</t>
  </si>
  <si>
    <t>SI_SA_EMK_STORM_BLADE</t>
  </si>
  <si>
    <t>SI_A_ES_ENDURANCE</t>
  </si>
  <si>
    <t>SI_A_ES_KICK</t>
  </si>
  <si>
    <t>SI_P_ES_COUNTER_UP</t>
  </si>
  <si>
    <t>SI_P_ES_POWERFUL_FIREBALL</t>
  </si>
  <si>
    <t>SI_SA_AV_BINDING_CIRCLE</t>
  </si>
  <si>
    <t>SI_SA_AV_GUST_SCREW</t>
  </si>
  <si>
    <t>SI_SA_AV_LIGHTNING_BOLT</t>
  </si>
  <si>
    <t>SI_SA_AV_GUST_STORM</t>
  </si>
  <si>
    <t>SI_SA_AV_METEO_CALL</t>
  </si>
  <si>
    <t>SI_SA_AHM_CHAIN_BURST</t>
  </si>
  <si>
    <t>SI_SA_AHM_MAGIC_MISSILE</t>
  </si>
  <si>
    <t>SI_SA_AHM_INFERNAL_WAVE</t>
  </si>
  <si>
    <t>SI_SA_ADM_HELL_STONE</t>
  </si>
  <si>
    <t>SI_SA_ADM_DARK_CLOUD</t>
  </si>
  <si>
    <t>SI_SA_ADM_PLASMA_CUTTER</t>
  </si>
  <si>
    <t>SI_A_AV_MANA_SHIELD</t>
  </si>
  <si>
    <t>SI_A_AV_CIRCLE_FLAME</t>
  </si>
  <si>
    <t>SI_P_AV_FIREBALL_UP</t>
  </si>
  <si>
    <t>SI_SA_LE_ASSAULT_KICK</t>
  </si>
  <si>
    <t>SI_SA_LE_PERFECT_STORM</t>
  </si>
  <si>
    <t>SI_SA_LE_MULTIPLE_STINGER</t>
  </si>
  <si>
    <t>SI_SA_LE_AERO_TORNADO</t>
  </si>
  <si>
    <t>SI_SA_LE_PHOENIX_STRIKE</t>
  </si>
  <si>
    <t>SI_SA_LCR_SPINNING_KICK</t>
  </si>
  <si>
    <t>SI_SA_LCR_CRESCENT_KICK</t>
  </si>
  <si>
    <t>SI_SA_LCR_DIVE_KICK_BOMBING</t>
  </si>
  <si>
    <t>SI_SA_LSR_HUMMING_WIND</t>
  </si>
  <si>
    <t>SI_SA_LSR_GUIDED_ARROW</t>
  </si>
  <si>
    <t>SI_SA_LSR_CRAZY_SHOT</t>
  </si>
  <si>
    <t>SI_A_LE_BACKJUMP_SHOT</t>
  </si>
  <si>
    <t>SI_A_LE_REFLEX_MAGIC</t>
  </si>
  <si>
    <t>SI_P_LE_SHARP_KICK</t>
  </si>
  <si>
    <t>SI_P_LE_POWERFUL_BOWSTRING</t>
  </si>
  <si>
    <t>SI_P_LE_HAWK_EYE</t>
  </si>
  <si>
    <t>SI_P_LE_SHARP_ARROW</t>
  </si>
  <si>
    <t>SI_SA_RF_EARTH_BREAKER</t>
  </si>
  <si>
    <t>SI_SA_RF_POWER_ASSAULT</t>
  </si>
  <si>
    <t>SI_SA_RF_CANNON_BLADE</t>
  </si>
  <si>
    <t>SI_SA_RF_MAGNUM_BLASTER</t>
  </si>
  <si>
    <t>SI_SA_RF_SEVEN_BURST</t>
  </si>
  <si>
    <t>SI_SA_RST_BERSERKER_BLADE</t>
  </si>
  <si>
    <t>SI_SA_RST_FLYING_IMPACT</t>
  </si>
  <si>
    <t>SI_SA_RST_HYPER_SONIC_STAB</t>
  </si>
  <si>
    <t>SI_SA_ROT_CHARGED_BOLT</t>
  </si>
  <si>
    <t>SI_SA_ROT_ARC_ENEMY</t>
  </si>
  <si>
    <t>SI_SA_ROT_GUARDIAN_STRIKE</t>
  </si>
  <si>
    <t>SI_A_RF_SHADOW_STEP</t>
  </si>
  <si>
    <t>SI_SA_EN_DIMENSION_LINK</t>
  </si>
  <si>
    <t>SI_SA_EN_ILLUSION_STINGER</t>
  </si>
  <si>
    <t>SI_SA_EN_DIMENSION_LINK_BLADER</t>
  </si>
  <si>
    <t>SI_SA_EN_GENERATE_BLACKHOLE</t>
  </si>
  <si>
    <t>SI_SA_EN_DIMENSION_LINK_GUARDIAN</t>
  </si>
  <si>
    <t>SI_SA_EEG_HORNET_STING</t>
  </si>
  <si>
    <t>SI_SA_EEG_EXPLOSION_IMPACT</t>
  </si>
  <si>
    <t>SI_SA_EEG_QUEENS_THRONE</t>
  </si>
  <si>
    <t>SI_SA_EAT_SURFACE_CUTING</t>
  </si>
  <si>
    <t>SI_SA_EAT_SONIC_WAVE</t>
  </si>
  <si>
    <t>SI_SA_EAT_GENOCIDE_RIPPER</t>
  </si>
  <si>
    <t>SI_A_EN_CONVERSION</t>
  </si>
  <si>
    <t>SI_A_EN_MEGA_ELECTRONBALL</t>
  </si>
  <si>
    <t>SI_P_EN_ELECTRONBALL_UP</t>
  </si>
  <si>
    <t>SI_P_EN_QUEENS_CONTROL</t>
  </si>
  <si>
    <t>SI_P_EN_QUEENS_POTENTIAL</t>
  </si>
  <si>
    <t>SI_P_COMMON_PHYSIC_ATTACK_BEGINNER</t>
    <phoneticPr fontId="2" type="noConversion"/>
  </si>
  <si>
    <t>활력</t>
  </si>
  <si>
    <t>스프린터</t>
  </si>
  <si>
    <t>반격</t>
  </si>
  <si>
    <t>극기</t>
  </si>
  <si>
    <t>발차기</t>
  </si>
  <si>
    <t>텔레포트</t>
  </si>
  <si>
    <t>시즈모드</t>
  </si>
  <si>
    <t>클로킹</t>
  </si>
  <si>
    <t>ST_NONE</t>
    <phoneticPr fontId="2" type="noConversion"/>
  </si>
  <si>
    <t>ST_PASSIVE_MAGIC_ATTACK</t>
    <phoneticPr fontId="2" type="noConversion"/>
  </si>
  <si>
    <t>UNIT_CLASS_NUM</t>
    <phoneticPr fontId="2" type="noConversion"/>
  </si>
  <si>
    <t>UC_NONE</t>
  </si>
  <si>
    <t>UC_ELSWORD_SWORDMAN</t>
  </si>
  <si>
    <t>UC_ARME_VIOLET_MAGE</t>
  </si>
  <si>
    <t>UC_LIRE_ELVEN_RANGER</t>
  </si>
  <si>
    <t>UC_RAVEN_FIGHTER</t>
  </si>
  <si>
    <t>UC_EVE_NASOD</t>
  </si>
  <si>
    <t>UC_ELSWORD_KNIGHT</t>
  </si>
  <si>
    <t>UC_ELSWORD_MAGIC_KNIGHT</t>
  </si>
  <si>
    <t>UC_LIRE_COMBAT_RANGER</t>
  </si>
  <si>
    <t>UC_LIRE_SNIPING_RANGER</t>
  </si>
  <si>
    <t>UC_ARME_HIGH_MAGICIAN</t>
  </si>
  <si>
    <t>UC_ARME_DARK_MAGICIAN</t>
  </si>
  <si>
    <t>UC_RAVEN_SOUL_TAKER</t>
  </si>
  <si>
    <t>UC_RAVEN_OVER_TAKER</t>
  </si>
  <si>
    <t>UC_EVE_EXOTIC_GEAR</t>
  </si>
  <si>
    <t>UC_EVE_ARCHITECTURE</t>
  </si>
  <si>
    <t>SKILL_ABILITY_VALUE_DESC</t>
    <phoneticPr fontId="2" type="noConversion"/>
  </si>
  <si>
    <t>SA_DEF_PHYSIC_REL</t>
  </si>
  <si>
    <t>SA_DEF_MAGIC_REL</t>
  </si>
  <si>
    <t>SA_ATK_PHYSIC_REL</t>
  </si>
  <si>
    <t>SA_ATK_MAGIC_REL</t>
  </si>
  <si>
    <t>SA_TEAM_ATK_PHYSIC_REL</t>
  </si>
  <si>
    <t>SA_TEAM_ATK_MAGIC_REL</t>
  </si>
  <si>
    <t>SA_TEAM_DEF_PHYSIC_REL</t>
  </si>
  <si>
    <t>SA_TEAM_DEF_MAGIC_REL</t>
  </si>
  <si>
    <t>SA_SKILL_ID</t>
    <phoneticPr fontId="2" type="noConversion"/>
  </si>
  <si>
    <t>SA_COMBO_ID</t>
    <phoneticPr fontId="2" type="noConversion"/>
  </si>
  <si>
    <t>SA_MAX_HP_REL</t>
    <phoneticPr fontId="2" type="noConversion"/>
  </si>
  <si>
    <t>ID Name</t>
    <phoneticPr fontId="2" type="noConversion"/>
  </si>
  <si>
    <t>Description</t>
    <phoneticPr fontId="2" type="noConversion"/>
  </si>
  <si>
    <t>Skill Type Num</t>
    <phoneticPr fontId="2" type="noConversion"/>
  </si>
  <si>
    <t>Skill Type Name</t>
    <phoneticPr fontId="2" type="noConversion"/>
  </si>
  <si>
    <t>UNIT_CLASS_ENUM</t>
    <phoneticPr fontId="2" type="noConversion"/>
  </si>
  <si>
    <t>SKILL_ABILITY_ID</t>
    <phoneticPr fontId="2" type="noConversion"/>
  </si>
  <si>
    <t>SA_EFFECTIVE_TIME</t>
    <phoneticPr fontId="2" type="noConversion"/>
  </si>
  <si>
    <t>ST_PASSIVE_PHYSIC_ATTACK</t>
    <phoneticPr fontId="2" type="noConversion"/>
  </si>
  <si>
    <t>SA_EFFECTIVE_COUNT</t>
    <phoneticPr fontId="2" type="noConversion"/>
  </si>
  <si>
    <t>ST_PASSIVE_MAGIC_DEFENCE</t>
    <phoneticPr fontId="2" type="noConversion"/>
  </si>
  <si>
    <t>ST_PASSIVE_PHYSIC_DEFENCE</t>
    <phoneticPr fontId="2" type="noConversion"/>
  </si>
  <si>
    <t>SA_EFFECTIVE_RATE</t>
    <phoneticPr fontId="2" type="noConversion"/>
  </si>
  <si>
    <t>ST_BUFF</t>
    <phoneticPr fontId="2" type="noConversion"/>
  </si>
  <si>
    <t>SA_ATK_REL</t>
    <phoneticPr fontId="2" type="noConversion"/>
  </si>
  <si>
    <t>ST_ACTIVE</t>
    <phoneticPr fontId="2" type="noConversion"/>
  </si>
  <si>
    <t>ST_SPECIAL_ACTIVE</t>
    <phoneticPr fontId="2" type="noConversion"/>
  </si>
  <si>
    <t>SA_DAMAGE_REL</t>
    <phoneticPr fontId="2" type="noConversion"/>
  </si>
  <si>
    <t>SA_MAX_HP_ABS</t>
    <phoneticPr fontId="2" type="noConversion"/>
  </si>
  <si>
    <t>SA_MAX_MP_REL</t>
    <phoneticPr fontId="2" type="noConversion"/>
  </si>
  <si>
    <t>SA_TELEPORT_RANGE_ABS</t>
    <phoneticPr fontId="2" type="noConversion"/>
  </si>
  <si>
    <t>SA_CHARGING_TIME</t>
    <phoneticPr fontId="2" type="noConversion"/>
  </si>
  <si>
    <t>SA_HP_REL_TO_MP_ABS</t>
    <phoneticPr fontId="2" type="noConversion"/>
  </si>
  <si>
    <t>SA_MP_CONSUME_REL</t>
    <phoneticPr fontId="2" type="noConversion"/>
  </si>
  <si>
    <t>SA_MP_GAIN_ON_HIT_REL</t>
    <phoneticPr fontId="2" type="noConversion"/>
  </si>
  <si>
    <t>SI_SA_COMMON_POWER_ACCEL</t>
    <phoneticPr fontId="2" type="noConversion"/>
  </si>
  <si>
    <t>SA_PROJECTILE_RANGE_REL</t>
    <phoneticPr fontId="2" type="noConversion"/>
  </si>
  <si>
    <t>SA_PROJECTILE_SIZE</t>
    <phoneticPr fontId="2" type="noConversion"/>
  </si>
  <si>
    <t>SA_MOVE_SPEED</t>
    <phoneticPr fontId="2" type="noConversion"/>
  </si>
  <si>
    <t>SA_JUMP_SPEED</t>
    <phoneticPr fontId="2" type="noConversion"/>
  </si>
  <si>
    <t>SA_BURNING_RUSH</t>
    <phoneticPr fontId="2" type="noConversion"/>
  </si>
  <si>
    <t>SA_ATK_MAGIC_TO_ATK_PHYSIC</t>
    <phoneticPr fontId="2" type="noConversion"/>
  </si>
  <si>
    <t>SA_READY_TIME_REL</t>
    <phoneticPr fontId="2" type="noConversion"/>
  </si>
  <si>
    <t>SA_FORCE_DOWN_REL</t>
    <phoneticPr fontId="2" type="noConversion"/>
  </si>
  <si>
    <t>SI_SA_ES_MEGASLASH</t>
    <phoneticPr fontId="2" type="noConversion"/>
  </si>
  <si>
    <t>SA_FORCE_DOWN_RANGE_REL</t>
    <phoneticPr fontId="2" type="noConversion"/>
  </si>
  <si>
    <t>SI_A_ES_COUNTER</t>
    <phoneticPr fontId="2" type="noConversion"/>
  </si>
  <si>
    <t>SI_SA_AV_CHAIN_FIRE_BALL</t>
    <phoneticPr fontId="2" type="noConversion"/>
  </si>
  <si>
    <t>SI_A_AV_TELEPORT</t>
    <phoneticPr fontId="2" type="noConversion"/>
  </si>
  <si>
    <t>SI_P_AV_TELEPORT_UP</t>
    <phoneticPr fontId="2" type="noConversion"/>
  </si>
  <si>
    <t>SI_SA_LE_RAIL_STINGER</t>
    <phoneticPr fontId="2" type="noConversion"/>
  </si>
  <si>
    <t>SI_A_LE_SIEGEMODE</t>
    <phoneticPr fontId="2" type="noConversion"/>
  </si>
  <si>
    <t>SI_P_LE_SIEGEMODE_UP</t>
    <phoneticPr fontId="2" type="noConversion"/>
  </si>
  <si>
    <t>SI_SA_RF_MAXIMUM_CANNON</t>
    <phoneticPr fontId="2" type="noConversion"/>
  </si>
  <si>
    <t>SI_A_RF_BURNING_RUSH</t>
    <phoneticPr fontId="2" type="noConversion"/>
  </si>
  <si>
    <t>SI_SA_EN_ILLUSION_STRIKE</t>
    <phoneticPr fontId="2" type="noConversion"/>
  </si>
  <si>
    <t>SI_A_EN_CLOAKING</t>
    <phoneticPr fontId="2" type="noConversion"/>
  </si>
  <si>
    <t>SI_P_EN_CLOAKING_UP</t>
    <phoneticPr fontId="2" type="noConversion"/>
  </si>
  <si>
    <t>ST_PASSIVE</t>
    <phoneticPr fontId="2" type="noConversion"/>
  </si>
  <si>
    <t>SI_P_RF_THRUST</t>
    <phoneticPr fontId="2" type="noConversion"/>
  </si>
  <si>
    <t>설명</t>
    <phoneticPr fontId="2" type="noConversion"/>
  </si>
  <si>
    <t>유지 횟수</t>
    <phoneticPr fontId="2" type="noConversion"/>
  </si>
  <si>
    <t>유지 시간</t>
    <phoneticPr fontId="2" type="noConversion"/>
  </si>
  <si>
    <t>특정 스킬 지정</t>
    <phoneticPr fontId="2" type="noConversion"/>
  </si>
  <si>
    <t>특정 콤보 지정</t>
    <phoneticPr fontId="2" type="noConversion"/>
  </si>
  <si>
    <t>발동 확률</t>
    <phoneticPr fontId="2" type="noConversion"/>
  </si>
  <si>
    <t>공격력(물리,마법) 스탯 증가</t>
    <phoneticPr fontId="2" type="noConversion"/>
  </si>
  <si>
    <t>물리 공격력 스탯 증가</t>
    <phoneticPr fontId="2" type="noConversion"/>
  </si>
  <si>
    <t>마법 공격력 스탯 증가</t>
    <phoneticPr fontId="2" type="noConversion"/>
  </si>
  <si>
    <t>물리 방어력 스탯 증가</t>
    <phoneticPr fontId="2" type="noConversion"/>
  </si>
  <si>
    <t>마법 방어력 스탯 증가</t>
    <phoneticPr fontId="2" type="noConversion"/>
  </si>
  <si>
    <t>물리 공격력 스탯 증가 (팀)</t>
    <phoneticPr fontId="2" type="noConversion"/>
  </si>
  <si>
    <t>마법 공격력 스탯 증가 (팀)</t>
    <phoneticPr fontId="2" type="noConversion"/>
  </si>
  <si>
    <t>물리 방어력 스탯 증가 (팀)</t>
    <phoneticPr fontId="2" type="noConversion"/>
  </si>
  <si>
    <t>마법 방어력 스탯 증가 (팀)</t>
    <phoneticPr fontId="2" type="noConversion"/>
  </si>
  <si>
    <t>최대 HP 증가 (수치)</t>
    <phoneticPr fontId="2" type="noConversion"/>
  </si>
  <si>
    <t>최대 HP 증가 (%)</t>
    <phoneticPr fontId="2" type="noConversion"/>
  </si>
  <si>
    <t>캐릭터 이동스킬 거리 증가</t>
    <phoneticPr fontId="2" type="noConversion"/>
  </si>
  <si>
    <t>모으는 시간</t>
    <phoneticPr fontId="2" type="noConversion"/>
  </si>
  <si>
    <t>마력전환</t>
    <phoneticPr fontId="2" type="noConversion"/>
  </si>
  <si>
    <t>마나 소모 조정</t>
    <phoneticPr fontId="2" type="noConversion"/>
  </si>
  <si>
    <t>(타격시)마나 획득량 조정</t>
    <phoneticPr fontId="2" type="noConversion"/>
  </si>
  <si>
    <t>발사체 개수 조정</t>
    <phoneticPr fontId="2" type="noConversion"/>
  </si>
  <si>
    <t>발사체 거리 조정</t>
    <phoneticPr fontId="2" type="noConversion"/>
  </si>
  <si>
    <t>발사체 사이즈 조정</t>
    <phoneticPr fontId="2" type="noConversion"/>
  </si>
  <si>
    <t>이동 속도 조정</t>
    <phoneticPr fontId="2" type="noConversion"/>
  </si>
  <si>
    <t>점프 속도 조정</t>
    <phoneticPr fontId="2" type="noConversion"/>
  </si>
  <si>
    <t>물리 공격력의 일정량 마법공격력</t>
    <phoneticPr fontId="2" type="noConversion"/>
  </si>
  <si>
    <t>마법 공격력의 일정량 물리공격력</t>
    <phoneticPr fontId="2" type="noConversion"/>
  </si>
  <si>
    <t>시즈모드 준비 시간 조정</t>
    <phoneticPr fontId="2" type="noConversion"/>
  </si>
  <si>
    <t>SA_FORCE_DOWN_ABS</t>
    <phoneticPr fontId="2" type="noConversion"/>
  </si>
  <si>
    <t>최대 MP 증가 (수치)</t>
    <phoneticPr fontId="2" type="noConversion"/>
  </si>
  <si>
    <t>최대 MP 증가 (%)</t>
    <phoneticPr fontId="2" type="noConversion"/>
  </si>
  <si>
    <t>강제다운 수치 조정 (%)</t>
    <phoneticPr fontId="2" type="noConversion"/>
  </si>
  <si>
    <t>근접공격 강제다운 수치 조정 (%)</t>
    <phoneticPr fontId="2" type="noConversion"/>
  </si>
  <si>
    <t>발사체공격 강제다운 수치 조정 (%)</t>
    <phoneticPr fontId="2" type="noConversion"/>
  </si>
  <si>
    <t>스킬타격시 강제다운 수치 조정 (수치)</t>
    <phoneticPr fontId="2" type="noConversion"/>
  </si>
  <si>
    <t>SA_MP_GAIN_ON_HIT_REL</t>
  </si>
  <si>
    <t>SA_MAX_HP_REL</t>
  </si>
  <si>
    <t>SA_MAX_MP_ABS</t>
  </si>
  <si>
    <t>SA_MAX_MP_ABS</t>
    <phoneticPr fontId="2" type="noConversion"/>
  </si>
  <si>
    <t>방어도 무시</t>
    <phoneticPr fontId="2" type="noConversion"/>
  </si>
  <si>
    <t>SA_ATK_PHYSIC_TO_ATK_MAGIC</t>
  </si>
  <si>
    <t>SA_ATK_PHYSIC_TO_ATK_MAGIC</t>
    <phoneticPr fontId="2" type="noConversion"/>
  </si>
  <si>
    <t>SA_TEAM_ATK_PHYSIC_REL</t>
    <phoneticPr fontId="2" type="noConversion"/>
  </si>
  <si>
    <t>SA_TEAM_ATK_MAGIC_REL</t>
    <phoneticPr fontId="2" type="noConversion"/>
  </si>
  <si>
    <t>SA_DAMAGED_REL</t>
  </si>
  <si>
    <t>SA_DAMAGED_REL</t>
    <phoneticPr fontId="2" type="noConversion"/>
  </si>
  <si>
    <t>SA_DAMAGE_REL</t>
  </si>
  <si>
    <t>SA_UNFIXED_DEFENSE_REL</t>
  </si>
  <si>
    <t>SA_UNFIXED_DEFENSE_REL</t>
    <phoneticPr fontId="2" type="noConversion"/>
  </si>
  <si>
    <t>SA_SCOPE_ABS</t>
  </si>
  <si>
    <t>SA_SCOPE_ABS</t>
    <phoneticPr fontId="2" type="noConversion"/>
  </si>
  <si>
    <t>스킬범위 조정 (반경,수치)</t>
    <phoneticPr fontId="2" type="noConversion"/>
  </si>
  <si>
    <t>데미지 배율 변경</t>
    <phoneticPr fontId="2" type="noConversion"/>
  </si>
  <si>
    <t>받는 데미지 변경</t>
    <phoneticPr fontId="2" type="noConversion"/>
  </si>
  <si>
    <t>SA_PROJECTILE_FIRE_COUNT</t>
  </si>
  <si>
    <t>SA_READY_TIME_REL</t>
  </si>
  <si>
    <t>SA_FORCE_DOWN_MELEE_REL</t>
  </si>
  <si>
    <t>SA_FORCE_DOWN_MELEE_REL</t>
    <phoneticPr fontId="2" type="noConversion"/>
  </si>
  <si>
    <t>SA_PROJECTILE_PIERCING</t>
  </si>
  <si>
    <t>SA_PROJECTILE_PIERCING</t>
    <phoneticPr fontId="2" type="noConversion"/>
  </si>
  <si>
    <t>발사체 힛트 수 (관통력) 조정</t>
    <phoneticPr fontId="2" type="noConversion"/>
  </si>
  <si>
    <t>SA_PROJECTILE_RANGE_REL</t>
  </si>
  <si>
    <t>SA_FORCE_DOWN_RANGE_REL</t>
  </si>
  <si>
    <t>SA_TELEPORT_RANGE_ABS</t>
  </si>
  <si>
    <t>SA_EFFECTIVE_TIME</t>
  </si>
  <si>
    <t>SA_CHARGING_TIME</t>
  </si>
  <si>
    <t>SA_PROJECTILE_SIZE</t>
  </si>
  <si>
    <t>SA_SKILL_ID</t>
  </si>
  <si>
    <t>SA_SKILL_ID</t>
    <phoneticPr fontId="1" type="noConversion"/>
  </si>
  <si>
    <t>소환수 공격력 증가</t>
    <phoneticPr fontId="2" type="noConversion"/>
  </si>
  <si>
    <t>SA_SUMMON_ATK_REL</t>
  </si>
  <si>
    <t>SA_SUMMON_ATK_REL</t>
    <phoneticPr fontId="2" type="noConversion"/>
  </si>
  <si>
    <t>SA_MP_CONSUME_REL</t>
  </si>
  <si>
    <t>LINE_1</t>
    <phoneticPr fontId="4" type="noConversion"/>
  </si>
  <si>
    <t>COLUMN_1_NAME</t>
    <phoneticPr fontId="4" type="noConversion"/>
  </si>
  <si>
    <t>COLUMN_1_M_LV</t>
    <phoneticPr fontId="4" type="noConversion"/>
  </si>
  <si>
    <t>COLUMN_1_CONDITION</t>
    <phoneticPr fontId="4" type="noConversion"/>
  </si>
  <si>
    <t>COLUMN_2_NAME</t>
  </si>
  <si>
    <t>COLUMN_2_M_LV</t>
  </si>
  <si>
    <t>COLUMN_2_CONDITION</t>
  </si>
  <si>
    <t>COLUMN_3_NAME</t>
  </si>
  <si>
    <t>COLUMN_3_M_LV</t>
  </si>
  <si>
    <t>COLUMN_3_CONDITION</t>
  </si>
  <si>
    <t>COLUMN_4_NAME</t>
  </si>
  <si>
    <t>COLUMN_4_M_LV</t>
  </si>
  <si>
    <t>COLUMN_4_CONDITION</t>
  </si>
  <si>
    <t>COLUMN_5_NAME</t>
  </si>
  <si>
    <t>COLUMN_5_M_LV</t>
  </si>
  <si>
    <t>COLUMN_5_CONDITION</t>
  </si>
  <si>
    <t>LINE_2</t>
    <phoneticPr fontId="4" type="noConversion"/>
  </si>
  <si>
    <t>LINE_3</t>
    <phoneticPr fontId="4" type="noConversion"/>
  </si>
  <si>
    <t>LINE_4</t>
    <phoneticPr fontId="4" type="noConversion"/>
  </si>
  <si>
    <t>LINE_5</t>
    <phoneticPr fontId="4" type="noConversion"/>
  </si>
  <si>
    <t>LINE_6</t>
    <phoneticPr fontId="4" type="noConversion"/>
  </si>
  <si>
    <t>LINE_7</t>
    <phoneticPr fontId="4" type="noConversion"/>
  </si>
  <si>
    <t>LINE_8</t>
    <phoneticPr fontId="4" type="noConversion"/>
  </si>
  <si>
    <t>LINE_9</t>
    <phoneticPr fontId="4" type="noConversion"/>
  </si>
  <si>
    <t>LINE_10</t>
    <phoneticPr fontId="4" type="noConversion"/>
  </si>
  <si>
    <t>LINE_11</t>
    <phoneticPr fontId="4" type="noConversion"/>
  </si>
  <si>
    <t>LINE_12</t>
    <phoneticPr fontId="4" type="noConversion"/>
  </si>
  <si>
    <t>LINE_13</t>
    <phoneticPr fontId="4" type="noConversion"/>
  </si>
  <si>
    <t>LINE_14</t>
    <phoneticPr fontId="4" type="noConversion"/>
  </si>
  <si>
    <t>ID</t>
    <phoneticPr fontId="1" type="noConversion"/>
  </si>
  <si>
    <t>ID_ENUM</t>
    <phoneticPr fontId="1" type="noConversion"/>
  </si>
  <si>
    <t>TYPE</t>
    <phoneticPr fontId="1" type="noConversion"/>
  </si>
  <si>
    <t>TYPE_ENUM</t>
    <phoneticPr fontId="1" type="noConversion"/>
  </si>
  <si>
    <t>NAME</t>
    <phoneticPr fontId="1" type="noConversion"/>
  </si>
  <si>
    <t>DESC</t>
    <phoneticPr fontId="1" type="noConversion"/>
  </si>
  <si>
    <t>SKILL_LEVEL</t>
    <phoneticPr fontId="1" type="noConversion"/>
  </si>
  <si>
    <t>COOL_TIME</t>
    <phoneticPr fontId="1" type="noConversion"/>
  </si>
  <si>
    <t>MP_CONSUMPTION</t>
    <phoneticPr fontId="1" type="noConversion"/>
  </si>
  <si>
    <t>STAT_BASE_HP</t>
    <phoneticPr fontId="1" type="noConversion"/>
  </si>
  <si>
    <t>STAT_ATK_PHYSIC</t>
    <phoneticPr fontId="1" type="noConversion"/>
  </si>
  <si>
    <t>STAT_ATK_MAGIC</t>
    <phoneticPr fontId="1" type="noConversion"/>
  </si>
  <si>
    <t>STAT_DEF_PHYSIC</t>
    <phoneticPr fontId="1" type="noConversion"/>
  </si>
  <si>
    <t>STAT_DEF_MAGIC</t>
    <phoneticPr fontId="1" type="noConversion"/>
  </si>
  <si>
    <t>ICON_TEXTURE_NAME</t>
    <phoneticPr fontId="1" type="noConversion"/>
  </si>
  <si>
    <t>ICON_TEXTURE_PIECE_NAME</t>
    <phoneticPr fontId="1" type="noConversion"/>
  </si>
  <si>
    <t>BORN_SEALED</t>
    <phoneticPr fontId="1" type="noConversion"/>
  </si>
  <si>
    <t>MISC_0</t>
    <phoneticPr fontId="1" type="noConversion"/>
  </si>
  <si>
    <t>MISC_1</t>
    <phoneticPr fontId="1" type="noConversion"/>
  </si>
  <si>
    <t>MISC_2</t>
    <phoneticPr fontId="1" type="noConversion"/>
  </si>
  <si>
    <t>MISC_3</t>
    <phoneticPr fontId="1" type="noConversion"/>
  </si>
  <si>
    <t>MISC_4</t>
    <phoneticPr fontId="1" type="noConversion"/>
  </si>
  <si>
    <t>MISC_5</t>
    <phoneticPr fontId="1" type="noConversion"/>
  </si>
  <si>
    <t>SA_MP_CONSUME_REL</t>
    <phoneticPr fontId="2" type="noConversion"/>
  </si>
  <si>
    <t>ACTIVE_SKILL_USE_CONDITION</t>
  </si>
  <si>
    <t>ACTIVE_SKILL_USE_CONDITION</t>
    <phoneticPr fontId="1" type="noConversion"/>
  </si>
  <si>
    <t>ASUT_NONE</t>
    <phoneticPr fontId="2" type="noConversion"/>
  </si>
  <si>
    <t>ASUT_GROUND</t>
    <phoneticPr fontId="2" type="noConversion"/>
  </si>
  <si>
    <t>ASUT_AIR</t>
    <phoneticPr fontId="2" type="noConversion"/>
  </si>
  <si>
    <t>ASUT_ANYTIME</t>
    <phoneticPr fontId="2" type="noConversion"/>
  </si>
  <si>
    <t>땅위에서만 쓸 수 있는 필살기, skip_point에서만</t>
  </si>
  <si>
    <t>공중에서도 쓸 수 있는 필살기, skip_point에서만</t>
  </si>
  <si>
    <t>아무때나 쓸 수 있는 필살기</t>
  </si>
  <si>
    <t>POWER_RATE</t>
    <phoneticPr fontId="1" type="noConversion"/>
  </si>
  <si>
    <t>기초 근력단련</t>
    <phoneticPr fontId="2" type="noConversion"/>
  </si>
  <si>
    <t>기초 마법수련</t>
    <phoneticPr fontId="2" type="noConversion"/>
  </si>
  <si>
    <t>기초 물리방어술</t>
    <phoneticPr fontId="2" type="noConversion"/>
  </si>
  <si>
    <t>기초 마법방어술</t>
    <phoneticPr fontId="2" type="noConversion"/>
  </si>
  <si>
    <t>중급 근력단련</t>
    <phoneticPr fontId="2" type="noConversion"/>
  </si>
  <si>
    <t>중급 마법수련</t>
    <phoneticPr fontId="2" type="noConversion"/>
  </si>
  <si>
    <t>중급 물리방어술</t>
    <phoneticPr fontId="2" type="noConversion"/>
  </si>
  <si>
    <t>중급 마법방어술</t>
    <phoneticPr fontId="2" type="noConversion"/>
  </si>
  <si>
    <t>기회의 포착</t>
    <phoneticPr fontId="2" type="noConversion"/>
  </si>
  <si>
    <t>강인한 신체</t>
    <phoneticPr fontId="2" type="noConversion"/>
  </si>
  <si>
    <t>강인한 정신력</t>
    <phoneticPr fontId="2" type="noConversion"/>
  </si>
  <si>
    <t>격려의 기운</t>
    <phoneticPr fontId="2" type="noConversion"/>
  </si>
  <si>
    <t>끝없는 마력</t>
    <phoneticPr fontId="2" type="noConversion"/>
  </si>
  <si>
    <t>죽음의 그림자</t>
    <phoneticPr fontId="2" type="noConversion"/>
  </si>
  <si>
    <t>육체와 정신의 조화</t>
    <phoneticPr fontId="2" type="noConversion"/>
  </si>
  <si>
    <t>유연한 몸놀림</t>
    <phoneticPr fontId="2" type="noConversion"/>
  </si>
  <si>
    <t>격투가의 혼</t>
    <phoneticPr fontId="2" type="noConversion"/>
  </si>
  <si>
    <t>승리의 자신감</t>
    <phoneticPr fontId="2" type="noConversion"/>
  </si>
  <si>
    <t>단련된 신체</t>
    <phoneticPr fontId="2" type="noConversion"/>
  </si>
  <si>
    <t>역전의 용사</t>
    <phoneticPr fontId="2" type="noConversion"/>
  </si>
  <si>
    <t>호승심 유발</t>
    <phoneticPr fontId="2" type="noConversion"/>
  </si>
  <si>
    <t>우아한 발걸음</t>
    <phoneticPr fontId="2" type="noConversion"/>
  </si>
  <si>
    <t>파워 아드레날린</t>
    <phoneticPr fontId="2" type="noConversion"/>
  </si>
  <si>
    <t>매직 아드레날린</t>
    <phoneticPr fontId="2" type="noConversion"/>
  </si>
  <si>
    <t>실드 아드레날린</t>
    <phoneticPr fontId="2" type="noConversion"/>
  </si>
  <si>
    <t>어설트 슬래시</t>
    <phoneticPr fontId="2" type="noConversion"/>
  </si>
  <si>
    <t>페이탈 퓨리</t>
    <phoneticPr fontId="2" type="noConversion"/>
  </si>
  <si>
    <t>언리미티드 블레이드</t>
    <phoneticPr fontId="2" type="noConversion"/>
  </si>
  <si>
    <t>메가 슬래시</t>
    <phoneticPr fontId="2" type="noConversion"/>
  </si>
  <si>
    <t>에어 슬래시</t>
    <phoneticPr fontId="2" type="noConversion"/>
  </si>
  <si>
    <t>스파이럴 블래스트</t>
    <phoneticPr fontId="2" type="noConversion"/>
  </si>
  <si>
    <t>아마겟돈 블레이드</t>
    <phoneticPr fontId="2" type="noConversion"/>
  </si>
  <si>
    <t>윈드 블레이드</t>
    <phoneticPr fontId="2" type="noConversion"/>
  </si>
  <si>
    <t>라이징 슬래시</t>
    <phoneticPr fontId="2" type="noConversion"/>
  </si>
  <si>
    <t>스톰 블레이드</t>
    <phoneticPr fontId="2" type="noConversion"/>
  </si>
  <si>
    <t>반격 연마</t>
    <phoneticPr fontId="2" type="noConversion"/>
  </si>
  <si>
    <t>강화된 파이어볼</t>
    <phoneticPr fontId="2" type="noConversion"/>
  </si>
  <si>
    <t>체인 파이어볼</t>
    <phoneticPr fontId="2" type="noConversion"/>
  </si>
  <si>
    <t>바인딩 서클</t>
    <phoneticPr fontId="2" type="noConversion"/>
  </si>
  <si>
    <t>거스트 스크류</t>
    <phoneticPr fontId="2" type="noConversion"/>
  </si>
  <si>
    <t>라이트닝 볼트</t>
    <phoneticPr fontId="2" type="noConversion"/>
  </si>
  <si>
    <t>거스트 스톰</t>
    <phoneticPr fontId="2" type="noConversion"/>
  </si>
  <si>
    <t>메테오 콜</t>
    <phoneticPr fontId="2" type="noConversion"/>
  </si>
  <si>
    <t>체인 버스트</t>
    <phoneticPr fontId="2" type="noConversion"/>
  </si>
  <si>
    <t>매직 미사일</t>
    <phoneticPr fontId="2" type="noConversion"/>
  </si>
  <si>
    <t>인퍼널 웨이브</t>
    <phoneticPr fontId="2" type="noConversion"/>
  </si>
  <si>
    <t>헬 스톤</t>
    <phoneticPr fontId="2" type="noConversion"/>
  </si>
  <si>
    <t>다크 클라우드</t>
    <phoneticPr fontId="2" type="noConversion"/>
  </si>
  <si>
    <t>플라즈마 커터</t>
    <phoneticPr fontId="2" type="noConversion"/>
  </si>
  <si>
    <t>마나 실드</t>
    <phoneticPr fontId="2" type="noConversion"/>
  </si>
  <si>
    <t>텔레포트 연마</t>
    <phoneticPr fontId="2" type="noConversion"/>
  </si>
  <si>
    <t>파이어볼 연마</t>
    <phoneticPr fontId="2" type="noConversion"/>
  </si>
  <si>
    <t>레일 스팅거</t>
    <phoneticPr fontId="2" type="noConversion"/>
  </si>
  <si>
    <t>어설트 킥</t>
    <phoneticPr fontId="2" type="noConversion"/>
  </si>
  <si>
    <t>멀티플 스팅거</t>
    <phoneticPr fontId="2" type="noConversion"/>
  </si>
  <si>
    <t>에어로 토네이도</t>
    <phoneticPr fontId="2" type="noConversion"/>
  </si>
  <si>
    <t>피닉스 스트라이크</t>
    <phoneticPr fontId="2" type="noConversion"/>
  </si>
  <si>
    <t>스피닝 킥</t>
    <phoneticPr fontId="2" type="noConversion"/>
  </si>
  <si>
    <t>크레센트 킥</t>
    <phoneticPr fontId="2" type="noConversion"/>
  </si>
  <si>
    <t>다이브킥 봄잉</t>
    <phoneticPr fontId="2" type="noConversion"/>
  </si>
  <si>
    <t>허밍 윈드</t>
    <phoneticPr fontId="2" type="noConversion"/>
  </si>
  <si>
    <t>가이드 애로우</t>
    <phoneticPr fontId="2" type="noConversion"/>
  </si>
  <si>
    <t>시즈모드 연마</t>
    <phoneticPr fontId="2" type="noConversion"/>
  </si>
  <si>
    <t>날렵한 발차기</t>
    <phoneticPr fontId="2" type="noConversion"/>
  </si>
  <si>
    <t>강화된 보우스트링</t>
    <phoneticPr fontId="2" type="noConversion"/>
  </si>
  <si>
    <t>다듬어진 화살</t>
    <phoneticPr fontId="2" type="noConversion"/>
  </si>
  <si>
    <t>호크 아이</t>
    <phoneticPr fontId="2" type="noConversion"/>
  </si>
  <si>
    <t>맥시멈 캐논</t>
    <phoneticPr fontId="2" type="noConversion"/>
  </si>
  <si>
    <t>어스 브레이크</t>
    <phoneticPr fontId="2" type="noConversion"/>
  </si>
  <si>
    <t>파워 어설트</t>
    <phoneticPr fontId="2" type="noConversion"/>
  </si>
  <si>
    <t>캐논 블레이드</t>
    <phoneticPr fontId="2" type="noConversion"/>
  </si>
  <si>
    <t>매그넘 블래스터</t>
    <phoneticPr fontId="2" type="noConversion"/>
  </si>
  <si>
    <t>세븐 버스트</t>
    <phoneticPr fontId="2" type="noConversion"/>
  </si>
  <si>
    <t>버서커 블레이드</t>
    <phoneticPr fontId="2" type="noConversion"/>
  </si>
  <si>
    <t>플라잉 임팩트</t>
    <phoneticPr fontId="2" type="noConversion"/>
  </si>
  <si>
    <t>하이퍼 소닉 스탭</t>
    <phoneticPr fontId="2" type="noConversion"/>
  </si>
  <si>
    <t>차지드 볼트</t>
    <phoneticPr fontId="2" type="noConversion"/>
  </si>
  <si>
    <t>가디언 스트라이크</t>
    <phoneticPr fontId="2" type="noConversion"/>
  </si>
  <si>
    <t>버닝 러시</t>
    <phoneticPr fontId="2" type="noConversion"/>
  </si>
  <si>
    <t>섀도우 스탭</t>
    <phoneticPr fontId="2" type="noConversion"/>
  </si>
  <si>
    <t>섀도우 피어싱</t>
    <phoneticPr fontId="2" type="noConversion"/>
  </si>
  <si>
    <t>일루전 스트라이크</t>
    <phoneticPr fontId="2" type="noConversion"/>
  </si>
  <si>
    <t>디멘션 링크</t>
    <phoneticPr fontId="2" type="noConversion"/>
  </si>
  <si>
    <t>일루전 스팅어</t>
    <phoneticPr fontId="2" type="noConversion"/>
  </si>
  <si>
    <t>디멘션 링크 블레이더</t>
    <phoneticPr fontId="2" type="noConversion"/>
  </si>
  <si>
    <t>제네레이터 블랙홀</t>
    <phoneticPr fontId="2" type="noConversion"/>
  </si>
  <si>
    <t>디멘션 링크 가디언</t>
    <phoneticPr fontId="2" type="noConversion"/>
  </si>
  <si>
    <t>호넷 스팅</t>
    <phoneticPr fontId="2" type="noConversion"/>
  </si>
  <si>
    <t>익스플로전 임팩트</t>
    <phoneticPr fontId="2" type="noConversion"/>
  </si>
  <si>
    <t>퀸스 쓰론</t>
    <phoneticPr fontId="2" type="noConversion"/>
  </si>
  <si>
    <t>서피스 커팅</t>
    <phoneticPr fontId="2" type="noConversion"/>
  </si>
  <si>
    <t>소닉 웨이브</t>
    <phoneticPr fontId="2" type="noConversion"/>
  </si>
  <si>
    <t>제노사이드 리퍼</t>
    <phoneticPr fontId="2" type="noConversion"/>
  </si>
  <si>
    <t>마력 전환</t>
    <phoneticPr fontId="2" type="noConversion"/>
  </si>
  <si>
    <t>클로킹 연마</t>
    <phoneticPr fontId="2" type="noConversion"/>
  </si>
  <si>
    <t>일렉트론볼 연마</t>
    <phoneticPr fontId="2" type="noConversion"/>
  </si>
  <si>
    <t>여왕의 지배력</t>
    <phoneticPr fontId="2" type="noConversion"/>
  </si>
  <si>
    <t>여왕의 잠재력</t>
    <phoneticPr fontId="2" type="noConversion"/>
  </si>
  <si>
    <t>DLG_SKILL_Passive_01.tga</t>
  </si>
  <si>
    <t>DLG_SKILL_Passive_02.tga</t>
  </si>
  <si>
    <t>DLG_SKILL_Buff_01.tga</t>
  </si>
  <si>
    <t>DLG_SKILL_ElswordActive_01.tga</t>
  </si>
  <si>
    <t>DLG_SKILL_ElswordActive_02.tga</t>
  </si>
  <si>
    <t>DLG_SKILL_AishaActive_01.tga</t>
  </si>
  <si>
    <t>DLG_SKILL_AishaActive_02.tga</t>
  </si>
  <si>
    <t>DLG_SKILL_LenaActive_01.tga</t>
  </si>
  <si>
    <t>DLG_SKILL_LenaActive_02.tga</t>
  </si>
  <si>
    <t>DLG_SKILL_RavenActive_01.tga</t>
  </si>
  <si>
    <t>DLG_SKILL_AishaActive_01.tga</t>
    <phoneticPr fontId="1" type="noConversion"/>
  </si>
  <si>
    <t>DLG_SKILL_EveActive_01.tga</t>
  </si>
  <si>
    <t>DLG_SKILL_EveActive_02.tga</t>
  </si>
  <si>
    <t>백덤블링 샷</t>
    <phoneticPr fontId="2" type="noConversion"/>
  </si>
  <si>
    <t>크레이지 샷</t>
    <phoneticPr fontId="2" type="noConversion"/>
  </si>
  <si>
    <t>리플렉트 킥</t>
    <phoneticPr fontId="2" type="noConversion"/>
  </si>
  <si>
    <t>SHOW_LEVEL</t>
    <phoneticPr fontId="1" type="noConversion"/>
  </si>
  <si>
    <t>IN_HOUSE_TEST_ONLY</t>
  </si>
  <si>
    <t>SI_SA_ESK_WINDMILL</t>
    <phoneticPr fontId="2" type="noConversion"/>
  </si>
  <si>
    <t>SI_SA_EMK_SWORD_FIRE</t>
    <phoneticPr fontId="2" type="noConversion"/>
  </si>
  <si>
    <t>윈드밀</t>
    <phoneticPr fontId="2" type="noConversion"/>
  </si>
  <si>
    <t>소드 파이어</t>
    <phoneticPr fontId="2" type="noConversion"/>
  </si>
  <si>
    <t>SI_A_ESK_ARMOR_BRAKE</t>
    <phoneticPr fontId="2" type="noConversion"/>
  </si>
  <si>
    <t>SI_A_EMK_BIG_BURST</t>
    <phoneticPr fontId="2" type="noConversion"/>
  </si>
  <si>
    <t>아머 브레이크</t>
    <phoneticPr fontId="2" type="noConversion"/>
  </si>
  <si>
    <t>대폭살</t>
    <phoneticPr fontId="2" type="noConversion"/>
  </si>
  <si>
    <t>SI_SA_AHM_BLIZZARDSHOWER</t>
    <phoneticPr fontId="2" type="noConversion"/>
  </si>
  <si>
    <t>SI_SA_ADM_DEATHFIELD</t>
    <phoneticPr fontId="2" type="noConversion"/>
  </si>
  <si>
    <t>블리자드 샤워</t>
    <phoneticPr fontId="2" type="noConversion"/>
  </si>
  <si>
    <t>데스 필드</t>
    <phoneticPr fontId="2" type="noConversion"/>
  </si>
  <si>
    <t>SI_A_AHM_MEDITATION</t>
    <phoneticPr fontId="2" type="noConversion"/>
  </si>
  <si>
    <t>SI_A_ADM_MANA_INTAKE</t>
    <phoneticPr fontId="2" type="noConversion"/>
  </si>
  <si>
    <t>메디테이션</t>
    <phoneticPr fontId="2" type="noConversion"/>
  </si>
  <si>
    <t>마나 인테이크</t>
    <phoneticPr fontId="2" type="noConversion"/>
  </si>
  <si>
    <t>샤프 폴</t>
    <phoneticPr fontId="2" type="noConversion"/>
  </si>
  <si>
    <t>SI_SA_LCR_SHARPFALL</t>
    <phoneticPr fontId="2" type="noConversion"/>
  </si>
  <si>
    <t>SI_SA_LSR_ WINDWARD</t>
    <phoneticPr fontId="2" type="noConversion"/>
  </si>
  <si>
    <t>윈드 워드</t>
    <phoneticPr fontId="2" type="noConversion"/>
  </si>
  <si>
    <t>SI_A_LCR_LOW_KICK</t>
    <phoneticPr fontId="2" type="noConversion"/>
  </si>
  <si>
    <t>SI_A_LSR_ENTANGLE</t>
    <phoneticPr fontId="2" type="noConversion"/>
  </si>
  <si>
    <t>로우 킥</t>
    <phoneticPr fontId="2" type="noConversion"/>
  </si>
  <si>
    <t>인탱글</t>
    <phoneticPr fontId="2" type="noConversion"/>
  </si>
  <si>
    <t>SI_SA_RST_SHOCKWAVE</t>
    <phoneticPr fontId="2" type="noConversion"/>
  </si>
  <si>
    <t>SI_SA_ROT_VALKYRIESJAVELIN</t>
    <phoneticPr fontId="2" type="noConversion"/>
  </si>
  <si>
    <t>쇼크 웨이브</t>
    <phoneticPr fontId="2" type="noConversion"/>
  </si>
  <si>
    <t>발키리스 자벨린</t>
    <phoneticPr fontId="2" type="noConversion"/>
  </si>
  <si>
    <t>SI_A_RST_CUT_TENDON</t>
    <phoneticPr fontId="2" type="noConversion"/>
  </si>
  <si>
    <t xml:space="preserve">SI_A_ROT_WEAPON_BRAKE </t>
    <phoneticPr fontId="2" type="noConversion"/>
  </si>
  <si>
    <t>컷텐던</t>
    <phoneticPr fontId="2" type="noConversion"/>
  </si>
  <si>
    <t>웨폰 브레이크</t>
    <phoneticPr fontId="2" type="noConversion"/>
  </si>
  <si>
    <t>SI_SA_EEG_IRONSCRAPS</t>
    <phoneticPr fontId="2" type="noConversion"/>
  </si>
  <si>
    <t xml:space="preserve">SI_SA_EAT_SPACE_WRENCH </t>
    <phoneticPr fontId="2" type="noConversion"/>
  </si>
  <si>
    <t>아이언 스크랩스</t>
    <phoneticPr fontId="2" type="noConversion"/>
  </si>
  <si>
    <t>스페이스 렌치</t>
    <phoneticPr fontId="2" type="noConversion"/>
  </si>
  <si>
    <t>SI_A_EEG_METAL_DUST_AURA</t>
    <phoneticPr fontId="2" type="noConversion"/>
  </si>
  <si>
    <t xml:space="preserve">SI_A_EAT_OBERON_GUARD </t>
    <phoneticPr fontId="2" type="noConversion"/>
  </si>
  <si>
    <t>메탈 더스트 오라</t>
    <phoneticPr fontId="2" type="noConversion"/>
  </si>
  <si>
    <t>오베론 가드</t>
    <phoneticPr fontId="2" type="noConversion"/>
  </si>
  <si>
    <t>SA_EFFECTIVE_RATE</t>
  </si>
  <si>
    <t>SA_EFFECTIVE_RATE</t>
    <phoneticPr fontId="1" type="noConversion"/>
  </si>
  <si>
    <t>SA_PROJECTILE_FIRE_COUNT</t>
    <phoneticPr fontId="2" type="noConversion"/>
  </si>
  <si>
    <t>SA_PROJECTILE_FIRE_COUNT</t>
    <phoneticPr fontId="1" type="noConversion"/>
  </si>
  <si>
    <t>SA_EFFECTIVE_TIME</t>
    <phoneticPr fontId="2" type="noConversion"/>
  </si>
  <si>
    <t>MP 강탈량</t>
    <phoneticPr fontId="2" type="noConversion"/>
  </si>
  <si>
    <t>MP 회복 증가량</t>
    <phoneticPr fontId="2" type="noConversion"/>
  </si>
  <si>
    <t>SA_MP_REGENERATION_ABS</t>
  </si>
  <si>
    <t>SA_MP_REGENERATION_ABS</t>
    <phoneticPr fontId="2" type="noConversion"/>
  </si>
  <si>
    <t>SA_MP_INTAKE_ABS</t>
  </si>
  <si>
    <t>SA_MP_INTAKE_ABS</t>
    <phoneticPr fontId="2" type="noConversion"/>
  </si>
  <si>
    <t>대상 애니 속도 조정</t>
    <phoneticPr fontId="2" type="noConversion"/>
  </si>
  <si>
    <t>SA_TARGET_ANI_SPEED</t>
  </si>
  <si>
    <t>SA_TARGET_ANI_SPEED</t>
    <phoneticPr fontId="2" type="noConversion"/>
  </si>
  <si>
    <t>SA_TARGET_ANI_SPEED</t>
    <phoneticPr fontId="1" type="noConversion"/>
  </si>
  <si>
    <t>서클 플레임</t>
    <phoneticPr fontId="2" type="noConversion"/>
  </si>
  <si>
    <t>트리플 게이저</t>
    <phoneticPr fontId="2" type="noConversion"/>
  </si>
  <si>
    <t>플레임 게이저</t>
    <phoneticPr fontId="2" type="noConversion"/>
  </si>
  <si>
    <t>아크 에너미</t>
    <phoneticPr fontId="2" type="noConversion"/>
  </si>
  <si>
    <t>퍼펙트 스톰</t>
    <phoneticPr fontId="2" type="noConversion"/>
  </si>
  <si>
    <t>메가 일렉트론볼</t>
    <phoneticPr fontId="2" type="noConversion"/>
  </si>
  <si>
    <t>파워 액셀레이터</t>
  </si>
  <si>
    <t>매직 액셀레이터</t>
  </si>
  <si>
    <t>실드 액셀레이터</t>
  </si>
  <si>
    <t>오러 파워 액셀레이터</t>
  </si>
  <si>
    <t>오러 매직 액셀레이터</t>
  </si>
  <si>
    <t>오러 실드 액셀레이터</t>
  </si>
  <si>
    <t>ASUT_AIR_ONLY</t>
  </si>
  <si>
    <t>공중에서만 쓸 수 있는 필살기, skip_point에서만</t>
  </si>
</sst>
</file>

<file path=xl/styles.xml><?xml version="1.0" encoding="utf-8"?>
<styleSheet xmlns="http://schemas.openxmlformats.org/spreadsheetml/2006/main">
  <fonts count="13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rgb="FF006100"/>
      <name val="돋움"/>
      <family val="3"/>
      <charset val="129"/>
    </font>
    <font>
      <sz val="11"/>
      <color theme="1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</borders>
  <cellStyleXfs count="130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</cellStyleXfs>
  <cellXfs count="49">
    <xf numFmtId="0" fontId="0" fillId="0" borderId="0" xfId="0">
      <alignment vertical="center"/>
    </xf>
    <xf numFmtId="0" fontId="9" fillId="0" borderId="0" xfId="0" applyFont="1" applyFill="1">
      <alignment vertical="center"/>
    </xf>
    <xf numFmtId="0" fontId="9" fillId="0" borderId="0" xfId="0" applyFont="1" applyFill="1" applyBorder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9" fillId="0" borderId="5" xfId="0" applyFont="1" applyFill="1" applyBorder="1">
      <alignment vertical="center"/>
    </xf>
    <xf numFmtId="0" fontId="9" fillId="0" borderId="5" xfId="0" applyFont="1" applyFill="1" applyBorder="1" applyAlignment="1">
      <alignment horizontal="left" vertical="center"/>
    </xf>
    <xf numFmtId="0" fontId="9" fillId="0" borderId="1" xfId="0" applyFont="1" applyFill="1" applyBorder="1">
      <alignment vertical="center"/>
    </xf>
    <xf numFmtId="0" fontId="9" fillId="0" borderId="4" xfId="0" applyFont="1" applyFill="1" applyBorder="1">
      <alignment vertical="center"/>
    </xf>
    <xf numFmtId="0" fontId="9" fillId="0" borderId="6" xfId="0" applyFont="1" applyFill="1" applyBorder="1" applyAlignment="1">
      <alignment horizontal="left" vertical="center"/>
    </xf>
    <xf numFmtId="0" fontId="9" fillId="0" borderId="6" xfId="0" applyFont="1" applyFill="1" applyBorder="1">
      <alignment vertical="center"/>
    </xf>
    <xf numFmtId="0" fontId="9" fillId="0" borderId="7" xfId="0" applyFont="1" applyFill="1" applyBorder="1">
      <alignment vertical="center"/>
    </xf>
    <xf numFmtId="0" fontId="0" fillId="5" borderId="0" xfId="0" applyFont="1" applyFill="1">
      <alignment vertical="center"/>
    </xf>
    <xf numFmtId="0" fontId="0" fillId="5" borderId="0" xfId="0" applyFont="1" applyFill="1" applyBorder="1">
      <alignment vertical="center"/>
    </xf>
    <xf numFmtId="0" fontId="0" fillId="6" borderId="8" xfId="0" applyFont="1" applyFill="1" applyBorder="1" applyAlignment="1">
      <alignment vertical="center" wrapText="1"/>
    </xf>
    <xf numFmtId="0" fontId="0" fillId="6" borderId="9" xfId="0" applyFont="1" applyFill="1" applyBorder="1" applyAlignment="1">
      <alignment vertical="center" wrapText="1"/>
    </xf>
    <xf numFmtId="0" fontId="0" fillId="6" borderId="10" xfId="0" applyFont="1" applyFill="1" applyBorder="1" applyAlignment="1">
      <alignment vertical="center" wrapText="1"/>
    </xf>
    <xf numFmtId="0" fontId="0" fillId="5" borderId="0" xfId="0" applyFont="1" applyFill="1" applyBorder="1" applyAlignment="1">
      <alignment vertical="center" wrapText="1"/>
    </xf>
    <xf numFmtId="0" fontId="0" fillId="3" borderId="8" xfId="0" applyFont="1" applyFill="1" applyBorder="1" applyAlignment="1">
      <alignment vertical="center" wrapText="1"/>
    </xf>
    <xf numFmtId="0" fontId="0" fillId="3" borderId="9" xfId="0" applyFont="1" applyFill="1" applyBorder="1" applyAlignment="1">
      <alignment vertical="center" wrapText="1"/>
    </xf>
    <xf numFmtId="0" fontId="0" fillId="3" borderId="10" xfId="0" applyFont="1" applyFill="1" applyBorder="1" applyAlignment="1">
      <alignment vertical="center" wrapText="1"/>
    </xf>
    <xf numFmtId="0" fontId="0" fillId="6" borderId="11" xfId="0" applyFont="1" applyFill="1" applyBorder="1" applyAlignment="1">
      <alignment vertical="center" wrapText="1"/>
    </xf>
    <xf numFmtId="0" fontId="0" fillId="6" borderId="12" xfId="0" applyFont="1" applyFill="1" applyBorder="1" applyAlignment="1">
      <alignment vertical="center" wrapText="1"/>
    </xf>
    <xf numFmtId="0" fontId="0" fillId="6" borderId="13" xfId="0" applyFont="1" applyFill="1" applyBorder="1" applyAlignment="1">
      <alignment vertical="center" wrapText="1"/>
    </xf>
    <xf numFmtId="0" fontId="0" fillId="5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8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center" vertical="center"/>
    </xf>
    <xf numFmtId="0" fontId="9" fillId="4" borderId="0" xfId="0" applyFont="1" applyFill="1" applyBorder="1">
      <alignment vertical="center"/>
    </xf>
    <xf numFmtId="0" fontId="0" fillId="6" borderId="8" xfId="0" applyFont="1" applyFill="1" applyBorder="1" applyAlignment="1">
      <alignment vertical="center"/>
    </xf>
    <xf numFmtId="0" fontId="0" fillId="6" borderId="9" xfId="0" applyFont="1" applyFill="1" applyBorder="1" applyAlignment="1">
      <alignment vertical="center"/>
    </xf>
    <xf numFmtId="0" fontId="0" fillId="6" borderId="10" xfId="0" applyFont="1" applyFill="1" applyBorder="1" applyAlignment="1">
      <alignment vertical="center"/>
    </xf>
    <xf numFmtId="0" fontId="0" fillId="6" borderId="9" xfId="0" applyFill="1" applyBorder="1" applyAlignment="1">
      <alignment vertical="center" wrapText="1"/>
    </xf>
    <xf numFmtId="0" fontId="12" fillId="6" borderId="8" xfId="0" applyFont="1" applyFill="1" applyBorder="1" applyAlignment="1">
      <alignment vertical="center" wrapText="1"/>
    </xf>
    <xf numFmtId="0" fontId="0" fillId="7" borderId="8" xfId="0" applyFont="1" applyFill="1" applyBorder="1" applyAlignment="1">
      <alignment vertical="center" wrapText="1"/>
    </xf>
    <xf numFmtId="0" fontId="0" fillId="7" borderId="11" xfId="0" applyFont="1" applyFill="1" applyBorder="1" applyAlignment="1">
      <alignment vertical="center" wrapText="1"/>
    </xf>
    <xf numFmtId="0" fontId="9" fillId="0" borderId="14" xfId="0" applyFont="1" applyFill="1" applyBorder="1">
      <alignment vertical="center"/>
    </xf>
    <xf numFmtId="0" fontId="9" fillId="0" borderId="2" xfId="0" applyFont="1" applyFill="1" applyBorder="1">
      <alignment vertical="center"/>
    </xf>
    <xf numFmtId="0" fontId="9" fillId="0" borderId="15" xfId="0" applyFont="1" applyFill="1" applyBorder="1">
      <alignment vertical="center"/>
    </xf>
    <xf numFmtId="0" fontId="11" fillId="0" borderId="15" xfId="0" applyFont="1" applyFill="1" applyBorder="1">
      <alignment vertical="center"/>
    </xf>
    <xf numFmtId="0" fontId="11" fillId="0" borderId="4" xfId="0" applyFont="1" applyFill="1" applyBorder="1">
      <alignment vertical="center"/>
    </xf>
    <xf numFmtId="0" fontId="11" fillId="0" borderId="5" xfId="0" applyFont="1" applyFill="1" applyBorder="1">
      <alignment vertical="center"/>
    </xf>
    <xf numFmtId="0" fontId="11" fillId="0" borderId="16" xfId="0" applyFont="1" applyFill="1" applyBorder="1">
      <alignment vertical="center"/>
    </xf>
    <xf numFmtId="0" fontId="9" fillId="0" borderId="17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9" fillId="0" borderId="16" xfId="0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left" vertical="center"/>
    </xf>
    <xf numFmtId="0" fontId="9" fillId="8" borderId="0" xfId="0" applyFont="1" applyFill="1" applyBorder="1">
      <alignment vertical="center"/>
    </xf>
    <xf numFmtId="0" fontId="9" fillId="8" borderId="0" xfId="0" applyFont="1" applyFill="1" applyBorder="1" applyAlignment="1">
      <alignment horizontal="left" vertical="center"/>
    </xf>
  </cellXfs>
  <cellStyles count="130">
    <cellStyle name="좋음" xfId="1" builtinId="26"/>
    <cellStyle name="표준" xfId="0" builtinId="0"/>
    <cellStyle name="표준 10 10" xfId="2"/>
    <cellStyle name="표준 10 11" xfId="3"/>
    <cellStyle name="표준 10 12" xfId="4"/>
    <cellStyle name="표준 10 13" xfId="5"/>
    <cellStyle name="표준 10 14" xfId="6"/>
    <cellStyle name="표준 10 15" xfId="7"/>
    <cellStyle name="표준 10 16" xfId="8"/>
    <cellStyle name="표준 10 17" xfId="9"/>
    <cellStyle name="표준 10 18" xfId="10"/>
    <cellStyle name="표준 10 19" xfId="11"/>
    <cellStyle name="표준 10 2" xfId="12"/>
    <cellStyle name="표준 10 20" xfId="13"/>
    <cellStyle name="표준 10 21" xfId="14"/>
    <cellStyle name="표준 10 22" xfId="15"/>
    <cellStyle name="표준 10 23" xfId="16"/>
    <cellStyle name="표준 10 24" xfId="17"/>
    <cellStyle name="표준 10 25" xfId="18"/>
    <cellStyle name="표준 10 26" xfId="19"/>
    <cellStyle name="표준 10 27" xfId="20"/>
    <cellStyle name="표준 10 28" xfId="21"/>
    <cellStyle name="표준 10 29" xfId="22"/>
    <cellStyle name="표준 10 3" xfId="23"/>
    <cellStyle name="표준 10 30" xfId="24"/>
    <cellStyle name="표준 10 31" xfId="25"/>
    <cellStyle name="표준 10 32" xfId="26"/>
    <cellStyle name="표준 10 33" xfId="27"/>
    <cellStyle name="표준 10 34" xfId="28"/>
    <cellStyle name="표준 10 35" xfId="29"/>
    <cellStyle name="표준 10 36" xfId="30"/>
    <cellStyle name="표준 10 37" xfId="31"/>
    <cellStyle name="표준 10 38" xfId="32"/>
    <cellStyle name="표준 10 39" xfId="33"/>
    <cellStyle name="표준 10 4" xfId="34"/>
    <cellStyle name="표준 10 40" xfId="35"/>
    <cellStyle name="표준 10 41" xfId="36"/>
    <cellStyle name="표준 10 42" xfId="37"/>
    <cellStyle name="표준 10 43" xfId="38"/>
    <cellStyle name="표준 10 44" xfId="39"/>
    <cellStyle name="표준 10 45" xfId="40"/>
    <cellStyle name="표준 10 46" xfId="41"/>
    <cellStyle name="표준 10 47" xfId="42"/>
    <cellStyle name="표준 10 48" xfId="43"/>
    <cellStyle name="표준 10 49" xfId="44"/>
    <cellStyle name="표준 10 5" xfId="45"/>
    <cellStyle name="표준 10 50" xfId="46"/>
    <cellStyle name="표준 10 51" xfId="47"/>
    <cellStyle name="표준 10 52" xfId="48"/>
    <cellStyle name="표준 10 53" xfId="49"/>
    <cellStyle name="표준 10 54" xfId="50"/>
    <cellStyle name="표준 10 55" xfId="51"/>
    <cellStyle name="표준 10 6" xfId="52"/>
    <cellStyle name="표준 10 7" xfId="53"/>
    <cellStyle name="표준 10 8" xfId="54"/>
    <cellStyle name="표준 10 9" xfId="55"/>
    <cellStyle name="표준 11 10" xfId="56"/>
    <cellStyle name="표준 11 11" xfId="57"/>
    <cellStyle name="표준 11 12" xfId="58"/>
    <cellStyle name="표준 11 13" xfId="59"/>
    <cellStyle name="표준 11 14" xfId="60"/>
    <cellStyle name="표준 11 15" xfId="61"/>
    <cellStyle name="표준 11 16" xfId="62"/>
    <cellStyle name="표준 11 17" xfId="63"/>
    <cellStyle name="표준 11 18" xfId="64"/>
    <cellStyle name="표준 11 19" xfId="65"/>
    <cellStyle name="표준 11 2" xfId="66"/>
    <cellStyle name="표준 11 20" xfId="67"/>
    <cellStyle name="표준 11 21" xfId="68"/>
    <cellStyle name="표준 11 22" xfId="69"/>
    <cellStyle name="표준 11 23" xfId="70"/>
    <cellStyle name="표준 11 24" xfId="71"/>
    <cellStyle name="표준 11 25" xfId="72"/>
    <cellStyle name="표준 11 26" xfId="73"/>
    <cellStyle name="표준 11 27" xfId="74"/>
    <cellStyle name="표준 11 28" xfId="75"/>
    <cellStyle name="표준 11 29" xfId="76"/>
    <cellStyle name="표준 11 3" xfId="77"/>
    <cellStyle name="표준 11 30" xfId="78"/>
    <cellStyle name="표준 11 31" xfId="79"/>
    <cellStyle name="표준 11 32" xfId="80"/>
    <cellStyle name="표준 11 33" xfId="81"/>
    <cellStyle name="표준 11 34" xfId="82"/>
    <cellStyle name="표준 11 35" xfId="83"/>
    <cellStyle name="표준 11 36" xfId="84"/>
    <cellStyle name="표준 11 37" xfId="85"/>
    <cellStyle name="표준 11 38" xfId="86"/>
    <cellStyle name="표준 11 39" xfId="87"/>
    <cellStyle name="표준 11 4" xfId="88"/>
    <cellStyle name="표준 11 40" xfId="89"/>
    <cellStyle name="표준 11 41" xfId="90"/>
    <cellStyle name="표준 11 42" xfId="91"/>
    <cellStyle name="표준 11 43" xfId="92"/>
    <cellStyle name="표준 11 44" xfId="93"/>
    <cellStyle name="표준 11 45" xfId="94"/>
    <cellStyle name="표준 11 46" xfId="95"/>
    <cellStyle name="표준 11 47" xfId="96"/>
    <cellStyle name="표준 11 48" xfId="97"/>
    <cellStyle name="표준 11 49" xfId="98"/>
    <cellStyle name="표준 11 5" xfId="99"/>
    <cellStyle name="표준 11 50" xfId="100"/>
    <cellStyle name="표준 11 51" xfId="101"/>
    <cellStyle name="표준 11 52" xfId="102"/>
    <cellStyle name="표준 11 53" xfId="103"/>
    <cellStyle name="표준 11 54" xfId="104"/>
    <cellStyle name="표준 11 55" xfId="105"/>
    <cellStyle name="표준 11 6" xfId="106"/>
    <cellStyle name="표준 11 7" xfId="107"/>
    <cellStyle name="표준 11 8" xfId="108"/>
    <cellStyle name="표준 11 9" xfId="109"/>
    <cellStyle name="표준 2 10" xfId="110"/>
    <cellStyle name="표준 2 11" xfId="111"/>
    <cellStyle name="표준 2 12" xfId="112"/>
    <cellStyle name="표준 2 13" xfId="113"/>
    <cellStyle name="표준 2 14" xfId="114"/>
    <cellStyle name="표준 2 15" xfId="115"/>
    <cellStyle name="표준 2 16" xfId="116"/>
    <cellStyle name="표준 2 17" xfId="117"/>
    <cellStyle name="표준 2 18" xfId="118"/>
    <cellStyle name="표준 2 19" xfId="119"/>
    <cellStyle name="표준 2 2" xfId="120"/>
    <cellStyle name="표준 2 3" xfId="121"/>
    <cellStyle name="표준 2 4" xfId="122"/>
    <cellStyle name="표준 2 5" xfId="123"/>
    <cellStyle name="표준 2 6" xfId="124"/>
    <cellStyle name="표준 2 7" xfId="125"/>
    <cellStyle name="표준 2 8" xfId="126"/>
    <cellStyle name="표준 2 9" xfId="127"/>
    <cellStyle name="표준 9 2" xfId="128"/>
    <cellStyle name="표준 9 3" xfId="129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B7" sqref="B7"/>
    </sheetView>
  </sheetViews>
  <sheetFormatPr defaultRowHeight="16.5"/>
  <sheetData/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315"/>
  <sheetViews>
    <sheetView zoomScaleNormal="100" workbookViewId="0">
      <selection activeCell="B43" sqref="B43"/>
    </sheetView>
  </sheetViews>
  <sheetFormatPr defaultRowHeight="13.5"/>
  <cols>
    <col min="1" max="1" width="12.625" style="4" customWidth="1"/>
    <col min="2" max="2" width="45" style="2" customWidth="1"/>
    <col min="3" max="3" width="34" style="2" customWidth="1"/>
    <col min="4" max="4" width="14.875" style="2" bestFit="1" customWidth="1"/>
    <col min="5" max="5" width="34.125" style="2" customWidth="1"/>
    <col min="6" max="6" width="9" style="2"/>
    <col min="7" max="7" width="35" style="2" customWidth="1"/>
    <col min="8" max="8" width="29.375" style="2" customWidth="1"/>
    <col min="9" max="9" width="9" style="2"/>
    <col min="10" max="12" width="40.75" style="2" customWidth="1"/>
    <col min="13" max="16384" width="9" style="2"/>
  </cols>
  <sheetData>
    <row r="1" spans="1:12">
      <c r="A1" s="26" t="s">
        <v>1</v>
      </c>
      <c r="B1" s="27" t="s">
        <v>147</v>
      </c>
      <c r="C1" s="2" t="s">
        <v>148</v>
      </c>
      <c r="D1" s="27" t="s">
        <v>149</v>
      </c>
      <c r="E1" s="27" t="s">
        <v>150</v>
      </c>
      <c r="G1" s="27" t="s">
        <v>118</v>
      </c>
      <c r="H1" s="27" t="s">
        <v>151</v>
      </c>
      <c r="J1" s="2" t="s">
        <v>152</v>
      </c>
      <c r="K1" s="2" t="s">
        <v>196</v>
      </c>
      <c r="L1" s="2" t="s">
        <v>135</v>
      </c>
    </row>
    <row r="2" spans="1:12">
      <c r="A2" s="4">
        <v>0</v>
      </c>
      <c r="B2" s="4" t="s">
        <v>0</v>
      </c>
      <c r="D2" s="3">
        <v>0</v>
      </c>
      <c r="E2" s="3" t="s">
        <v>116</v>
      </c>
      <c r="G2" s="3">
        <v>0</v>
      </c>
      <c r="H2" s="2" t="s">
        <v>119</v>
      </c>
      <c r="J2" s="2" t="s">
        <v>494</v>
      </c>
      <c r="K2" s="2" t="s">
        <v>198</v>
      </c>
    </row>
    <row r="3" spans="1:12">
      <c r="A3" s="4">
        <v>1</v>
      </c>
      <c r="B3" s="4" t="s">
        <v>107</v>
      </c>
      <c r="C3" s="2" t="s">
        <v>334</v>
      </c>
      <c r="D3" s="3">
        <v>1</v>
      </c>
      <c r="E3" s="3" t="s">
        <v>154</v>
      </c>
      <c r="G3" s="3">
        <v>1</v>
      </c>
      <c r="H3" s="2" t="s">
        <v>120</v>
      </c>
      <c r="J3" s="2" t="s">
        <v>155</v>
      </c>
      <c r="K3" s="2" t="s">
        <v>197</v>
      </c>
    </row>
    <row r="4" spans="1:12">
      <c r="A4" s="4">
        <v>2</v>
      </c>
      <c r="B4" s="4" t="s">
        <v>2</v>
      </c>
      <c r="C4" s="2" t="s">
        <v>335</v>
      </c>
      <c r="D4" s="3">
        <v>2</v>
      </c>
      <c r="E4" s="3" t="s">
        <v>117</v>
      </c>
      <c r="G4" s="3">
        <v>2</v>
      </c>
      <c r="H4" s="2" t="s">
        <v>121</v>
      </c>
      <c r="J4" s="2" t="s">
        <v>144</v>
      </c>
      <c r="K4" s="2" t="s">
        <v>199</v>
      </c>
    </row>
    <row r="5" spans="1:12">
      <c r="A5" s="4">
        <v>3</v>
      </c>
      <c r="B5" s="4" t="s">
        <v>3</v>
      </c>
      <c r="C5" s="2" t="s">
        <v>336</v>
      </c>
      <c r="D5" s="3">
        <v>3</v>
      </c>
      <c r="E5" s="3" t="s">
        <v>156</v>
      </c>
      <c r="G5" s="3">
        <v>3</v>
      </c>
      <c r="H5" s="2" t="s">
        <v>122</v>
      </c>
      <c r="J5" s="2" t="s">
        <v>145</v>
      </c>
      <c r="K5" s="2" t="s">
        <v>200</v>
      </c>
    </row>
    <row r="6" spans="1:12">
      <c r="A6" s="4">
        <v>4</v>
      </c>
      <c r="B6" s="4" t="s">
        <v>4</v>
      </c>
      <c r="C6" s="2" t="s">
        <v>337</v>
      </c>
      <c r="D6" s="3">
        <v>4</v>
      </c>
      <c r="E6" s="3" t="s">
        <v>157</v>
      </c>
      <c r="G6" s="3">
        <v>4</v>
      </c>
      <c r="H6" s="2" t="s">
        <v>123</v>
      </c>
      <c r="J6" s="2" t="s">
        <v>158</v>
      </c>
      <c r="K6" s="2" t="s">
        <v>201</v>
      </c>
    </row>
    <row r="7" spans="1:12">
      <c r="A7" s="4">
        <v>5</v>
      </c>
      <c r="B7" s="4" t="s">
        <v>5</v>
      </c>
      <c r="C7" s="2" t="s">
        <v>338</v>
      </c>
      <c r="D7" s="3">
        <v>5</v>
      </c>
      <c r="E7" s="3" t="s">
        <v>159</v>
      </c>
      <c r="G7" s="3">
        <v>5</v>
      </c>
      <c r="H7" s="2" t="s">
        <v>124</v>
      </c>
      <c r="J7" s="2" t="s">
        <v>160</v>
      </c>
      <c r="K7" s="2" t="s">
        <v>202</v>
      </c>
    </row>
    <row r="8" spans="1:12">
      <c r="A8" s="4">
        <v>6</v>
      </c>
      <c r="B8" s="4" t="s">
        <v>6</v>
      </c>
      <c r="C8" s="2" t="s">
        <v>339</v>
      </c>
      <c r="D8" s="3">
        <v>6</v>
      </c>
      <c r="E8" s="3" t="s">
        <v>161</v>
      </c>
      <c r="G8" s="3">
        <v>10</v>
      </c>
      <c r="H8" s="2" t="s">
        <v>125</v>
      </c>
      <c r="J8" s="2" t="s">
        <v>138</v>
      </c>
      <c r="K8" s="2" t="s">
        <v>203</v>
      </c>
    </row>
    <row r="9" spans="1:12">
      <c r="A9" s="4">
        <v>7</v>
      </c>
      <c r="B9" s="4" t="s">
        <v>7</v>
      </c>
      <c r="C9" s="2" t="s">
        <v>340</v>
      </c>
      <c r="D9" s="3">
        <v>7</v>
      </c>
      <c r="E9" s="3" t="s">
        <v>162</v>
      </c>
      <c r="G9" s="3">
        <v>11</v>
      </c>
      <c r="H9" s="2" t="s">
        <v>126</v>
      </c>
      <c r="J9" s="2" t="s">
        <v>139</v>
      </c>
      <c r="K9" s="2" t="s">
        <v>204</v>
      </c>
    </row>
    <row r="10" spans="1:12">
      <c r="A10" s="4">
        <v>8</v>
      </c>
      <c r="B10" s="4" t="s">
        <v>8</v>
      </c>
      <c r="C10" s="2" t="s">
        <v>341</v>
      </c>
      <c r="D10" s="3">
        <v>8</v>
      </c>
      <c r="E10" s="3" t="s">
        <v>194</v>
      </c>
      <c r="G10" s="3">
        <v>12</v>
      </c>
      <c r="H10" s="2" t="s">
        <v>127</v>
      </c>
      <c r="J10" s="2" t="s">
        <v>136</v>
      </c>
      <c r="K10" s="2" t="s">
        <v>205</v>
      </c>
    </row>
    <row r="11" spans="1:12">
      <c r="A11" s="4">
        <v>9</v>
      </c>
      <c r="B11" s="4" t="s">
        <v>9</v>
      </c>
      <c r="C11" s="2" t="s">
        <v>342</v>
      </c>
      <c r="G11" s="3">
        <v>13</v>
      </c>
      <c r="H11" s="2" t="s">
        <v>128</v>
      </c>
      <c r="J11" s="2" t="s">
        <v>137</v>
      </c>
      <c r="K11" s="2" t="s">
        <v>206</v>
      </c>
    </row>
    <row r="12" spans="1:12">
      <c r="A12" s="4">
        <v>10</v>
      </c>
      <c r="B12" s="4" t="s">
        <v>10</v>
      </c>
      <c r="C12" s="2" t="s">
        <v>108</v>
      </c>
      <c r="G12" s="3">
        <v>14</v>
      </c>
      <c r="H12" s="2" t="s">
        <v>129</v>
      </c>
      <c r="J12" s="2" t="s">
        <v>240</v>
      </c>
      <c r="K12" s="2" t="s">
        <v>207</v>
      </c>
    </row>
    <row r="13" spans="1:12">
      <c r="A13" s="4">
        <v>11</v>
      </c>
      <c r="B13" s="4" t="s">
        <v>11</v>
      </c>
      <c r="C13" s="2" t="s">
        <v>343</v>
      </c>
      <c r="G13" s="3">
        <v>15</v>
      </c>
      <c r="H13" s="2" t="s">
        <v>130</v>
      </c>
      <c r="J13" s="2" t="s">
        <v>241</v>
      </c>
      <c r="K13" s="2" t="s">
        <v>208</v>
      </c>
    </row>
    <row r="14" spans="1:12">
      <c r="A14" s="4">
        <v>12</v>
      </c>
      <c r="B14" s="4" t="s">
        <v>12</v>
      </c>
      <c r="C14" s="2" t="s">
        <v>344</v>
      </c>
      <c r="G14" s="3">
        <v>16</v>
      </c>
      <c r="H14" s="2" t="s">
        <v>131</v>
      </c>
      <c r="J14" s="2" t="s">
        <v>142</v>
      </c>
      <c r="K14" s="2" t="s">
        <v>209</v>
      </c>
    </row>
    <row r="15" spans="1:12">
      <c r="A15" s="4">
        <v>13</v>
      </c>
      <c r="B15" s="4" t="s">
        <v>13</v>
      </c>
      <c r="C15" s="2" t="s">
        <v>345</v>
      </c>
      <c r="G15" s="3">
        <v>17</v>
      </c>
      <c r="H15" s="2" t="s">
        <v>132</v>
      </c>
      <c r="J15" s="2" t="s">
        <v>143</v>
      </c>
      <c r="K15" s="2" t="s">
        <v>210</v>
      </c>
    </row>
    <row r="16" spans="1:12">
      <c r="A16" s="4">
        <v>14</v>
      </c>
      <c r="B16" s="4" t="s">
        <v>14</v>
      </c>
      <c r="C16" s="2" t="s">
        <v>346</v>
      </c>
      <c r="G16" s="3">
        <v>18</v>
      </c>
      <c r="H16" s="2" t="s">
        <v>133</v>
      </c>
      <c r="J16" s="2" t="s">
        <v>163</v>
      </c>
      <c r="K16" s="2" t="s">
        <v>250</v>
      </c>
    </row>
    <row r="17" spans="1:13">
      <c r="A17" s="4">
        <v>15</v>
      </c>
      <c r="B17" s="4" t="s">
        <v>15</v>
      </c>
      <c r="C17" s="2" t="s">
        <v>347</v>
      </c>
      <c r="G17" s="3">
        <v>19</v>
      </c>
      <c r="H17" s="2" t="s">
        <v>134</v>
      </c>
      <c r="J17" s="2" t="s">
        <v>243</v>
      </c>
      <c r="K17" s="2" t="s">
        <v>251</v>
      </c>
    </row>
    <row r="18" spans="1:13">
      <c r="A18" s="4">
        <v>16</v>
      </c>
      <c r="B18" s="4" t="s">
        <v>16</v>
      </c>
      <c r="C18" s="2" t="s">
        <v>348</v>
      </c>
      <c r="D18" s="2" t="s">
        <v>324</v>
      </c>
      <c r="E18" s="2" t="s">
        <v>324</v>
      </c>
      <c r="J18" s="2" t="s">
        <v>246</v>
      </c>
      <c r="K18" s="2" t="s">
        <v>237</v>
      </c>
    </row>
    <row r="19" spans="1:13">
      <c r="A19" s="4">
        <v>17</v>
      </c>
      <c r="B19" s="4" t="s">
        <v>17</v>
      </c>
      <c r="C19" s="2" t="s">
        <v>109</v>
      </c>
      <c r="D19" s="2">
        <v>0</v>
      </c>
      <c r="E19" s="2" t="s">
        <v>326</v>
      </c>
      <c r="J19" s="2" t="s">
        <v>269</v>
      </c>
      <c r="K19" s="2" t="s">
        <v>267</v>
      </c>
    </row>
    <row r="20" spans="1:13">
      <c r="A20" s="4">
        <v>18</v>
      </c>
      <c r="B20" s="4" t="s">
        <v>18</v>
      </c>
      <c r="C20" s="2" t="s">
        <v>349</v>
      </c>
      <c r="D20" s="2">
        <v>1</v>
      </c>
      <c r="E20" s="2" t="s">
        <v>327</v>
      </c>
      <c r="F20" s="2" t="s">
        <v>330</v>
      </c>
      <c r="J20" s="2" t="s">
        <v>164</v>
      </c>
      <c r="K20" s="2" t="s">
        <v>211</v>
      </c>
    </row>
    <row r="21" spans="1:13">
      <c r="A21" s="4">
        <v>19</v>
      </c>
      <c r="B21" s="4" t="s">
        <v>19</v>
      </c>
      <c r="C21" s="2" t="s">
        <v>350</v>
      </c>
      <c r="D21" s="2">
        <v>2</v>
      </c>
      <c r="E21" s="2" t="s">
        <v>328</v>
      </c>
      <c r="F21" s="2" t="s">
        <v>331</v>
      </c>
      <c r="J21" s="2" t="s">
        <v>146</v>
      </c>
      <c r="K21" s="2" t="s">
        <v>212</v>
      </c>
    </row>
    <row r="22" spans="1:13">
      <c r="A22" s="4">
        <v>20</v>
      </c>
      <c r="B22" s="4" t="s">
        <v>20</v>
      </c>
      <c r="C22" s="2" t="s">
        <v>351</v>
      </c>
      <c r="D22" s="2">
        <v>3</v>
      </c>
      <c r="E22" s="4" t="s">
        <v>329</v>
      </c>
      <c r="F22" s="2" t="s">
        <v>332</v>
      </c>
      <c r="G22" s="4"/>
      <c r="J22" s="2" t="s">
        <v>236</v>
      </c>
      <c r="K22" s="2" t="s">
        <v>227</v>
      </c>
    </row>
    <row r="23" spans="1:13">
      <c r="A23" s="4">
        <v>21</v>
      </c>
      <c r="B23" s="4" t="s">
        <v>21</v>
      </c>
      <c r="C23" s="2" t="s">
        <v>352</v>
      </c>
      <c r="D23" s="47">
        <v>4</v>
      </c>
      <c r="E23" s="48" t="s">
        <v>517</v>
      </c>
      <c r="F23" s="47" t="s">
        <v>518</v>
      </c>
      <c r="G23" s="48"/>
      <c r="J23" s="2" t="s">
        <v>165</v>
      </c>
      <c r="K23" s="2" t="s">
        <v>228</v>
      </c>
    </row>
    <row r="24" spans="1:13">
      <c r="A24" s="4">
        <v>22</v>
      </c>
      <c r="B24" s="4" t="s">
        <v>22</v>
      </c>
      <c r="C24" s="2" t="s">
        <v>353</v>
      </c>
      <c r="E24" s="4"/>
      <c r="G24" s="4"/>
      <c r="J24" s="2" t="s">
        <v>166</v>
      </c>
      <c r="K24" s="2" t="s">
        <v>213</v>
      </c>
    </row>
    <row r="25" spans="1:13">
      <c r="A25" s="4">
        <v>23</v>
      </c>
      <c r="B25" s="4" t="s">
        <v>23</v>
      </c>
      <c r="C25" s="2" t="s">
        <v>354</v>
      </c>
      <c r="E25" s="4"/>
      <c r="G25" s="4"/>
      <c r="J25" s="2" t="s">
        <v>167</v>
      </c>
      <c r="K25" s="2" t="s">
        <v>214</v>
      </c>
    </row>
    <row r="26" spans="1:13">
      <c r="A26" s="4">
        <v>24</v>
      </c>
      <c r="B26" s="4" t="s">
        <v>24</v>
      </c>
      <c r="C26" s="2" t="s">
        <v>355</v>
      </c>
      <c r="E26" s="4"/>
      <c r="G26" s="4"/>
      <c r="J26" s="2" t="s">
        <v>168</v>
      </c>
      <c r="K26" s="2" t="s">
        <v>215</v>
      </c>
    </row>
    <row r="27" spans="1:13">
      <c r="A27" s="4">
        <v>300</v>
      </c>
      <c r="B27" s="4" t="s">
        <v>171</v>
      </c>
      <c r="C27" s="2" t="s">
        <v>511</v>
      </c>
      <c r="E27" s="4"/>
      <c r="G27" s="4"/>
      <c r="J27" s="2" t="s">
        <v>323</v>
      </c>
      <c r="K27" s="2" t="s">
        <v>216</v>
      </c>
    </row>
    <row r="28" spans="1:13">
      <c r="A28" s="4">
        <v>301</v>
      </c>
      <c r="B28" s="4" t="s">
        <v>25</v>
      </c>
      <c r="C28" s="2" t="s">
        <v>512</v>
      </c>
      <c r="E28" s="4"/>
      <c r="G28" s="4"/>
      <c r="J28" s="2" t="s">
        <v>170</v>
      </c>
      <c r="K28" s="2" t="s">
        <v>217</v>
      </c>
    </row>
    <row r="29" spans="1:13">
      <c r="A29" s="4">
        <v>302</v>
      </c>
      <c r="B29" s="4" t="s">
        <v>26</v>
      </c>
      <c r="C29" s="2" t="s">
        <v>513</v>
      </c>
      <c r="E29" s="4"/>
      <c r="G29" s="4"/>
      <c r="J29" s="2" t="s">
        <v>248</v>
      </c>
      <c r="K29" s="2" t="s">
        <v>249</v>
      </c>
    </row>
    <row r="30" spans="1:13">
      <c r="A30" s="4">
        <v>303</v>
      </c>
      <c r="B30" s="4" t="s">
        <v>27</v>
      </c>
      <c r="C30" s="2" t="s">
        <v>514</v>
      </c>
      <c r="E30" s="4"/>
      <c r="G30" s="4"/>
      <c r="J30" s="2" t="s">
        <v>492</v>
      </c>
      <c r="K30" s="2" t="s">
        <v>218</v>
      </c>
    </row>
    <row r="31" spans="1:13">
      <c r="A31" s="4">
        <v>304</v>
      </c>
      <c r="B31" s="4" t="s">
        <v>28</v>
      </c>
      <c r="C31" s="2" t="s">
        <v>515</v>
      </c>
      <c r="E31" s="4"/>
      <c r="G31" s="4"/>
      <c r="J31" s="2" t="s">
        <v>172</v>
      </c>
      <c r="K31" s="2" t="s">
        <v>219</v>
      </c>
      <c r="M31" s="2" t="s">
        <v>176</v>
      </c>
    </row>
    <row r="32" spans="1:13">
      <c r="A32" s="4">
        <v>305</v>
      </c>
      <c r="B32" s="4" t="s">
        <v>29</v>
      </c>
      <c r="C32" s="2" t="s">
        <v>516</v>
      </c>
      <c r="E32" s="4"/>
      <c r="G32" s="4"/>
      <c r="J32" s="2" t="s">
        <v>173</v>
      </c>
      <c r="K32" s="2" t="s">
        <v>220</v>
      </c>
    </row>
    <row r="33" spans="1:11">
      <c r="A33" s="4">
        <v>306</v>
      </c>
      <c r="B33" s="4" t="s">
        <v>30</v>
      </c>
      <c r="C33" s="2" t="s">
        <v>356</v>
      </c>
      <c r="E33" s="4"/>
      <c r="G33" s="4"/>
      <c r="J33" s="2" t="s">
        <v>257</v>
      </c>
      <c r="K33" s="2" t="s">
        <v>258</v>
      </c>
    </row>
    <row r="34" spans="1:11">
      <c r="A34" s="4">
        <v>307</v>
      </c>
      <c r="B34" s="4" t="s">
        <v>31</v>
      </c>
      <c r="C34" s="2" t="s">
        <v>357</v>
      </c>
      <c r="E34" s="4"/>
      <c r="G34" s="4"/>
      <c r="J34" s="2" t="s">
        <v>174</v>
      </c>
      <c r="K34" s="2" t="s">
        <v>221</v>
      </c>
    </row>
    <row r="35" spans="1:11">
      <c r="A35" s="4">
        <v>308</v>
      </c>
      <c r="B35" s="4" t="s">
        <v>32</v>
      </c>
      <c r="C35" s="2" t="s">
        <v>358</v>
      </c>
      <c r="E35" s="4"/>
      <c r="G35" s="4"/>
      <c r="J35" s="2" t="s">
        <v>175</v>
      </c>
      <c r="K35" s="2" t="s">
        <v>222</v>
      </c>
    </row>
    <row r="36" spans="1:11">
      <c r="A36" s="4">
        <v>1000</v>
      </c>
      <c r="B36" s="4" t="s">
        <v>180</v>
      </c>
      <c r="C36" s="2" t="s">
        <v>362</v>
      </c>
      <c r="E36" s="4"/>
      <c r="G36" s="4"/>
      <c r="J36" s="2" t="s">
        <v>239</v>
      </c>
      <c r="K36" s="2" t="s">
        <v>223</v>
      </c>
    </row>
    <row r="37" spans="1:11">
      <c r="A37" s="4">
        <v>1001</v>
      </c>
      <c r="B37" s="4" t="s">
        <v>33</v>
      </c>
      <c r="C37" s="2" t="s">
        <v>359</v>
      </c>
      <c r="E37" s="4"/>
      <c r="G37" s="4"/>
      <c r="J37" s="2" t="s">
        <v>177</v>
      </c>
      <c r="K37" s="2" t="s">
        <v>224</v>
      </c>
    </row>
    <row r="38" spans="1:11">
      <c r="A38" s="4">
        <v>1002</v>
      </c>
      <c r="B38" s="4" t="s">
        <v>34</v>
      </c>
      <c r="C38" s="2" t="s">
        <v>360</v>
      </c>
      <c r="E38" s="4"/>
      <c r="G38" s="4"/>
      <c r="J38" s="2" t="s">
        <v>178</v>
      </c>
      <c r="K38" s="2" t="s">
        <v>225</v>
      </c>
    </row>
    <row r="39" spans="1:11">
      <c r="A39" s="4">
        <v>1003</v>
      </c>
      <c r="B39" s="4" t="s">
        <v>35</v>
      </c>
      <c r="C39" s="2" t="s">
        <v>507</v>
      </c>
      <c r="E39" s="4"/>
      <c r="G39" s="4"/>
      <c r="J39" s="2" t="s">
        <v>179</v>
      </c>
      <c r="K39" s="2" t="s">
        <v>229</v>
      </c>
    </row>
    <row r="40" spans="1:11">
      <c r="A40" s="4">
        <v>1004</v>
      </c>
      <c r="B40" s="4" t="s">
        <v>36</v>
      </c>
      <c r="C40" s="2" t="s">
        <v>361</v>
      </c>
      <c r="E40" s="4"/>
      <c r="G40" s="4"/>
      <c r="J40" s="2" t="s">
        <v>255</v>
      </c>
      <c r="K40" s="2" t="s">
        <v>230</v>
      </c>
    </row>
    <row r="41" spans="1:11">
      <c r="A41" s="4">
        <v>1005</v>
      </c>
      <c r="B41" s="4" t="s">
        <v>37</v>
      </c>
      <c r="C41" s="2" t="s">
        <v>506</v>
      </c>
      <c r="E41" s="4"/>
      <c r="G41" s="4"/>
      <c r="J41" s="2" t="s">
        <v>181</v>
      </c>
      <c r="K41" s="2" t="s">
        <v>231</v>
      </c>
    </row>
    <row r="42" spans="1:11">
      <c r="A42" s="4">
        <v>1006</v>
      </c>
      <c r="B42" s="4" t="s">
        <v>38</v>
      </c>
      <c r="C42" s="2" t="s">
        <v>363</v>
      </c>
      <c r="E42" s="4"/>
      <c r="G42" s="4"/>
      <c r="J42" s="2" t="s">
        <v>226</v>
      </c>
      <c r="K42" s="2" t="s">
        <v>232</v>
      </c>
    </row>
    <row r="43" spans="1:11">
      <c r="A43" s="4">
        <v>1007</v>
      </c>
      <c r="B43" s="4" t="s">
        <v>39</v>
      </c>
      <c r="C43" s="2" t="s">
        <v>364</v>
      </c>
      <c r="E43" s="4"/>
      <c r="G43" s="4"/>
      <c r="J43" s="28" t="s">
        <v>498</v>
      </c>
      <c r="K43" s="28" t="s">
        <v>496</v>
      </c>
    </row>
    <row r="44" spans="1:11">
      <c r="A44" s="4">
        <v>1008</v>
      </c>
      <c r="B44" s="4" t="s">
        <v>40</v>
      </c>
      <c r="C44" s="2" t="s">
        <v>365</v>
      </c>
      <c r="E44" s="4"/>
      <c r="G44" s="4"/>
      <c r="J44" s="28" t="s">
        <v>500</v>
      </c>
      <c r="K44" s="28" t="s">
        <v>495</v>
      </c>
    </row>
    <row r="45" spans="1:11">
      <c r="A45" s="4">
        <v>1009</v>
      </c>
      <c r="B45" s="4" t="s">
        <v>41</v>
      </c>
      <c r="C45" s="2" t="s">
        <v>366</v>
      </c>
      <c r="E45" s="4"/>
      <c r="G45" s="4"/>
      <c r="J45" s="28" t="s">
        <v>503</v>
      </c>
      <c r="K45" s="28" t="s">
        <v>501</v>
      </c>
    </row>
    <row r="46" spans="1:11">
      <c r="A46" s="4">
        <v>1010</v>
      </c>
      <c r="B46" s="4" t="s">
        <v>42</v>
      </c>
      <c r="C46" s="2" t="s">
        <v>367</v>
      </c>
      <c r="E46" s="4"/>
      <c r="G46" s="4"/>
    </row>
    <row r="47" spans="1:11">
      <c r="A47" s="4">
        <v>1011</v>
      </c>
      <c r="B47" s="4" t="s">
        <v>43</v>
      </c>
      <c r="C47" s="2" t="s">
        <v>368</v>
      </c>
      <c r="E47" s="4"/>
      <c r="G47" s="4"/>
    </row>
    <row r="48" spans="1:11">
      <c r="A48" s="46">
        <v>1012</v>
      </c>
      <c r="B48" s="4" t="s">
        <v>450</v>
      </c>
      <c r="C48" s="2" t="s">
        <v>452</v>
      </c>
      <c r="E48" s="4"/>
      <c r="G48" s="4"/>
    </row>
    <row r="49" spans="1:7">
      <c r="A49" s="46">
        <v>1013</v>
      </c>
      <c r="B49" s="4" t="s">
        <v>451</v>
      </c>
      <c r="C49" s="2" t="s">
        <v>453</v>
      </c>
      <c r="E49" s="4"/>
      <c r="G49" s="4"/>
    </row>
    <row r="50" spans="1:7">
      <c r="A50" s="4">
        <v>1200</v>
      </c>
      <c r="B50" s="4" t="s">
        <v>182</v>
      </c>
      <c r="C50" s="2" t="s">
        <v>110</v>
      </c>
      <c r="E50" s="4"/>
      <c r="G50" s="4"/>
    </row>
    <row r="51" spans="1:7">
      <c r="A51" s="4">
        <v>1201</v>
      </c>
      <c r="B51" s="4" t="s">
        <v>44</v>
      </c>
      <c r="C51" s="2" t="s">
        <v>111</v>
      </c>
    </row>
    <row r="52" spans="1:7">
      <c r="A52" s="4">
        <v>1202</v>
      </c>
      <c r="B52" s="4" t="s">
        <v>45</v>
      </c>
      <c r="C52" s="2" t="s">
        <v>112</v>
      </c>
    </row>
    <row r="53" spans="1:7">
      <c r="A53" s="46">
        <v>1203</v>
      </c>
      <c r="B53" s="4" t="s">
        <v>454</v>
      </c>
      <c r="C53" s="2" t="s">
        <v>456</v>
      </c>
    </row>
    <row r="54" spans="1:7">
      <c r="A54" s="46">
        <v>1204</v>
      </c>
      <c r="B54" s="4" t="s">
        <v>455</v>
      </c>
      <c r="C54" s="2" t="s">
        <v>457</v>
      </c>
    </row>
    <row r="55" spans="1:7">
      <c r="A55" s="4">
        <v>1400</v>
      </c>
      <c r="B55" s="4" t="s">
        <v>46</v>
      </c>
      <c r="C55" s="2" t="s">
        <v>369</v>
      </c>
    </row>
    <row r="56" spans="1:7">
      <c r="A56" s="4">
        <v>1401</v>
      </c>
      <c r="B56" s="4" t="s">
        <v>47</v>
      </c>
      <c r="C56" s="2" t="s">
        <v>370</v>
      </c>
    </row>
    <row r="57" spans="1:7">
      <c r="A57" s="4">
        <v>1500</v>
      </c>
      <c r="B57" s="4" t="s">
        <v>183</v>
      </c>
      <c r="C57" s="2" t="s">
        <v>371</v>
      </c>
      <c r="E57" s="4"/>
    </row>
    <row r="58" spans="1:7">
      <c r="A58" s="4">
        <v>1501</v>
      </c>
      <c r="B58" s="4" t="s">
        <v>48</v>
      </c>
      <c r="C58" s="2" t="s">
        <v>372</v>
      </c>
      <c r="E58" s="4"/>
    </row>
    <row r="59" spans="1:7">
      <c r="A59" s="4">
        <v>1502</v>
      </c>
      <c r="B59" s="4" t="s">
        <v>49</v>
      </c>
      <c r="C59" s="2" t="s">
        <v>373</v>
      </c>
    </row>
    <row r="60" spans="1:7">
      <c r="A60" s="4">
        <v>1503</v>
      </c>
      <c r="B60" s="4" t="s">
        <v>50</v>
      </c>
      <c r="C60" s="2" t="s">
        <v>374</v>
      </c>
    </row>
    <row r="61" spans="1:7">
      <c r="A61" s="4">
        <v>1504</v>
      </c>
      <c r="B61" s="4" t="s">
        <v>51</v>
      </c>
      <c r="C61" s="2" t="s">
        <v>375</v>
      </c>
    </row>
    <row r="62" spans="1:7">
      <c r="A62" s="4">
        <v>1505</v>
      </c>
      <c r="B62" s="4" t="s">
        <v>52</v>
      </c>
      <c r="C62" s="2" t="s">
        <v>376</v>
      </c>
    </row>
    <row r="63" spans="1:7">
      <c r="A63" s="4">
        <v>1506</v>
      </c>
      <c r="B63" s="4" t="s">
        <v>53</v>
      </c>
      <c r="C63" s="2" t="s">
        <v>377</v>
      </c>
    </row>
    <row r="64" spans="1:7">
      <c r="A64" s="4">
        <v>1507</v>
      </c>
      <c r="B64" s="4" t="s">
        <v>54</v>
      </c>
      <c r="C64" s="2" t="s">
        <v>378</v>
      </c>
    </row>
    <row r="65" spans="1:5">
      <c r="A65" s="4">
        <v>1508</v>
      </c>
      <c r="B65" s="4" t="s">
        <v>55</v>
      </c>
      <c r="C65" s="2" t="s">
        <v>379</v>
      </c>
    </row>
    <row r="66" spans="1:5">
      <c r="A66" s="4">
        <v>1509</v>
      </c>
      <c r="B66" s="4" t="s">
        <v>56</v>
      </c>
      <c r="C66" s="2" t="s">
        <v>380</v>
      </c>
    </row>
    <row r="67" spans="1:5">
      <c r="A67" s="4">
        <v>1510</v>
      </c>
      <c r="B67" s="4" t="s">
        <v>57</v>
      </c>
      <c r="C67" s="2" t="s">
        <v>381</v>
      </c>
    </row>
    <row r="68" spans="1:5">
      <c r="A68" s="4">
        <v>1511</v>
      </c>
      <c r="B68" s="4" t="s">
        <v>58</v>
      </c>
      <c r="C68" s="2" t="s">
        <v>382</v>
      </c>
    </row>
    <row r="69" spans="1:5">
      <c r="A69" s="46">
        <v>1512</v>
      </c>
      <c r="B69" s="4" t="s">
        <v>458</v>
      </c>
      <c r="C69" s="2" t="s">
        <v>460</v>
      </c>
    </row>
    <row r="70" spans="1:5">
      <c r="A70" s="46">
        <v>1513</v>
      </c>
      <c r="B70" s="4" t="s">
        <v>459</v>
      </c>
      <c r="C70" s="2" t="s">
        <v>461</v>
      </c>
    </row>
    <row r="71" spans="1:5">
      <c r="A71" s="4">
        <v>1700</v>
      </c>
      <c r="B71" s="4" t="s">
        <v>184</v>
      </c>
      <c r="C71" s="2" t="s">
        <v>113</v>
      </c>
    </row>
    <row r="72" spans="1:5">
      <c r="A72" s="4">
        <v>1701</v>
      </c>
      <c r="B72" s="4" t="s">
        <v>59</v>
      </c>
      <c r="C72" s="2" t="s">
        <v>383</v>
      </c>
      <c r="E72" s="4"/>
    </row>
    <row r="73" spans="1:5">
      <c r="A73" s="4">
        <v>1702</v>
      </c>
      <c r="B73" s="4" t="s">
        <v>60</v>
      </c>
      <c r="C73" s="2" t="s">
        <v>505</v>
      </c>
      <c r="E73" s="4"/>
    </row>
    <row r="74" spans="1:5">
      <c r="A74" s="46">
        <v>1703</v>
      </c>
      <c r="B74" s="4" t="s">
        <v>462</v>
      </c>
      <c r="C74" s="2" t="s">
        <v>464</v>
      </c>
      <c r="E74" s="4"/>
    </row>
    <row r="75" spans="1:5">
      <c r="A75" s="46">
        <v>1704</v>
      </c>
      <c r="B75" s="4" t="s">
        <v>463</v>
      </c>
      <c r="C75" s="2" t="s">
        <v>465</v>
      </c>
      <c r="E75" s="4"/>
    </row>
    <row r="76" spans="1:5">
      <c r="A76" s="4">
        <v>1900</v>
      </c>
      <c r="B76" s="4" t="s">
        <v>185</v>
      </c>
      <c r="C76" s="2" t="s">
        <v>384</v>
      </c>
      <c r="E76" s="4"/>
    </row>
    <row r="77" spans="1:5">
      <c r="A77" s="4">
        <v>1901</v>
      </c>
      <c r="B77" s="4" t="s">
        <v>61</v>
      </c>
      <c r="C77" s="2" t="s">
        <v>385</v>
      </c>
      <c r="E77" s="4"/>
    </row>
    <row r="78" spans="1:5">
      <c r="A78" s="4">
        <v>2000</v>
      </c>
      <c r="B78" s="4" t="s">
        <v>186</v>
      </c>
      <c r="C78" s="2" t="s">
        <v>386</v>
      </c>
      <c r="E78" s="4"/>
    </row>
    <row r="79" spans="1:5">
      <c r="A79" s="4">
        <v>2001</v>
      </c>
      <c r="B79" s="4" t="s">
        <v>62</v>
      </c>
      <c r="C79" s="2" t="s">
        <v>387</v>
      </c>
      <c r="E79" s="4"/>
    </row>
    <row r="80" spans="1:5">
      <c r="A80" s="4">
        <v>2002</v>
      </c>
      <c r="B80" s="4" t="s">
        <v>63</v>
      </c>
      <c r="C80" s="2" t="s">
        <v>509</v>
      </c>
      <c r="E80" s="4"/>
    </row>
    <row r="81" spans="1:3">
      <c r="A81" s="4">
        <v>2003</v>
      </c>
      <c r="B81" s="4" t="s">
        <v>64</v>
      </c>
      <c r="C81" s="2" t="s">
        <v>388</v>
      </c>
    </row>
    <row r="82" spans="1:3">
      <c r="A82" s="4">
        <v>2004</v>
      </c>
      <c r="B82" s="4" t="s">
        <v>65</v>
      </c>
      <c r="C82" s="2" t="s">
        <v>389</v>
      </c>
    </row>
    <row r="83" spans="1:3">
      <c r="A83" s="4">
        <v>2005</v>
      </c>
      <c r="B83" s="4" t="s">
        <v>66</v>
      </c>
      <c r="C83" s="2" t="s">
        <v>390</v>
      </c>
    </row>
    <row r="84" spans="1:3">
      <c r="A84" s="4">
        <v>2006</v>
      </c>
      <c r="B84" s="4" t="s">
        <v>67</v>
      </c>
      <c r="C84" s="2" t="s">
        <v>391</v>
      </c>
    </row>
    <row r="85" spans="1:3">
      <c r="A85" s="4">
        <v>2007</v>
      </c>
      <c r="B85" s="4" t="s">
        <v>68</v>
      </c>
      <c r="C85" s="2" t="s">
        <v>392</v>
      </c>
    </row>
    <row r="86" spans="1:3">
      <c r="A86" s="4">
        <v>2008</v>
      </c>
      <c r="B86" s="4" t="s">
        <v>69</v>
      </c>
      <c r="C86" s="2" t="s">
        <v>393</v>
      </c>
    </row>
    <row r="87" spans="1:3">
      <c r="A87" s="4">
        <v>2009</v>
      </c>
      <c r="B87" s="4" t="s">
        <v>70</v>
      </c>
      <c r="C87" s="2" t="s">
        <v>394</v>
      </c>
    </row>
    <row r="88" spans="1:3">
      <c r="A88" s="4">
        <v>2010</v>
      </c>
      <c r="B88" s="4" t="s">
        <v>71</v>
      </c>
      <c r="C88" s="2" t="s">
        <v>395</v>
      </c>
    </row>
    <row r="89" spans="1:3">
      <c r="A89" s="4">
        <v>2011</v>
      </c>
      <c r="B89" s="4" t="s">
        <v>72</v>
      </c>
      <c r="C89" s="2" t="s">
        <v>446</v>
      </c>
    </row>
    <row r="90" spans="1:3">
      <c r="A90" s="46">
        <v>2012</v>
      </c>
      <c r="B90" s="4" t="s">
        <v>467</v>
      </c>
      <c r="C90" s="2" t="s">
        <v>466</v>
      </c>
    </row>
    <row r="91" spans="1:3">
      <c r="A91" s="46">
        <v>2013</v>
      </c>
      <c r="B91" s="4" t="s">
        <v>468</v>
      </c>
      <c r="C91" s="2" t="s">
        <v>469</v>
      </c>
    </row>
    <row r="92" spans="1:3">
      <c r="A92" s="4">
        <v>2200</v>
      </c>
      <c r="B92" s="4" t="s">
        <v>187</v>
      </c>
      <c r="C92" s="2" t="s">
        <v>114</v>
      </c>
    </row>
    <row r="93" spans="1:3">
      <c r="A93" s="4">
        <v>2201</v>
      </c>
      <c r="B93" s="4" t="s">
        <v>73</v>
      </c>
      <c r="C93" s="2" t="s">
        <v>445</v>
      </c>
    </row>
    <row r="94" spans="1:3">
      <c r="A94" s="4">
        <v>2202</v>
      </c>
      <c r="B94" s="4" t="s">
        <v>74</v>
      </c>
      <c r="C94" s="2" t="s">
        <v>447</v>
      </c>
    </row>
    <row r="95" spans="1:3">
      <c r="A95" s="46">
        <v>2203</v>
      </c>
      <c r="B95" s="4" t="s">
        <v>470</v>
      </c>
      <c r="C95" s="2" t="s">
        <v>472</v>
      </c>
    </row>
    <row r="96" spans="1:3">
      <c r="A96" s="46">
        <v>2204</v>
      </c>
      <c r="B96" s="4" t="s">
        <v>471</v>
      </c>
      <c r="C96" s="2" t="s">
        <v>473</v>
      </c>
    </row>
    <row r="97" spans="1:3">
      <c r="A97" s="4">
        <v>2400</v>
      </c>
      <c r="B97" s="4" t="s">
        <v>188</v>
      </c>
      <c r="C97" s="2" t="s">
        <v>396</v>
      </c>
    </row>
    <row r="98" spans="1:3">
      <c r="A98" s="4">
        <v>2401</v>
      </c>
      <c r="B98" s="4" t="s">
        <v>75</v>
      </c>
      <c r="C98" s="2" t="s">
        <v>397</v>
      </c>
    </row>
    <row r="99" spans="1:3">
      <c r="A99" s="4">
        <v>2402</v>
      </c>
      <c r="B99" s="4" t="s">
        <v>76</v>
      </c>
      <c r="C99" s="2" t="s">
        <v>398</v>
      </c>
    </row>
    <row r="100" spans="1:3">
      <c r="A100" s="4">
        <v>2403</v>
      </c>
      <c r="B100" s="4" t="s">
        <v>77</v>
      </c>
      <c r="C100" s="2" t="s">
        <v>400</v>
      </c>
    </row>
    <row r="101" spans="1:3">
      <c r="A101" s="4">
        <v>2404</v>
      </c>
      <c r="B101" s="4" t="s">
        <v>78</v>
      </c>
      <c r="C101" s="2" t="s">
        <v>399</v>
      </c>
    </row>
    <row r="102" spans="1:3">
      <c r="A102" s="4">
        <v>2500</v>
      </c>
      <c r="B102" s="4" t="s">
        <v>189</v>
      </c>
      <c r="C102" s="2" t="s">
        <v>401</v>
      </c>
    </row>
    <row r="103" spans="1:3">
      <c r="A103" s="4">
        <v>2501</v>
      </c>
      <c r="B103" s="4" t="s">
        <v>79</v>
      </c>
      <c r="C103" s="2" t="s">
        <v>402</v>
      </c>
    </row>
    <row r="104" spans="1:3">
      <c r="A104" s="4">
        <v>2502</v>
      </c>
      <c r="B104" s="4" t="s">
        <v>80</v>
      </c>
      <c r="C104" s="2" t="s">
        <v>403</v>
      </c>
    </row>
    <row r="105" spans="1:3">
      <c r="A105" s="4">
        <v>2503</v>
      </c>
      <c r="B105" s="4" t="s">
        <v>81</v>
      </c>
      <c r="C105" s="2" t="s">
        <v>404</v>
      </c>
    </row>
    <row r="106" spans="1:3">
      <c r="A106" s="4">
        <v>2504</v>
      </c>
      <c r="B106" s="4" t="s">
        <v>82</v>
      </c>
      <c r="C106" s="2" t="s">
        <v>405</v>
      </c>
    </row>
    <row r="107" spans="1:3">
      <c r="A107" s="4">
        <v>2505</v>
      </c>
      <c r="B107" s="4" t="s">
        <v>83</v>
      </c>
      <c r="C107" s="2" t="s">
        <v>406</v>
      </c>
    </row>
    <row r="108" spans="1:3">
      <c r="A108" s="4">
        <v>2506</v>
      </c>
      <c r="B108" s="4" t="s">
        <v>84</v>
      </c>
      <c r="C108" s="2" t="s">
        <v>407</v>
      </c>
    </row>
    <row r="109" spans="1:3">
      <c r="A109" s="4">
        <v>2507</v>
      </c>
      <c r="B109" s="4" t="s">
        <v>85</v>
      </c>
      <c r="C109" s="2" t="s">
        <v>408</v>
      </c>
    </row>
    <row r="110" spans="1:3">
      <c r="A110" s="4">
        <v>2508</v>
      </c>
      <c r="B110" s="4" t="s">
        <v>86</v>
      </c>
      <c r="C110" s="2" t="s">
        <v>409</v>
      </c>
    </row>
    <row r="111" spans="1:3">
      <c r="A111" s="4">
        <v>2509</v>
      </c>
      <c r="B111" s="4" t="s">
        <v>87</v>
      </c>
      <c r="C111" s="2" t="s">
        <v>410</v>
      </c>
    </row>
    <row r="112" spans="1:3">
      <c r="A112" s="4">
        <v>2510</v>
      </c>
      <c r="B112" s="4" t="s">
        <v>88</v>
      </c>
      <c r="C112" s="2" t="s">
        <v>508</v>
      </c>
    </row>
    <row r="113" spans="1:3">
      <c r="A113" s="4">
        <v>2511</v>
      </c>
      <c r="B113" s="4" t="s">
        <v>89</v>
      </c>
      <c r="C113" s="2" t="s">
        <v>411</v>
      </c>
    </row>
    <row r="114" spans="1:3">
      <c r="A114" s="46">
        <v>2512</v>
      </c>
      <c r="B114" s="4" t="s">
        <v>474</v>
      </c>
      <c r="C114" s="2" t="s">
        <v>476</v>
      </c>
    </row>
    <row r="115" spans="1:3">
      <c r="A115" s="46">
        <v>2513</v>
      </c>
      <c r="B115" s="4" t="s">
        <v>475</v>
      </c>
      <c r="C115" s="2" t="s">
        <v>477</v>
      </c>
    </row>
    <row r="116" spans="1:3">
      <c r="A116" s="4">
        <v>2700</v>
      </c>
      <c r="B116" s="4" t="s">
        <v>190</v>
      </c>
      <c r="C116" s="2" t="s">
        <v>412</v>
      </c>
    </row>
    <row r="117" spans="1:3">
      <c r="A117" s="4">
        <v>2701</v>
      </c>
      <c r="B117" s="4" t="s">
        <v>90</v>
      </c>
      <c r="C117" s="2" t="s">
        <v>413</v>
      </c>
    </row>
    <row r="118" spans="1:3">
      <c r="A118" s="46">
        <v>2702</v>
      </c>
      <c r="B118" s="4" t="s">
        <v>478</v>
      </c>
      <c r="C118" s="2" t="s">
        <v>480</v>
      </c>
    </row>
    <row r="119" spans="1:3">
      <c r="A119" s="46">
        <v>2703</v>
      </c>
      <c r="B119" s="4" t="s">
        <v>479</v>
      </c>
      <c r="C119" s="2" t="s">
        <v>481</v>
      </c>
    </row>
    <row r="120" spans="1:3">
      <c r="A120" s="4">
        <v>2900</v>
      </c>
      <c r="B120" s="4" t="s">
        <v>195</v>
      </c>
      <c r="C120" s="2" t="s">
        <v>414</v>
      </c>
    </row>
    <row r="121" spans="1:3">
      <c r="A121" s="4">
        <v>3000</v>
      </c>
      <c r="B121" s="4" t="s">
        <v>191</v>
      </c>
      <c r="C121" s="2" t="s">
        <v>415</v>
      </c>
    </row>
    <row r="122" spans="1:3">
      <c r="A122" s="4">
        <v>3001</v>
      </c>
      <c r="B122" s="4" t="s">
        <v>91</v>
      </c>
      <c r="C122" s="2" t="s">
        <v>416</v>
      </c>
    </row>
    <row r="123" spans="1:3">
      <c r="A123" s="4">
        <v>3002</v>
      </c>
      <c r="B123" s="4" t="s">
        <v>92</v>
      </c>
      <c r="C123" s="2" t="s">
        <v>417</v>
      </c>
    </row>
    <row r="124" spans="1:3">
      <c r="A124" s="4">
        <v>3003</v>
      </c>
      <c r="B124" s="4" t="s">
        <v>93</v>
      </c>
      <c r="C124" s="2" t="s">
        <v>418</v>
      </c>
    </row>
    <row r="125" spans="1:3">
      <c r="A125" s="4">
        <v>3004</v>
      </c>
      <c r="B125" s="4" t="s">
        <v>94</v>
      </c>
      <c r="C125" s="2" t="s">
        <v>419</v>
      </c>
    </row>
    <row r="126" spans="1:3">
      <c r="A126" s="4">
        <v>3005</v>
      </c>
      <c r="B126" s="4" t="s">
        <v>95</v>
      </c>
      <c r="C126" s="2" t="s">
        <v>420</v>
      </c>
    </row>
    <row r="127" spans="1:3">
      <c r="A127" s="4">
        <v>3006</v>
      </c>
      <c r="B127" s="4" t="s">
        <v>96</v>
      </c>
      <c r="C127" s="2" t="s">
        <v>421</v>
      </c>
    </row>
    <row r="128" spans="1:3">
      <c r="A128" s="4">
        <v>3007</v>
      </c>
      <c r="B128" s="4" t="s">
        <v>97</v>
      </c>
      <c r="C128" s="2" t="s">
        <v>422</v>
      </c>
    </row>
    <row r="129" spans="1:3">
      <c r="A129" s="4">
        <v>3008</v>
      </c>
      <c r="B129" s="4" t="s">
        <v>98</v>
      </c>
      <c r="C129" s="2" t="s">
        <v>423</v>
      </c>
    </row>
    <row r="130" spans="1:3">
      <c r="A130" s="4">
        <v>3009</v>
      </c>
      <c r="B130" s="4" t="s">
        <v>99</v>
      </c>
      <c r="C130" s="2" t="s">
        <v>424</v>
      </c>
    </row>
    <row r="131" spans="1:3">
      <c r="A131" s="4">
        <v>3010</v>
      </c>
      <c r="B131" s="4" t="s">
        <v>100</v>
      </c>
      <c r="C131" s="2" t="s">
        <v>425</v>
      </c>
    </row>
    <row r="132" spans="1:3">
      <c r="A132" s="4">
        <v>3011</v>
      </c>
      <c r="B132" s="4" t="s">
        <v>101</v>
      </c>
      <c r="C132" s="2" t="s">
        <v>426</v>
      </c>
    </row>
    <row r="133" spans="1:3">
      <c r="A133" s="46">
        <v>3012</v>
      </c>
      <c r="B133" s="4" t="s">
        <v>482</v>
      </c>
      <c r="C133" s="2" t="s">
        <v>484</v>
      </c>
    </row>
    <row r="134" spans="1:3">
      <c r="A134" s="46">
        <v>3013</v>
      </c>
      <c r="B134" s="4" t="s">
        <v>483</v>
      </c>
      <c r="C134" s="2" t="s">
        <v>485</v>
      </c>
    </row>
    <row r="135" spans="1:3">
      <c r="A135" s="4">
        <v>3200</v>
      </c>
      <c r="B135" s="4" t="s">
        <v>192</v>
      </c>
      <c r="C135" s="2" t="s">
        <v>115</v>
      </c>
    </row>
    <row r="136" spans="1:3">
      <c r="A136" s="4">
        <v>3201</v>
      </c>
      <c r="B136" s="4" t="s">
        <v>102</v>
      </c>
      <c r="C136" s="2" t="s">
        <v>427</v>
      </c>
    </row>
    <row r="137" spans="1:3">
      <c r="A137" s="4">
        <v>3202</v>
      </c>
      <c r="B137" s="4" t="s">
        <v>103</v>
      </c>
      <c r="C137" s="2" t="s">
        <v>510</v>
      </c>
    </row>
    <row r="138" spans="1:3">
      <c r="A138" s="46">
        <v>3203</v>
      </c>
      <c r="B138" s="4" t="s">
        <v>486</v>
      </c>
      <c r="C138" s="2" t="s">
        <v>488</v>
      </c>
    </row>
    <row r="139" spans="1:3">
      <c r="A139" s="46">
        <v>3204</v>
      </c>
      <c r="B139" s="4" t="s">
        <v>487</v>
      </c>
      <c r="C139" s="2" t="s">
        <v>489</v>
      </c>
    </row>
    <row r="140" spans="1:3">
      <c r="A140" s="4">
        <v>3400</v>
      </c>
      <c r="B140" s="4" t="s">
        <v>193</v>
      </c>
      <c r="C140" s="2" t="s">
        <v>428</v>
      </c>
    </row>
    <row r="141" spans="1:3">
      <c r="A141" s="4">
        <v>3401</v>
      </c>
      <c r="B141" s="4" t="s">
        <v>104</v>
      </c>
      <c r="C141" s="2" t="s">
        <v>429</v>
      </c>
    </row>
    <row r="142" spans="1:3">
      <c r="A142" s="4">
        <v>3402</v>
      </c>
      <c r="B142" s="4" t="s">
        <v>105</v>
      </c>
      <c r="C142" s="2" t="s">
        <v>430</v>
      </c>
    </row>
    <row r="143" spans="1:3">
      <c r="A143" s="4">
        <v>3403</v>
      </c>
      <c r="B143" s="4" t="s">
        <v>106</v>
      </c>
      <c r="C143" s="2" t="s">
        <v>431</v>
      </c>
    </row>
    <row r="148" spans="2:2">
      <c r="B148" s="4"/>
    </row>
    <row r="149" spans="2:2">
      <c r="B14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275" spans="2:2">
      <c r="B275" s="4"/>
    </row>
    <row r="276" spans="2:2">
      <c r="B276" s="4"/>
    </row>
    <row r="277" spans="2:2">
      <c r="B277" s="4"/>
    </row>
    <row r="278" spans="2:2">
      <c r="B278" s="4"/>
    </row>
    <row r="279" spans="2:2">
      <c r="B279" s="4"/>
    </row>
    <row r="280" spans="2:2">
      <c r="B280" s="4"/>
    </row>
    <row r="281" spans="2:2">
      <c r="B281" s="4"/>
    </row>
    <row r="282" spans="2:2">
      <c r="B282" s="4"/>
    </row>
    <row r="283" spans="2:2">
      <c r="B283" s="4"/>
    </row>
    <row r="284" spans="2:2">
      <c r="B284" s="4"/>
    </row>
    <row r="285" spans="2:2">
      <c r="B285" s="4"/>
    </row>
    <row r="286" spans="2:2">
      <c r="B286" s="4"/>
    </row>
    <row r="287" spans="2:2">
      <c r="B287" s="4"/>
    </row>
    <row r="288" spans="2:2">
      <c r="B288" s="4"/>
    </row>
    <row r="289" spans="2:2">
      <c r="B289" s="4"/>
    </row>
    <row r="290" spans="2:2">
      <c r="B290" s="4"/>
    </row>
    <row r="291" spans="2:2">
      <c r="B291" s="4"/>
    </row>
    <row r="292" spans="2:2">
      <c r="B292" s="4"/>
    </row>
    <row r="293" spans="2:2">
      <c r="B293" s="4"/>
    </row>
    <row r="294" spans="2:2">
      <c r="B294" s="4"/>
    </row>
    <row r="295" spans="2:2">
      <c r="B295" s="4"/>
    </row>
    <row r="296" spans="2:2">
      <c r="B296" s="4"/>
    </row>
    <row r="297" spans="2:2">
      <c r="B297" s="4"/>
    </row>
    <row r="298" spans="2:2">
      <c r="B298" s="4"/>
    </row>
    <row r="299" spans="2:2">
      <c r="B299" s="4"/>
    </row>
    <row r="300" spans="2:2">
      <c r="B300" s="4"/>
    </row>
    <row r="301" spans="2:2">
      <c r="B301" s="4"/>
    </row>
    <row r="302" spans="2:2">
      <c r="B302" s="4"/>
    </row>
    <row r="303" spans="2:2">
      <c r="B303" s="4"/>
    </row>
    <row r="304" spans="2:2">
      <c r="B304" s="4"/>
    </row>
    <row r="305" spans="2:2">
      <c r="B305" s="4"/>
    </row>
    <row r="306" spans="2:2">
      <c r="B306" s="4"/>
    </row>
    <row r="307" spans="2:2">
      <c r="B307" s="4"/>
    </row>
    <row r="308" spans="2:2">
      <c r="B308" s="4"/>
    </row>
    <row r="309" spans="2:2">
      <c r="B309" s="4"/>
    </row>
    <row r="310" spans="2:2">
      <c r="B310" s="4"/>
    </row>
    <row r="311" spans="2:2">
      <c r="B311" s="4"/>
    </row>
    <row r="312" spans="2:2">
      <c r="B312" s="4"/>
    </row>
    <row r="313" spans="2:2">
      <c r="B313" s="4"/>
    </row>
    <row r="314" spans="2:2">
      <c r="B314" s="4"/>
    </row>
    <row r="315" spans="2:2">
      <c r="B315" s="4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E1412"/>
  <sheetViews>
    <sheetView tabSelected="1" zoomScale="80" zoomScaleNormal="80" workbookViewId="0">
      <pane xSplit="5" ySplit="1" topLeftCell="P848" activePane="bottomRight" state="frozen"/>
      <selection pane="topRight" activeCell="F1" sqref="F1"/>
      <selection pane="bottomLeft" activeCell="A2" sqref="A2"/>
      <selection pane="bottomRight" activeCell="T881" sqref="T881"/>
    </sheetView>
  </sheetViews>
  <sheetFormatPr defaultColWidth="15.625" defaultRowHeight="13.5"/>
  <cols>
    <col min="1" max="1" width="6.625" style="2" customWidth="1"/>
    <col min="2" max="2" width="27.125" style="7" hidden="1" customWidth="1"/>
    <col min="3" max="3" width="6.25" style="7" hidden="1" customWidth="1"/>
    <col min="4" max="4" width="30.25" style="2" hidden="1" customWidth="1"/>
    <col min="5" max="5" width="24.875" style="7" customWidth="1"/>
    <col min="6" max="6" width="185.25" style="7" customWidth="1"/>
    <col min="7" max="15" width="15.625" style="2"/>
    <col min="16" max="16" width="33.625" style="2" bestFit="1" customWidth="1"/>
    <col min="17" max="17" width="52.125" style="2" bestFit="1" customWidth="1"/>
    <col min="18" max="19" width="15.625" style="2"/>
    <col min="20" max="21" width="26.375" style="2" customWidth="1"/>
    <col min="22" max="22" width="22.875" style="2" customWidth="1"/>
    <col min="23" max="16384" width="15.625" style="2"/>
  </cols>
  <sheetData>
    <row r="1" spans="1:27" s="40" customFormat="1">
      <c r="A1" s="39" t="s">
        <v>300</v>
      </c>
      <c r="B1" s="40" t="s">
        <v>301</v>
      </c>
      <c r="C1" s="40" t="s">
        <v>302</v>
      </c>
      <c r="D1" s="41" t="s">
        <v>303</v>
      </c>
      <c r="E1" s="40" t="s">
        <v>304</v>
      </c>
      <c r="F1" s="40" t="s">
        <v>305</v>
      </c>
      <c r="G1" s="42" t="s">
        <v>306</v>
      </c>
      <c r="H1" s="42" t="s">
        <v>333</v>
      </c>
      <c r="I1" s="40" t="s">
        <v>307</v>
      </c>
      <c r="J1" s="40" t="s">
        <v>308</v>
      </c>
      <c r="K1" s="40" t="s">
        <v>309</v>
      </c>
      <c r="L1" s="40" t="s">
        <v>310</v>
      </c>
      <c r="M1" s="40" t="s">
        <v>311</v>
      </c>
      <c r="N1" s="40" t="s">
        <v>312</v>
      </c>
      <c r="O1" s="40" t="s">
        <v>313</v>
      </c>
      <c r="P1" s="40" t="s">
        <v>314</v>
      </c>
      <c r="Q1" s="40" t="s">
        <v>315</v>
      </c>
      <c r="R1" s="40" t="s">
        <v>316</v>
      </c>
      <c r="S1" s="40" t="s">
        <v>448</v>
      </c>
      <c r="T1" s="40" t="s">
        <v>325</v>
      </c>
      <c r="U1" s="40" t="s">
        <v>449</v>
      </c>
      <c r="V1" s="40" t="s">
        <v>317</v>
      </c>
      <c r="W1" s="40" t="s">
        <v>318</v>
      </c>
      <c r="X1" s="40" t="s">
        <v>319</v>
      </c>
      <c r="Y1" s="40" t="s">
        <v>320</v>
      </c>
      <c r="Z1" s="40" t="s">
        <v>321</v>
      </c>
      <c r="AA1" s="40" t="s">
        <v>322</v>
      </c>
    </row>
    <row r="2" spans="1:27">
      <c r="A2" s="4">
        <v>1</v>
      </c>
      <c r="B2" s="7" t="str">
        <f>VLOOKUP($A2,SkillEnum!$A$2:$C$1020,2,FALSE)</f>
        <v>SI_P_COMMON_PHYSIC_ATTACK_BEGINNER</v>
      </c>
      <c r="C2" s="7">
        <v>1</v>
      </c>
      <c r="D2" s="2" t="str">
        <f>VLOOKUP($C2,SkillEnum!$D$2:$E$10,2,FALSE)</f>
        <v>ST_PASSIVE_PHYSIC_ATTACK</v>
      </c>
      <c r="E2" s="7" t="str">
        <f>VLOOKUP($A2,SkillEnum!$A$2:$C$1020,3,FALSE)</f>
        <v>기초 근력단련</v>
      </c>
      <c r="F2" s="7" t="str">
        <f t="shared" ref="F2:F11" si="0">"기본 물리 공격력이 "&amp;L2&amp;" 증가 한다."</f>
        <v>기본 물리 공격력이 15 증가 한다.</v>
      </c>
      <c r="G2" s="2">
        <v>1</v>
      </c>
      <c r="H2" s="2">
        <v>1</v>
      </c>
      <c r="I2" s="2">
        <v>0</v>
      </c>
      <c r="J2" s="2">
        <v>0</v>
      </c>
      <c r="K2" s="2">
        <v>0</v>
      </c>
      <c r="L2" s="2">
        <v>15</v>
      </c>
      <c r="M2" s="2">
        <v>0</v>
      </c>
      <c r="N2" s="2">
        <v>0</v>
      </c>
      <c r="O2" s="2">
        <v>0</v>
      </c>
      <c r="P2" s="2" t="s">
        <v>432</v>
      </c>
      <c r="Q2" s="2" t="str">
        <f>B2</f>
        <v>SI_P_COMMON_PHYSIC_ATTACK_BEGINNER</v>
      </c>
      <c r="R2" s="2" t="b">
        <v>0</v>
      </c>
      <c r="S2" s="2" t="b">
        <v>1</v>
      </c>
      <c r="T2" s="2">
        <v>0</v>
      </c>
    </row>
    <row r="3" spans="1:27">
      <c r="A3" s="4">
        <v>1</v>
      </c>
      <c r="B3" s="7" t="str">
        <f>VLOOKUP($A3,SkillEnum!$A$2:$C$1020,2,FALSE)</f>
        <v>SI_P_COMMON_PHYSIC_ATTACK_BEGINNER</v>
      </c>
      <c r="C3" s="7">
        <v>1</v>
      </c>
      <c r="D3" s="2" t="str">
        <f>VLOOKUP($C3,SkillEnum!$D$2:$E$10,2,FALSE)</f>
        <v>ST_PASSIVE_PHYSIC_ATTACK</v>
      </c>
      <c r="E3" s="7" t="str">
        <f>VLOOKUP($A3,SkillEnum!$A$2:$C$1020,3,FALSE)</f>
        <v>기초 근력단련</v>
      </c>
      <c r="F3" s="7" t="str">
        <f t="shared" si="0"/>
        <v>기본 물리 공격력이 30 증가 한다.</v>
      </c>
      <c r="G3" s="2">
        <v>2</v>
      </c>
      <c r="H3" s="2">
        <v>1</v>
      </c>
      <c r="I3" s="2">
        <v>0</v>
      </c>
      <c r="J3" s="2">
        <v>0</v>
      </c>
      <c r="K3" s="2">
        <v>0</v>
      </c>
      <c r="L3" s="2">
        <f>L2+15</f>
        <v>30</v>
      </c>
      <c r="M3" s="2">
        <v>0</v>
      </c>
      <c r="N3" s="2">
        <v>0</v>
      </c>
      <c r="O3" s="2">
        <v>0</v>
      </c>
      <c r="P3" s="2" t="s">
        <v>432</v>
      </c>
      <c r="Q3" s="2" t="str">
        <f t="shared" ref="Q3:Q66" si="1">B3</f>
        <v>SI_P_COMMON_PHYSIC_ATTACK_BEGINNER</v>
      </c>
      <c r="R3" s="2" t="b">
        <v>0</v>
      </c>
      <c r="S3" s="2" t="b">
        <v>1</v>
      </c>
      <c r="T3" s="2">
        <v>0</v>
      </c>
    </row>
    <row r="4" spans="1:27">
      <c r="A4" s="4">
        <v>1</v>
      </c>
      <c r="B4" s="7" t="str">
        <f>VLOOKUP($A4,SkillEnum!$A$2:$C$1020,2,FALSE)</f>
        <v>SI_P_COMMON_PHYSIC_ATTACK_BEGINNER</v>
      </c>
      <c r="C4" s="7">
        <v>1</v>
      </c>
      <c r="D4" s="2" t="str">
        <f>VLOOKUP($C4,SkillEnum!$D$2:$E$10,2,FALSE)</f>
        <v>ST_PASSIVE_PHYSIC_ATTACK</v>
      </c>
      <c r="E4" s="7" t="str">
        <f>VLOOKUP($A4,SkillEnum!$A$2:$C$1020,3,FALSE)</f>
        <v>기초 근력단련</v>
      </c>
      <c r="F4" s="7" t="str">
        <f t="shared" si="0"/>
        <v>기본 물리 공격력이 45 증가 한다.</v>
      </c>
      <c r="G4" s="2">
        <v>3</v>
      </c>
      <c r="H4" s="2">
        <v>1</v>
      </c>
      <c r="I4" s="2">
        <v>0</v>
      </c>
      <c r="J4" s="2">
        <v>0</v>
      </c>
      <c r="K4" s="2">
        <v>0</v>
      </c>
      <c r="L4" s="2">
        <f t="shared" ref="L4:L11" si="2">L3+15</f>
        <v>45</v>
      </c>
      <c r="M4" s="2">
        <v>0</v>
      </c>
      <c r="N4" s="2">
        <v>0</v>
      </c>
      <c r="O4" s="2">
        <v>0</v>
      </c>
      <c r="P4" s="2" t="s">
        <v>432</v>
      </c>
      <c r="Q4" s="2" t="str">
        <f t="shared" si="1"/>
        <v>SI_P_COMMON_PHYSIC_ATTACK_BEGINNER</v>
      </c>
      <c r="R4" s="2" t="b">
        <v>0</v>
      </c>
      <c r="S4" s="2" t="b">
        <v>1</v>
      </c>
      <c r="T4" s="2">
        <v>0</v>
      </c>
    </row>
    <row r="5" spans="1:27">
      <c r="A5" s="4">
        <v>1</v>
      </c>
      <c r="B5" s="7" t="str">
        <f>VLOOKUP($A5,SkillEnum!$A$2:$C$1020,2,FALSE)</f>
        <v>SI_P_COMMON_PHYSIC_ATTACK_BEGINNER</v>
      </c>
      <c r="C5" s="7">
        <v>1</v>
      </c>
      <c r="D5" s="2" t="str">
        <f>VLOOKUP($C5,SkillEnum!$D$2:$E$10,2,FALSE)</f>
        <v>ST_PASSIVE_PHYSIC_ATTACK</v>
      </c>
      <c r="E5" s="7" t="str">
        <f>VLOOKUP($A5,SkillEnum!$A$2:$C$1020,3,FALSE)</f>
        <v>기초 근력단련</v>
      </c>
      <c r="F5" s="7" t="str">
        <f t="shared" si="0"/>
        <v>기본 물리 공격력이 60 증가 한다.</v>
      </c>
      <c r="G5" s="2">
        <v>4</v>
      </c>
      <c r="H5" s="2">
        <v>1</v>
      </c>
      <c r="I5" s="2">
        <v>0</v>
      </c>
      <c r="J5" s="2">
        <v>0</v>
      </c>
      <c r="K5" s="2">
        <v>0</v>
      </c>
      <c r="L5" s="2">
        <f t="shared" si="2"/>
        <v>60</v>
      </c>
      <c r="M5" s="2">
        <v>0</v>
      </c>
      <c r="N5" s="2">
        <v>0</v>
      </c>
      <c r="O5" s="2">
        <v>0</v>
      </c>
      <c r="P5" s="2" t="s">
        <v>432</v>
      </c>
      <c r="Q5" s="2" t="str">
        <f t="shared" si="1"/>
        <v>SI_P_COMMON_PHYSIC_ATTACK_BEGINNER</v>
      </c>
      <c r="R5" s="2" t="b">
        <v>0</v>
      </c>
      <c r="S5" s="2" t="b">
        <v>1</v>
      </c>
      <c r="T5" s="2">
        <v>0</v>
      </c>
    </row>
    <row r="6" spans="1:27">
      <c r="A6" s="4">
        <v>1</v>
      </c>
      <c r="B6" s="7" t="str">
        <f>VLOOKUP($A6,SkillEnum!$A$2:$C$1020,2,FALSE)</f>
        <v>SI_P_COMMON_PHYSIC_ATTACK_BEGINNER</v>
      </c>
      <c r="C6" s="7">
        <v>1</v>
      </c>
      <c r="D6" s="2" t="str">
        <f>VLOOKUP($C6,SkillEnum!$D$2:$E$10,2,FALSE)</f>
        <v>ST_PASSIVE_PHYSIC_ATTACK</v>
      </c>
      <c r="E6" s="7" t="str">
        <f>VLOOKUP($A6,SkillEnum!$A$2:$C$1020,3,FALSE)</f>
        <v>기초 근력단련</v>
      </c>
      <c r="F6" s="7" t="str">
        <f t="shared" si="0"/>
        <v>기본 물리 공격력이 75 증가 한다.</v>
      </c>
      <c r="G6" s="2">
        <v>5</v>
      </c>
      <c r="H6" s="2">
        <v>1</v>
      </c>
      <c r="I6" s="2">
        <v>0</v>
      </c>
      <c r="J6" s="2">
        <v>0</v>
      </c>
      <c r="K6" s="2">
        <v>0</v>
      </c>
      <c r="L6" s="2">
        <f t="shared" si="2"/>
        <v>75</v>
      </c>
      <c r="M6" s="2">
        <v>0</v>
      </c>
      <c r="N6" s="2">
        <v>0</v>
      </c>
      <c r="O6" s="2">
        <v>0</v>
      </c>
      <c r="P6" s="2" t="s">
        <v>432</v>
      </c>
      <c r="Q6" s="2" t="str">
        <f t="shared" si="1"/>
        <v>SI_P_COMMON_PHYSIC_ATTACK_BEGINNER</v>
      </c>
      <c r="R6" s="2" t="b">
        <v>0</v>
      </c>
      <c r="S6" s="2" t="b">
        <v>1</v>
      </c>
      <c r="T6" s="2">
        <v>0</v>
      </c>
    </row>
    <row r="7" spans="1:27">
      <c r="A7" s="4">
        <v>1</v>
      </c>
      <c r="B7" s="7" t="str">
        <f>VLOOKUP($A7,SkillEnum!$A$2:$C$1020,2,FALSE)</f>
        <v>SI_P_COMMON_PHYSIC_ATTACK_BEGINNER</v>
      </c>
      <c r="C7" s="7">
        <v>1</v>
      </c>
      <c r="D7" s="2" t="str">
        <f>VLOOKUP($C7,SkillEnum!$D$2:$E$10,2,FALSE)</f>
        <v>ST_PASSIVE_PHYSIC_ATTACK</v>
      </c>
      <c r="E7" s="7" t="str">
        <f>VLOOKUP($A7,SkillEnum!$A$2:$C$1020,3,FALSE)</f>
        <v>기초 근력단련</v>
      </c>
      <c r="F7" s="7" t="str">
        <f t="shared" si="0"/>
        <v>기본 물리 공격력이 90 증가 한다.</v>
      </c>
      <c r="G7" s="2">
        <v>6</v>
      </c>
      <c r="H7" s="2">
        <v>1</v>
      </c>
      <c r="I7" s="2">
        <v>0</v>
      </c>
      <c r="J7" s="2">
        <v>0</v>
      </c>
      <c r="K7" s="2">
        <v>0</v>
      </c>
      <c r="L7" s="2">
        <f t="shared" si="2"/>
        <v>90</v>
      </c>
      <c r="M7" s="2">
        <v>0</v>
      </c>
      <c r="N7" s="2">
        <v>0</v>
      </c>
      <c r="O7" s="2">
        <v>0</v>
      </c>
      <c r="P7" s="2" t="s">
        <v>432</v>
      </c>
      <c r="Q7" s="2" t="str">
        <f t="shared" si="1"/>
        <v>SI_P_COMMON_PHYSIC_ATTACK_BEGINNER</v>
      </c>
      <c r="R7" s="2" t="b">
        <v>0</v>
      </c>
      <c r="S7" s="2" t="b">
        <v>1</v>
      </c>
      <c r="T7" s="2">
        <v>0</v>
      </c>
    </row>
    <row r="8" spans="1:27">
      <c r="A8" s="4">
        <v>1</v>
      </c>
      <c r="B8" s="7" t="str">
        <f>VLOOKUP($A8,SkillEnum!$A$2:$C$1020,2,FALSE)</f>
        <v>SI_P_COMMON_PHYSIC_ATTACK_BEGINNER</v>
      </c>
      <c r="C8" s="7">
        <v>1</v>
      </c>
      <c r="D8" s="2" t="str">
        <f>VLOOKUP($C8,SkillEnum!$D$2:$E$10,2,FALSE)</f>
        <v>ST_PASSIVE_PHYSIC_ATTACK</v>
      </c>
      <c r="E8" s="7" t="str">
        <f>VLOOKUP($A8,SkillEnum!$A$2:$C$1020,3,FALSE)</f>
        <v>기초 근력단련</v>
      </c>
      <c r="F8" s="7" t="str">
        <f t="shared" si="0"/>
        <v>기본 물리 공격력이 105 증가 한다.</v>
      </c>
      <c r="G8" s="2">
        <v>7</v>
      </c>
      <c r="H8" s="2">
        <v>1</v>
      </c>
      <c r="I8" s="2">
        <v>0</v>
      </c>
      <c r="J8" s="2">
        <v>0</v>
      </c>
      <c r="K8" s="2">
        <v>0</v>
      </c>
      <c r="L8" s="2">
        <f t="shared" si="2"/>
        <v>105</v>
      </c>
      <c r="M8" s="2">
        <v>0</v>
      </c>
      <c r="N8" s="2">
        <v>0</v>
      </c>
      <c r="O8" s="2">
        <v>0</v>
      </c>
      <c r="P8" s="2" t="s">
        <v>432</v>
      </c>
      <c r="Q8" s="2" t="str">
        <f t="shared" si="1"/>
        <v>SI_P_COMMON_PHYSIC_ATTACK_BEGINNER</v>
      </c>
      <c r="R8" s="2" t="b">
        <v>0</v>
      </c>
      <c r="S8" s="2" t="b">
        <v>1</v>
      </c>
      <c r="T8" s="2">
        <v>0</v>
      </c>
    </row>
    <row r="9" spans="1:27">
      <c r="A9" s="4">
        <v>1</v>
      </c>
      <c r="B9" s="7" t="str">
        <f>VLOOKUP($A9,SkillEnum!$A$2:$C$1020,2,FALSE)</f>
        <v>SI_P_COMMON_PHYSIC_ATTACK_BEGINNER</v>
      </c>
      <c r="C9" s="7">
        <v>1</v>
      </c>
      <c r="D9" s="2" t="str">
        <f>VLOOKUP($C9,SkillEnum!$D$2:$E$10,2,FALSE)</f>
        <v>ST_PASSIVE_PHYSIC_ATTACK</v>
      </c>
      <c r="E9" s="7" t="str">
        <f>VLOOKUP($A9,SkillEnum!$A$2:$C$1020,3,FALSE)</f>
        <v>기초 근력단련</v>
      </c>
      <c r="F9" s="7" t="str">
        <f t="shared" si="0"/>
        <v>기본 물리 공격력이 120 증가 한다.</v>
      </c>
      <c r="G9" s="2">
        <v>8</v>
      </c>
      <c r="H9" s="2">
        <v>1</v>
      </c>
      <c r="I9" s="2">
        <v>0</v>
      </c>
      <c r="J9" s="2">
        <v>0</v>
      </c>
      <c r="K9" s="2">
        <v>0</v>
      </c>
      <c r="L9" s="2">
        <f t="shared" si="2"/>
        <v>120</v>
      </c>
      <c r="M9" s="2">
        <v>0</v>
      </c>
      <c r="N9" s="2">
        <v>0</v>
      </c>
      <c r="O9" s="2">
        <v>0</v>
      </c>
      <c r="P9" s="2" t="s">
        <v>432</v>
      </c>
      <c r="Q9" s="2" t="str">
        <f t="shared" si="1"/>
        <v>SI_P_COMMON_PHYSIC_ATTACK_BEGINNER</v>
      </c>
      <c r="R9" s="2" t="b">
        <v>0</v>
      </c>
      <c r="S9" s="2" t="b">
        <v>1</v>
      </c>
      <c r="T9" s="2">
        <v>0</v>
      </c>
    </row>
    <row r="10" spans="1:27">
      <c r="A10" s="4">
        <v>1</v>
      </c>
      <c r="B10" s="7" t="str">
        <f>VLOOKUP($A10,SkillEnum!$A$2:$C$1020,2,FALSE)</f>
        <v>SI_P_COMMON_PHYSIC_ATTACK_BEGINNER</v>
      </c>
      <c r="C10" s="7">
        <v>1</v>
      </c>
      <c r="D10" s="2" t="str">
        <f>VLOOKUP($C10,SkillEnum!$D$2:$E$10,2,FALSE)</f>
        <v>ST_PASSIVE_PHYSIC_ATTACK</v>
      </c>
      <c r="E10" s="7" t="str">
        <f>VLOOKUP($A10,SkillEnum!$A$2:$C$1020,3,FALSE)</f>
        <v>기초 근력단련</v>
      </c>
      <c r="F10" s="7" t="str">
        <f t="shared" si="0"/>
        <v>기본 물리 공격력이 135 증가 한다.</v>
      </c>
      <c r="G10" s="2">
        <v>9</v>
      </c>
      <c r="H10" s="2">
        <v>1</v>
      </c>
      <c r="I10" s="2">
        <v>0</v>
      </c>
      <c r="J10" s="2">
        <v>0</v>
      </c>
      <c r="K10" s="2">
        <v>0</v>
      </c>
      <c r="L10" s="2">
        <f t="shared" si="2"/>
        <v>135</v>
      </c>
      <c r="M10" s="2">
        <v>0</v>
      </c>
      <c r="N10" s="2">
        <v>0</v>
      </c>
      <c r="O10" s="2">
        <v>0</v>
      </c>
      <c r="P10" s="2" t="s">
        <v>432</v>
      </c>
      <c r="Q10" s="2" t="str">
        <f t="shared" si="1"/>
        <v>SI_P_COMMON_PHYSIC_ATTACK_BEGINNER</v>
      </c>
      <c r="R10" s="2" t="b">
        <v>0</v>
      </c>
      <c r="S10" s="2" t="b">
        <v>1</v>
      </c>
      <c r="T10" s="2">
        <v>0</v>
      </c>
    </row>
    <row r="11" spans="1:27" s="5" customFormat="1">
      <c r="A11" s="6">
        <v>1</v>
      </c>
      <c r="B11" s="8" t="str">
        <f>VLOOKUP($A11,SkillEnum!$A$2:$C$1020,2,FALSE)</f>
        <v>SI_P_COMMON_PHYSIC_ATTACK_BEGINNER</v>
      </c>
      <c r="C11" s="8">
        <v>1</v>
      </c>
      <c r="D11" s="5" t="str">
        <f>VLOOKUP($C11,SkillEnum!$D$2:$E$10,2,FALSE)</f>
        <v>ST_PASSIVE_PHYSIC_ATTACK</v>
      </c>
      <c r="E11" s="8" t="str">
        <f>VLOOKUP($A11,SkillEnum!$A$2:$C$1020,3,FALSE)</f>
        <v>기초 근력단련</v>
      </c>
      <c r="F11" s="8" t="str">
        <f t="shared" si="0"/>
        <v>기본 물리 공격력이 150 증가 한다.</v>
      </c>
      <c r="G11" s="5">
        <v>10</v>
      </c>
      <c r="H11" s="5">
        <v>1</v>
      </c>
      <c r="I11" s="5">
        <v>0</v>
      </c>
      <c r="J11" s="5">
        <v>0</v>
      </c>
      <c r="K11" s="5">
        <v>0</v>
      </c>
      <c r="L11" s="5">
        <f t="shared" si="2"/>
        <v>150</v>
      </c>
      <c r="M11" s="5">
        <v>0</v>
      </c>
      <c r="N11" s="5">
        <v>0</v>
      </c>
      <c r="O11" s="5">
        <v>0</v>
      </c>
      <c r="P11" s="2" t="s">
        <v>432</v>
      </c>
      <c r="Q11" s="2" t="str">
        <f t="shared" si="1"/>
        <v>SI_P_COMMON_PHYSIC_ATTACK_BEGINNER</v>
      </c>
      <c r="R11" s="5" t="b">
        <v>0</v>
      </c>
      <c r="S11" s="2" t="b">
        <v>1</v>
      </c>
      <c r="T11" s="2">
        <v>0</v>
      </c>
      <c r="U11" s="2"/>
    </row>
    <row r="12" spans="1:27">
      <c r="A12" s="4">
        <v>2</v>
      </c>
      <c r="B12" s="7" t="str">
        <f>VLOOKUP($A12,SkillEnum!$A$2:$C$1020,2,FALSE)</f>
        <v>SI_P_COMMON_MAGIC_ATTACK_BEGINNER</v>
      </c>
      <c r="C12" s="7">
        <v>2</v>
      </c>
      <c r="D12" s="2" t="str">
        <f>VLOOKUP($C12,SkillEnum!$D$2:$E$10,2,FALSE)</f>
        <v>ST_PASSIVE_MAGIC_ATTACK</v>
      </c>
      <c r="E12" s="11" t="str">
        <f>VLOOKUP($A12,SkillEnum!$A$2:$C$1020,3,FALSE)</f>
        <v>기초 마법수련</v>
      </c>
      <c r="F12" s="7" t="str">
        <f t="shared" ref="F12:F21" si="3">"기본 마법 공격력이 "&amp;M12&amp;" 증가 한다."</f>
        <v>기본 마법 공격력이 15 증가 한다.</v>
      </c>
      <c r="G12" s="2">
        <v>1</v>
      </c>
      <c r="H12" s="2">
        <v>1</v>
      </c>
      <c r="I12" s="2">
        <v>0</v>
      </c>
      <c r="J12" s="2">
        <v>0</v>
      </c>
      <c r="K12" s="2">
        <v>0</v>
      </c>
      <c r="L12" s="2">
        <v>0</v>
      </c>
      <c r="M12" s="2">
        <v>15</v>
      </c>
      <c r="N12" s="2">
        <v>0</v>
      </c>
      <c r="O12" s="2">
        <v>0</v>
      </c>
      <c r="P12" s="2" t="s">
        <v>432</v>
      </c>
      <c r="Q12" s="2" t="str">
        <f t="shared" si="1"/>
        <v>SI_P_COMMON_MAGIC_ATTACK_BEGINNER</v>
      </c>
      <c r="R12" s="2" t="b">
        <v>0</v>
      </c>
      <c r="S12" s="2" t="b">
        <v>1</v>
      </c>
      <c r="T12" s="2">
        <v>0</v>
      </c>
    </row>
    <row r="13" spans="1:27">
      <c r="A13" s="4">
        <v>2</v>
      </c>
      <c r="B13" s="7" t="str">
        <f>VLOOKUP($A13,SkillEnum!$A$2:$C$1020,2,FALSE)</f>
        <v>SI_P_COMMON_MAGIC_ATTACK_BEGINNER</v>
      </c>
      <c r="C13" s="7">
        <v>2</v>
      </c>
      <c r="D13" s="2" t="str">
        <f>VLOOKUP($C13,SkillEnum!$D$2:$E$10,2,FALSE)</f>
        <v>ST_PASSIVE_MAGIC_ATTACK</v>
      </c>
      <c r="E13" s="7" t="str">
        <f>VLOOKUP($A13,SkillEnum!$A$2:$C$1020,3,FALSE)</f>
        <v>기초 마법수련</v>
      </c>
      <c r="F13" s="7" t="str">
        <f t="shared" si="3"/>
        <v>기본 마법 공격력이 30 증가 한다.</v>
      </c>
      <c r="G13" s="2">
        <v>2</v>
      </c>
      <c r="H13" s="2">
        <v>1</v>
      </c>
      <c r="I13" s="2">
        <v>0</v>
      </c>
      <c r="J13" s="2">
        <v>0</v>
      </c>
      <c r="K13" s="2">
        <v>0</v>
      </c>
      <c r="L13" s="2">
        <v>0</v>
      </c>
      <c r="M13" s="2">
        <f>M12+15</f>
        <v>30</v>
      </c>
      <c r="N13" s="2">
        <v>0</v>
      </c>
      <c r="O13" s="2">
        <v>0</v>
      </c>
      <c r="P13" s="2" t="s">
        <v>432</v>
      </c>
      <c r="Q13" s="2" t="str">
        <f t="shared" si="1"/>
        <v>SI_P_COMMON_MAGIC_ATTACK_BEGINNER</v>
      </c>
      <c r="R13" s="2" t="b">
        <v>0</v>
      </c>
      <c r="S13" s="2" t="b">
        <v>1</v>
      </c>
      <c r="T13" s="2">
        <v>0</v>
      </c>
    </row>
    <row r="14" spans="1:27">
      <c r="A14" s="4">
        <v>2</v>
      </c>
      <c r="B14" s="7" t="str">
        <f>VLOOKUP($A14,SkillEnum!$A$2:$C$1020,2,FALSE)</f>
        <v>SI_P_COMMON_MAGIC_ATTACK_BEGINNER</v>
      </c>
      <c r="C14" s="7">
        <v>2</v>
      </c>
      <c r="D14" s="2" t="str">
        <f>VLOOKUP($C14,SkillEnum!$D$2:$E$10,2,FALSE)</f>
        <v>ST_PASSIVE_MAGIC_ATTACK</v>
      </c>
      <c r="E14" s="7" t="str">
        <f>VLOOKUP($A14,SkillEnum!$A$2:$C$1020,3,FALSE)</f>
        <v>기초 마법수련</v>
      </c>
      <c r="F14" s="7" t="str">
        <f t="shared" si="3"/>
        <v>기본 마법 공격력이 45 증가 한다.</v>
      </c>
      <c r="G14" s="2">
        <v>3</v>
      </c>
      <c r="H14" s="2">
        <v>1</v>
      </c>
      <c r="I14" s="2">
        <v>0</v>
      </c>
      <c r="J14" s="2">
        <v>0</v>
      </c>
      <c r="K14" s="2">
        <v>0</v>
      </c>
      <c r="L14" s="2">
        <v>0</v>
      </c>
      <c r="M14" s="2">
        <f t="shared" ref="M14:M21" si="4">M13+15</f>
        <v>45</v>
      </c>
      <c r="N14" s="2">
        <v>0</v>
      </c>
      <c r="O14" s="2">
        <v>0</v>
      </c>
      <c r="P14" s="2" t="s">
        <v>432</v>
      </c>
      <c r="Q14" s="2" t="str">
        <f t="shared" si="1"/>
        <v>SI_P_COMMON_MAGIC_ATTACK_BEGINNER</v>
      </c>
      <c r="R14" s="2" t="b">
        <v>0</v>
      </c>
      <c r="S14" s="2" t="b">
        <v>1</v>
      </c>
      <c r="T14" s="2">
        <v>0</v>
      </c>
    </row>
    <row r="15" spans="1:27">
      <c r="A15" s="4">
        <v>2</v>
      </c>
      <c r="B15" s="7" t="str">
        <f>VLOOKUP($A15,SkillEnum!$A$2:$C$1020,2,FALSE)</f>
        <v>SI_P_COMMON_MAGIC_ATTACK_BEGINNER</v>
      </c>
      <c r="C15" s="7">
        <v>2</v>
      </c>
      <c r="D15" s="2" t="str">
        <f>VLOOKUP($C15,SkillEnum!$D$2:$E$10,2,FALSE)</f>
        <v>ST_PASSIVE_MAGIC_ATTACK</v>
      </c>
      <c r="E15" s="7" t="str">
        <f>VLOOKUP($A15,SkillEnum!$A$2:$C$1020,3,FALSE)</f>
        <v>기초 마법수련</v>
      </c>
      <c r="F15" s="7" t="str">
        <f t="shared" si="3"/>
        <v>기본 마법 공격력이 60 증가 한다.</v>
      </c>
      <c r="G15" s="2">
        <v>4</v>
      </c>
      <c r="H15" s="2">
        <v>1</v>
      </c>
      <c r="I15" s="2">
        <v>0</v>
      </c>
      <c r="J15" s="2">
        <v>0</v>
      </c>
      <c r="K15" s="2">
        <v>0</v>
      </c>
      <c r="L15" s="2">
        <v>0</v>
      </c>
      <c r="M15" s="2">
        <f t="shared" si="4"/>
        <v>60</v>
      </c>
      <c r="N15" s="2">
        <v>0</v>
      </c>
      <c r="O15" s="2">
        <v>0</v>
      </c>
      <c r="P15" s="2" t="s">
        <v>432</v>
      </c>
      <c r="Q15" s="2" t="str">
        <f t="shared" si="1"/>
        <v>SI_P_COMMON_MAGIC_ATTACK_BEGINNER</v>
      </c>
      <c r="R15" s="2" t="b">
        <v>0</v>
      </c>
      <c r="S15" s="2" t="b">
        <v>1</v>
      </c>
      <c r="T15" s="2">
        <v>0</v>
      </c>
    </row>
    <row r="16" spans="1:27">
      <c r="A16" s="4">
        <v>2</v>
      </c>
      <c r="B16" s="7" t="str">
        <f>VLOOKUP($A16,SkillEnum!$A$2:$C$1020,2,FALSE)</f>
        <v>SI_P_COMMON_MAGIC_ATTACK_BEGINNER</v>
      </c>
      <c r="C16" s="7">
        <v>2</v>
      </c>
      <c r="D16" s="2" t="str">
        <f>VLOOKUP($C16,SkillEnum!$D$2:$E$10,2,FALSE)</f>
        <v>ST_PASSIVE_MAGIC_ATTACK</v>
      </c>
      <c r="E16" s="7" t="str">
        <f>VLOOKUP($A16,SkillEnum!$A$2:$C$1020,3,FALSE)</f>
        <v>기초 마법수련</v>
      </c>
      <c r="F16" s="7" t="str">
        <f t="shared" si="3"/>
        <v>기본 마법 공격력이 75 증가 한다.</v>
      </c>
      <c r="G16" s="2">
        <v>5</v>
      </c>
      <c r="H16" s="2">
        <v>1</v>
      </c>
      <c r="I16" s="2">
        <v>0</v>
      </c>
      <c r="J16" s="2">
        <v>0</v>
      </c>
      <c r="K16" s="2">
        <v>0</v>
      </c>
      <c r="L16" s="2">
        <v>0</v>
      </c>
      <c r="M16" s="2">
        <f t="shared" si="4"/>
        <v>75</v>
      </c>
      <c r="N16" s="2">
        <v>0</v>
      </c>
      <c r="O16" s="2">
        <v>0</v>
      </c>
      <c r="P16" s="2" t="s">
        <v>432</v>
      </c>
      <c r="Q16" s="2" t="str">
        <f t="shared" si="1"/>
        <v>SI_P_COMMON_MAGIC_ATTACK_BEGINNER</v>
      </c>
      <c r="R16" s="2" t="b">
        <v>0</v>
      </c>
      <c r="S16" s="2" t="b">
        <v>1</v>
      </c>
      <c r="T16" s="2">
        <v>0</v>
      </c>
    </row>
    <row r="17" spans="1:21">
      <c r="A17" s="4">
        <v>2</v>
      </c>
      <c r="B17" s="7" t="str">
        <f>VLOOKUP($A17,SkillEnum!$A$2:$C$1020,2,FALSE)</f>
        <v>SI_P_COMMON_MAGIC_ATTACK_BEGINNER</v>
      </c>
      <c r="C17" s="7">
        <v>2</v>
      </c>
      <c r="D17" s="2" t="str">
        <f>VLOOKUP($C17,SkillEnum!$D$2:$E$10,2,FALSE)</f>
        <v>ST_PASSIVE_MAGIC_ATTACK</v>
      </c>
      <c r="E17" s="7" t="str">
        <f>VLOOKUP($A17,SkillEnum!$A$2:$C$1020,3,FALSE)</f>
        <v>기초 마법수련</v>
      </c>
      <c r="F17" s="7" t="str">
        <f t="shared" si="3"/>
        <v>기본 마법 공격력이 90 증가 한다.</v>
      </c>
      <c r="G17" s="2">
        <v>6</v>
      </c>
      <c r="H17" s="2">
        <v>1</v>
      </c>
      <c r="I17" s="2">
        <v>0</v>
      </c>
      <c r="J17" s="2">
        <v>0</v>
      </c>
      <c r="K17" s="2">
        <v>0</v>
      </c>
      <c r="L17" s="2">
        <v>0</v>
      </c>
      <c r="M17" s="2">
        <f t="shared" si="4"/>
        <v>90</v>
      </c>
      <c r="N17" s="2">
        <v>0</v>
      </c>
      <c r="O17" s="2">
        <v>0</v>
      </c>
      <c r="P17" s="2" t="s">
        <v>432</v>
      </c>
      <c r="Q17" s="2" t="str">
        <f t="shared" si="1"/>
        <v>SI_P_COMMON_MAGIC_ATTACK_BEGINNER</v>
      </c>
      <c r="R17" s="2" t="b">
        <v>0</v>
      </c>
      <c r="S17" s="2" t="b">
        <v>1</v>
      </c>
      <c r="T17" s="2">
        <v>0</v>
      </c>
    </row>
    <row r="18" spans="1:21">
      <c r="A18" s="4">
        <v>2</v>
      </c>
      <c r="B18" s="7" t="str">
        <f>VLOOKUP($A18,SkillEnum!$A$2:$C$1020,2,FALSE)</f>
        <v>SI_P_COMMON_MAGIC_ATTACK_BEGINNER</v>
      </c>
      <c r="C18" s="7">
        <v>2</v>
      </c>
      <c r="D18" s="2" t="str">
        <f>VLOOKUP($C18,SkillEnum!$D$2:$E$10,2,FALSE)</f>
        <v>ST_PASSIVE_MAGIC_ATTACK</v>
      </c>
      <c r="E18" s="7" t="str">
        <f>VLOOKUP($A18,SkillEnum!$A$2:$C$1020,3,FALSE)</f>
        <v>기초 마법수련</v>
      </c>
      <c r="F18" s="7" t="str">
        <f t="shared" si="3"/>
        <v>기본 마법 공격력이 105 증가 한다.</v>
      </c>
      <c r="G18" s="2">
        <v>7</v>
      </c>
      <c r="H18" s="2">
        <v>1</v>
      </c>
      <c r="I18" s="2">
        <v>0</v>
      </c>
      <c r="J18" s="2">
        <v>0</v>
      </c>
      <c r="K18" s="2">
        <v>0</v>
      </c>
      <c r="L18" s="2">
        <v>0</v>
      </c>
      <c r="M18" s="2">
        <f t="shared" si="4"/>
        <v>105</v>
      </c>
      <c r="N18" s="2">
        <v>0</v>
      </c>
      <c r="O18" s="2">
        <v>0</v>
      </c>
      <c r="P18" s="2" t="s">
        <v>432</v>
      </c>
      <c r="Q18" s="2" t="str">
        <f t="shared" si="1"/>
        <v>SI_P_COMMON_MAGIC_ATTACK_BEGINNER</v>
      </c>
      <c r="R18" s="2" t="b">
        <v>0</v>
      </c>
      <c r="S18" s="2" t="b">
        <v>1</v>
      </c>
      <c r="T18" s="2">
        <v>0</v>
      </c>
    </row>
    <row r="19" spans="1:21">
      <c r="A19" s="4">
        <v>2</v>
      </c>
      <c r="B19" s="7" t="str">
        <f>VLOOKUP($A19,SkillEnum!$A$2:$C$1020,2,FALSE)</f>
        <v>SI_P_COMMON_MAGIC_ATTACK_BEGINNER</v>
      </c>
      <c r="C19" s="7">
        <v>2</v>
      </c>
      <c r="D19" s="2" t="str">
        <f>VLOOKUP($C19,SkillEnum!$D$2:$E$10,2,FALSE)</f>
        <v>ST_PASSIVE_MAGIC_ATTACK</v>
      </c>
      <c r="E19" s="7" t="str">
        <f>VLOOKUP($A19,SkillEnum!$A$2:$C$1020,3,FALSE)</f>
        <v>기초 마법수련</v>
      </c>
      <c r="F19" s="7" t="str">
        <f t="shared" si="3"/>
        <v>기본 마법 공격력이 120 증가 한다.</v>
      </c>
      <c r="G19" s="2">
        <v>8</v>
      </c>
      <c r="H19" s="2">
        <v>1</v>
      </c>
      <c r="I19" s="2">
        <v>0</v>
      </c>
      <c r="J19" s="2">
        <v>0</v>
      </c>
      <c r="K19" s="2">
        <v>0</v>
      </c>
      <c r="L19" s="2">
        <v>0</v>
      </c>
      <c r="M19" s="2">
        <f t="shared" si="4"/>
        <v>120</v>
      </c>
      <c r="N19" s="2">
        <v>0</v>
      </c>
      <c r="O19" s="2">
        <v>0</v>
      </c>
      <c r="P19" s="2" t="s">
        <v>432</v>
      </c>
      <c r="Q19" s="2" t="str">
        <f t="shared" si="1"/>
        <v>SI_P_COMMON_MAGIC_ATTACK_BEGINNER</v>
      </c>
      <c r="R19" s="2" t="b">
        <v>0</v>
      </c>
      <c r="S19" s="2" t="b">
        <v>1</v>
      </c>
      <c r="T19" s="2">
        <v>0</v>
      </c>
    </row>
    <row r="20" spans="1:21">
      <c r="A20" s="4">
        <v>2</v>
      </c>
      <c r="B20" s="7" t="str">
        <f>VLOOKUP($A20,SkillEnum!$A$2:$C$1020,2,FALSE)</f>
        <v>SI_P_COMMON_MAGIC_ATTACK_BEGINNER</v>
      </c>
      <c r="C20" s="7">
        <v>2</v>
      </c>
      <c r="D20" s="2" t="str">
        <f>VLOOKUP($C20,SkillEnum!$D$2:$E$10,2,FALSE)</f>
        <v>ST_PASSIVE_MAGIC_ATTACK</v>
      </c>
      <c r="E20" s="7" t="str">
        <f>VLOOKUP($A20,SkillEnum!$A$2:$C$1020,3,FALSE)</f>
        <v>기초 마법수련</v>
      </c>
      <c r="F20" s="7" t="str">
        <f t="shared" si="3"/>
        <v>기본 마법 공격력이 135 증가 한다.</v>
      </c>
      <c r="G20" s="2">
        <v>9</v>
      </c>
      <c r="H20" s="2">
        <v>1</v>
      </c>
      <c r="I20" s="2">
        <v>0</v>
      </c>
      <c r="J20" s="2">
        <v>0</v>
      </c>
      <c r="K20" s="2">
        <v>0</v>
      </c>
      <c r="L20" s="2">
        <v>0</v>
      </c>
      <c r="M20" s="2">
        <f t="shared" si="4"/>
        <v>135</v>
      </c>
      <c r="N20" s="2">
        <v>0</v>
      </c>
      <c r="O20" s="2">
        <v>0</v>
      </c>
      <c r="P20" s="2" t="s">
        <v>432</v>
      </c>
      <c r="Q20" s="2" t="str">
        <f t="shared" si="1"/>
        <v>SI_P_COMMON_MAGIC_ATTACK_BEGINNER</v>
      </c>
      <c r="R20" s="2" t="b">
        <v>0</v>
      </c>
      <c r="S20" s="2" t="b">
        <v>1</v>
      </c>
      <c r="T20" s="2">
        <v>0</v>
      </c>
    </row>
    <row r="21" spans="1:21" s="5" customFormat="1">
      <c r="A21" s="6">
        <v>2</v>
      </c>
      <c r="B21" s="8" t="str">
        <f>VLOOKUP($A21,SkillEnum!$A$2:$C$1020,2,FALSE)</f>
        <v>SI_P_COMMON_MAGIC_ATTACK_BEGINNER</v>
      </c>
      <c r="C21" s="8">
        <v>2</v>
      </c>
      <c r="D21" s="5" t="str">
        <f>VLOOKUP($C21,SkillEnum!$D$2:$E$10,2,FALSE)</f>
        <v>ST_PASSIVE_MAGIC_ATTACK</v>
      </c>
      <c r="E21" s="8" t="str">
        <f>VLOOKUP($A21,SkillEnum!$A$2:$C$1020,3,FALSE)</f>
        <v>기초 마법수련</v>
      </c>
      <c r="F21" s="8" t="str">
        <f t="shared" si="3"/>
        <v>기본 마법 공격력이 150 증가 한다.</v>
      </c>
      <c r="G21" s="5">
        <v>10</v>
      </c>
      <c r="H21" s="5">
        <v>1</v>
      </c>
      <c r="I21" s="5">
        <v>0</v>
      </c>
      <c r="J21" s="5">
        <v>0</v>
      </c>
      <c r="K21" s="5">
        <v>0</v>
      </c>
      <c r="L21" s="5">
        <v>0</v>
      </c>
      <c r="M21" s="5">
        <f t="shared" si="4"/>
        <v>150</v>
      </c>
      <c r="N21" s="5">
        <v>0</v>
      </c>
      <c r="O21" s="5">
        <v>0</v>
      </c>
      <c r="P21" s="2" t="s">
        <v>432</v>
      </c>
      <c r="Q21" s="2" t="str">
        <f t="shared" si="1"/>
        <v>SI_P_COMMON_MAGIC_ATTACK_BEGINNER</v>
      </c>
      <c r="R21" s="5" t="b">
        <v>0</v>
      </c>
      <c r="S21" s="2" t="b">
        <v>1</v>
      </c>
      <c r="T21" s="2">
        <v>0</v>
      </c>
      <c r="U21" s="2"/>
    </row>
    <row r="22" spans="1:21" s="10" customFormat="1">
      <c r="A22" s="9">
        <v>3</v>
      </c>
      <c r="B22" s="11" t="str">
        <f>VLOOKUP($A22,SkillEnum!$A$2:$C$1020,2,FALSE)</f>
        <v>SI_P_COMMON_PHYSIC_DEFENCE_BEGINNER</v>
      </c>
      <c r="C22" s="11">
        <v>4</v>
      </c>
      <c r="D22" s="10" t="str">
        <f>VLOOKUP($C22,SkillEnum!$D$2:$E$10,2,FALSE)</f>
        <v>ST_PASSIVE_PHYSIC_DEFENCE</v>
      </c>
      <c r="E22" s="11" t="str">
        <f>VLOOKUP($A22,SkillEnum!$A$2:$C$1020,3,FALSE)</f>
        <v>기초 물리방어술</v>
      </c>
      <c r="F22" s="7" t="str">
        <f t="shared" ref="F22:F31" si="5">"기본 물리 방어력이 "&amp;N22&amp;" 증가 한다."</f>
        <v>기본 물리 방어력이 5 증가 한다.</v>
      </c>
      <c r="G22" s="10">
        <v>1</v>
      </c>
      <c r="H22" s="2">
        <v>1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5</v>
      </c>
      <c r="O22" s="10">
        <v>0</v>
      </c>
      <c r="P22" s="2" t="s">
        <v>432</v>
      </c>
      <c r="Q22" s="2" t="str">
        <f t="shared" si="1"/>
        <v>SI_P_COMMON_PHYSIC_DEFENCE_BEGINNER</v>
      </c>
      <c r="R22" s="10" t="b">
        <v>0</v>
      </c>
      <c r="S22" s="2" t="b">
        <v>1</v>
      </c>
      <c r="T22" s="2">
        <v>0</v>
      </c>
      <c r="U22" s="2"/>
    </row>
    <row r="23" spans="1:21">
      <c r="A23" s="4">
        <v>3</v>
      </c>
      <c r="B23" s="7" t="str">
        <f>VLOOKUP($A23,SkillEnum!$A$2:$C$1020,2,FALSE)</f>
        <v>SI_P_COMMON_PHYSIC_DEFENCE_BEGINNER</v>
      </c>
      <c r="C23" s="7">
        <v>4</v>
      </c>
      <c r="D23" s="2" t="str">
        <f>VLOOKUP($C23,SkillEnum!$D$2:$E$10,2,FALSE)</f>
        <v>ST_PASSIVE_PHYSIC_DEFENCE</v>
      </c>
      <c r="E23" s="7" t="str">
        <f>VLOOKUP($A23,SkillEnum!$A$2:$C$1020,3,FALSE)</f>
        <v>기초 물리방어술</v>
      </c>
      <c r="F23" s="7" t="str">
        <f t="shared" si="5"/>
        <v>기본 물리 방어력이 10 증가 한다.</v>
      </c>
      <c r="G23" s="2">
        <v>2</v>
      </c>
      <c r="H23" s="2">
        <v>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f>N22+5</f>
        <v>10</v>
      </c>
      <c r="O23" s="2">
        <v>0</v>
      </c>
      <c r="P23" s="2" t="s">
        <v>432</v>
      </c>
      <c r="Q23" s="2" t="str">
        <f t="shared" si="1"/>
        <v>SI_P_COMMON_PHYSIC_DEFENCE_BEGINNER</v>
      </c>
      <c r="R23" s="2" t="b">
        <v>0</v>
      </c>
      <c r="S23" s="2" t="b">
        <v>1</v>
      </c>
      <c r="T23" s="2">
        <v>0</v>
      </c>
    </row>
    <row r="24" spans="1:21">
      <c r="A24" s="4">
        <v>3</v>
      </c>
      <c r="B24" s="7" t="str">
        <f>VLOOKUP($A24,SkillEnum!$A$2:$C$1020,2,FALSE)</f>
        <v>SI_P_COMMON_PHYSIC_DEFENCE_BEGINNER</v>
      </c>
      <c r="C24" s="7">
        <v>4</v>
      </c>
      <c r="D24" s="2" t="str">
        <f>VLOOKUP($C24,SkillEnum!$D$2:$E$10,2,FALSE)</f>
        <v>ST_PASSIVE_PHYSIC_DEFENCE</v>
      </c>
      <c r="E24" s="7" t="str">
        <f>VLOOKUP($A24,SkillEnum!$A$2:$C$1020,3,FALSE)</f>
        <v>기초 물리방어술</v>
      </c>
      <c r="F24" s="7" t="str">
        <f t="shared" si="5"/>
        <v>기본 물리 방어력이 15 증가 한다.</v>
      </c>
      <c r="G24" s="2">
        <v>3</v>
      </c>
      <c r="H24" s="2">
        <v>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f t="shared" ref="N24:N31" si="6">N23+5</f>
        <v>15</v>
      </c>
      <c r="O24" s="2">
        <v>0</v>
      </c>
      <c r="P24" s="2" t="s">
        <v>432</v>
      </c>
      <c r="Q24" s="2" t="str">
        <f t="shared" si="1"/>
        <v>SI_P_COMMON_PHYSIC_DEFENCE_BEGINNER</v>
      </c>
      <c r="R24" s="2" t="b">
        <v>0</v>
      </c>
      <c r="S24" s="2" t="b">
        <v>1</v>
      </c>
      <c r="T24" s="2">
        <v>0</v>
      </c>
    </row>
    <row r="25" spans="1:21">
      <c r="A25" s="4">
        <v>3</v>
      </c>
      <c r="B25" s="7" t="str">
        <f>VLOOKUP($A25,SkillEnum!$A$2:$C$1020,2,FALSE)</f>
        <v>SI_P_COMMON_PHYSIC_DEFENCE_BEGINNER</v>
      </c>
      <c r="C25" s="7">
        <v>4</v>
      </c>
      <c r="D25" s="2" t="str">
        <f>VLOOKUP($C25,SkillEnum!$D$2:$E$10,2,FALSE)</f>
        <v>ST_PASSIVE_PHYSIC_DEFENCE</v>
      </c>
      <c r="E25" s="7" t="str">
        <f>VLOOKUP($A25,SkillEnum!$A$2:$C$1020,3,FALSE)</f>
        <v>기초 물리방어술</v>
      </c>
      <c r="F25" s="7" t="str">
        <f t="shared" si="5"/>
        <v>기본 물리 방어력이 20 증가 한다.</v>
      </c>
      <c r="G25" s="2">
        <v>4</v>
      </c>
      <c r="H25" s="2">
        <v>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f t="shared" si="6"/>
        <v>20</v>
      </c>
      <c r="O25" s="2">
        <v>0</v>
      </c>
      <c r="P25" s="2" t="s">
        <v>432</v>
      </c>
      <c r="Q25" s="2" t="str">
        <f t="shared" si="1"/>
        <v>SI_P_COMMON_PHYSIC_DEFENCE_BEGINNER</v>
      </c>
      <c r="R25" s="2" t="b">
        <v>0</v>
      </c>
      <c r="S25" s="2" t="b">
        <v>1</v>
      </c>
      <c r="T25" s="2">
        <v>0</v>
      </c>
    </row>
    <row r="26" spans="1:21">
      <c r="A26" s="4">
        <v>3</v>
      </c>
      <c r="B26" s="7" t="str">
        <f>VLOOKUP($A26,SkillEnum!$A$2:$C$1020,2,FALSE)</f>
        <v>SI_P_COMMON_PHYSIC_DEFENCE_BEGINNER</v>
      </c>
      <c r="C26" s="7">
        <v>4</v>
      </c>
      <c r="D26" s="2" t="str">
        <f>VLOOKUP($C26,SkillEnum!$D$2:$E$10,2,FALSE)</f>
        <v>ST_PASSIVE_PHYSIC_DEFENCE</v>
      </c>
      <c r="E26" s="7" t="str">
        <f>VLOOKUP($A26,SkillEnum!$A$2:$C$1020,3,FALSE)</f>
        <v>기초 물리방어술</v>
      </c>
      <c r="F26" s="7" t="str">
        <f t="shared" si="5"/>
        <v>기본 물리 방어력이 25 증가 한다.</v>
      </c>
      <c r="G26" s="2">
        <v>5</v>
      </c>
      <c r="H26" s="2">
        <v>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f t="shared" si="6"/>
        <v>25</v>
      </c>
      <c r="O26" s="2">
        <v>0</v>
      </c>
      <c r="P26" s="2" t="s">
        <v>432</v>
      </c>
      <c r="Q26" s="2" t="str">
        <f t="shared" si="1"/>
        <v>SI_P_COMMON_PHYSIC_DEFENCE_BEGINNER</v>
      </c>
      <c r="R26" s="2" t="b">
        <v>0</v>
      </c>
      <c r="S26" s="2" t="b">
        <v>1</v>
      </c>
      <c r="T26" s="2">
        <v>0</v>
      </c>
    </row>
    <row r="27" spans="1:21">
      <c r="A27" s="4">
        <v>3</v>
      </c>
      <c r="B27" s="7" t="str">
        <f>VLOOKUP($A27,SkillEnum!$A$2:$C$1020,2,FALSE)</f>
        <v>SI_P_COMMON_PHYSIC_DEFENCE_BEGINNER</v>
      </c>
      <c r="C27" s="7">
        <v>4</v>
      </c>
      <c r="D27" s="2" t="str">
        <f>VLOOKUP($C27,SkillEnum!$D$2:$E$10,2,FALSE)</f>
        <v>ST_PASSIVE_PHYSIC_DEFENCE</v>
      </c>
      <c r="E27" s="7" t="str">
        <f>VLOOKUP($A27,SkillEnum!$A$2:$C$1020,3,FALSE)</f>
        <v>기초 물리방어술</v>
      </c>
      <c r="F27" s="7" t="str">
        <f t="shared" si="5"/>
        <v>기본 물리 방어력이 30 증가 한다.</v>
      </c>
      <c r="G27" s="2">
        <v>6</v>
      </c>
      <c r="H27" s="2">
        <v>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f t="shared" si="6"/>
        <v>30</v>
      </c>
      <c r="O27" s="2">
        <v>0</v>
      </c>
      <c r="P27" s="2" t="s">
        <v>432</v>
      </c>
      <c r="Q27" s="2" t="str">
        <f t="shared" si="1"/>
        <v>SI_P_COMMON_PHYSIC_DEFENCE_BEGINNER</v>
      </c>
      <c r="R27" s="2" t="b">
        <v>0</v>
      </c>
      <c r="S27" s="2" t="b">
        <v>1</v>
      </c>
      <c r="T27" s="2">
        <v>0</v>
      </c>
    </row>
    <row r="28" spans="1:21">
      <c r="A28" s="4">
        <v>3</v>
      </c>
      <c r="B28" s="7" t="str">
        <f>VLOOKUP($A28,SkillEnum!$A$2:$C$1020,2,FALSE)</f>
        <v>SI_P_COMMON_PHYSIC_DEFENCE_BEGINNER</v>
      </c>
      <c r="C28" s="7">
        <v>4</v>
      </c>
      <c r="D28" s="2" t="str">
        <f>VLOOKUP($C28,SkillEnum!$D$2:$E$10,2,FALSE)</f>
        <v>ST_PASSIVE_PHYSIC_DEFENCE</v>
      </c>
      <c r="E28" s="7" t="str">
        <f>VLOOKUP($A28,SkillEnum!$A$2:$C$1020,3,FALSE)</f>
        <v>기초 물리방어술</v>
      </c>
      <c r="F28" s="7" t="str">
        <f t="shared" si="5"/>
        <v>기본 물리 방어력이 35 증가 한다.</v>
      </c>
      <c r="G28" s="2">
        <v>7</v>
      </c>
      <c r="H28" s="2">
        <v>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f t="shared" si="6"/>
        <v>35</v>
      </c>
      <c r="O28" s="2">
        <v>0</v>
      </c>
      <c r="P28" s="2" t="s">
        <v>432</v>
      </c>
      <c r="Q28" s="2" t="str">
        <f t="shared" si="1"/>
        <v>SI_P_COMMON_PHYSIC_DEFENCE_BEGINNER</v>
      </c>
      <c r="R28" s="2" t="b">
        <v>0</v>
      </c>
      <c r="S28" s="2" t="b">
        <v>1</v>
      </c>
      <c r="T28" s="2">
        <v>0</v>
      </c>
    </row>
    <row r="29" spans="1:21">
      <c r="A29" s="4">
        <v>3</v>
      </c>
      <c r="B29" s="7" t="str">
        <f>VLOOKUP($A29,SkillEnum!$A$2:$C$1020,2,FALSE)</f>
        <v>SI_P_COMMON_PHYSIC_DEFENCE_BEGINNER</v>
      </c>
      <c r="C29" s="7">
        <v>4</v>
      </c>
      <c r="D29" s="2" t="str">
        <f>VLOOKUP($C29,SkillEnum!$D$2:$E$10,2,FALSE)</f>
        <v>ST_PASSIVE_PHYSIC_DEFENCE</v>
      </c>
      <c r="E29" s="7" t="str">
        <f>VLOOKUP($A29,SkillEnum!$A$2:$C$1020,3,FALSE)</f>
        <v>기초 물리방어술</v>
      </c>
      <c r="F29" s="7" t="str">
        <f t="shared" si="5"/>
        <v>기본 물리 방어력이 40 증가 한다.</v>
      </c>
      <c r="G29" s="2">
        <v>8</v>
      </c>
      <c r="H29" s="2">
        <v>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f t="shared" si="6"/>
        <v>40</v>
      </c>
      <c r="O29" s="2">
        <v>0</v>
      </c>
      <c r="P29" s="2" t="s">
        <v>432</v>
      </c>
      <c r="Q29" s="2" t="str">
        <f t="shared" si="1"/>
        <v>SI_P_COMMON_PHYSIC_DEFENCE_BEGINNER</v>
      </c>
      <c r="R29" s="2" t="b">
        <v>0</v>
      </c>
      <c r="S29" s="2" t="b">
        <v>1</v>
      </c>
      <c r="T29" s="2">
        <v>0</v>
      </c>
    </row>
    <row r="30" spans="1:21">
      <c r="A30" s="4">
        <v>3</v>
      </c>
      <c r="B30" s="7" t="str">
        <f>VLOOKUP($A30,SkillEnum!$A$2:$C$1020,2,FALSE)</f>
        <v>SI_P_COMMON_PHYSIC_DEFENCE_BEGINNER</v>
      </c>
      <c r="C30" s="7">
        <v>4</v>
      </c>
      <c r="D30" s="2" t="str">
        <f>VLOOKUP($C30,SkillEnum!$D$2:$E$10,2,FALSE)</f>
        <v>ST_PASSIVE_PHYSIC_DEFENCE</v>
      </c>
      <c r="E30" s="7" t="str">
        <f>VLOOKUP($A30,SkillEnum!$A$2:$C$1020,3,FALSE)</f>
        <v>기초 물리방어술</v>
      </c>
      <c r="F30" s="7" t="str">
        <f t="shared" si="5"/>
        <v>기본 물리 방어력이 45 증가 한다.</v>
      </c>
      <c r="G30" s="2">
        <v>9</v>
      </c>
      <c r="H30" s="2">
        <v>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f t="shared" si="6"/>
        <v>45</v>
      </c>
      <c r="O30" s="2">
        <v>0</v>
      </c>
      <c r="P30" s="2" t="s">
        <v>432</v>
      </c>
      <c r="Q30" s="2" t="str">
        <f t="shared" si="1"/>
        <v>SI_P_COMMON_PHYSIC_DEFENCE_BEGINNER</v>
      </c>
      <c r="R30" s="2" t="b">
        <v>0</v>
      </c>
      <c r="S30" s="2" t="b">
        <v>1</v>
      </c>
      <c r="T30" s="2">
        <v>0</v>
      </c>
    </row>
    <row r="31" spans="1:21" s="5" customFormat="1">
      <c r="A31" s="6">
        <v>3</v>
      </c>
      <c r="B31" s="8" t="str">
        <f>VLOOKUP($A31,SkillEnum!$A$2:$C$1020,2,FALSE)</f>
        <v>SI_P_COMMON_PHYSIC_DEFENCE_BEGINNER</v>
      </c>
      <c r="C31" s="8">
        <v>4</v>
      </c>
      <c r="D31" s="5" t="str">
        <f>VLOOKUP($C31,SkillEnum!$D$2:$E$10,2,FALSE)</f>
        <v>ST_PASSIVE_PHYSIC_DEFENCE</v>
      </c>
      <c r="E31" s="8" t="str">
        <f>VLOOKUP($A31,SkillEnum!$A$2:$C$1020,3,FALSE)</f>
        <v>기초 물리방어술</v>
      </c>
      <c r="F31" s="8" t="str">
        <f t="shared" si="5"/>
        <v>기본 물리 방어력이 50 증가 한다.</v>
      </c>
      <c r="G31" s="5">
        <v>10</v>
      </c>
      <c r="H31" s="5">
        <v>1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f t="shared" si="6"/>
        <v>50</v>
      </c>
      <c r="O31" s="5">
        <v>0</v>
      </c>
      <c r="P31" s="2" t="s">
        <v>432</v>
      </c>
      <c r="Q31" s="2" t="str">
        <f t="shared" si="1"/>
        <v>SI_P_COMMON_PHYSIC_DEFENCE_BEGINNER</v>
      </c>
      <c r="R31" s="5" t="b">
        <v>0</v>
      </c>
      <c r="S31" s="2" t="b">
        <v>1</v>
      </c>
      <c r="T31" s="2">
        <v>0</v>
      </c>
      <c r="U31" s="2"/>
    </row>
    <row r="32" spans="1:21" s="10" customFormat="1">
      <c r="A32" s="9">
        <v>4</v>
      </c>
      <c r="B32" s="11" t="str">
        <f>VLOOKUP($A32,SkillEnum!$A$2:$C$1020,2,FALSE)</f>
        <v>SI_P_COMMON_MAGIC_DEFENCE_BEGINNER</v>
      </c>
      <c r="C32" s="11">
        <v>3</v>
      </c>
      <c r="D32" s="10" t="str">
        <f>VLOOKUP($C32,SkillEnum!$D$2:$E$10,2,FALSE)</f>
        <v>ST_PASSIVE_MAGIC_DEFENCE</v>
      </c>
      <c r="E32" s="11" t="str">
        <f>VLOOKUP($A32,SkillEnum!$A$2:$C$1020,3,FALSE)</f>
        <v>기초 마법방어술</v>
      </c>
      <c r="F32" s="11" t="str">
        <f t="shared" ref="F32:F41" si="7">"기본 마법 방어력이 "&amp;O32&amp;" 증가 한다."</f>
        <v>기본 마법 방어력이 5 증가 한다.</v>
      </c>
      <c r="G32" s="10">
        <v>1</v>
      </c>
      <c r="H32" s="2">
        <v>1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5</v>
      </c>
      <c r="P32" s="2" t="s">
        <v>432</v>
      </c>
      <c r="Q32" s="2" t="str">
        <f t="shared" si="1"/>
        <v>SI_P_COMMON_MAGIC_DEFENCE_BEGINNER</v>
      </c>
      <c r="R32" s="10" t="b">
        <v>0</v>
      </c>
      <c r="S32" s="2" t="b">
        <v>1</v>
      </c>
      <c r="T32" s="2">
        <v>0</v>
      </c>
      <c r="U32" s="2"/>
    </row>
    <row r="33" spans="1:21">
      <c r="A33" s="4">
        <v>4</v>
      </c>
      <c r="B33" s="7" t="str">
        <f>VLOOKUP($A33,SkillEnum!$A$2:$C$1020,2,FALSE)</f>
        <v>SI_P_COMMON_MAGIC_DEFENCE_BEGINNER</v>
      </c>
      <c r="C33" s="7">
        <v>3</v>
      </c>
      <c r="D33" s="2" t="str">
        <f>VLOOKUP($C33,SkillEnum!$D$2:$E$10,2,FALSE)</f>
        <v>ST_PASSIVE_MAGIC_DEFENCE</v>
      </c>
      <c r="E33" s="7" t="str">
        <f>VLOOKUP($A33,SkillEnum!$A$2:$C$1020,3,FALSE)</f>
        <v>기초 마법방어술</v>
      </c>
      <c r="F33" s="7" t="str">
        <f t="shared" si="7"/>
        <v>기본 마법 방어력이 10 증가 한다.</v>
      </c>
      <c r="G33" s="2">
        <v>2</v>
      </c>
      <c r="H33" s="2">
        <v>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f>O32+5</f>
        <v>10</v>
      </c>
      <c r="P33" s="2" t="s">
        <v>432</v>
      </c>
      <c r="Q33" s="2" t="str">
        <f t="shared" si="1"/>
        <v>SI_P_COMMON_MAGIC_DEFENCE_BEGINNER</v>
      </c>
      <c r="R33" s="2" t="b">
        <v>0</v>
      </c>
      <c r="S33" s="2" t="b">
        <v>1</v>
      </c>
      <c r="T33" s="2">
        <v>0</v>
      </c>
    </row>
    <row r="34" spans="1:21">
      <c r="A34" s="4">
        <v>4</v>
      </c>
      <c r="B34" s="7" t="str">
        <f>VLOOKUP($A34,SkillEnum!$A$2:$C$1020,2,FALSE)</f>
        <v>SI_P_COMMON_MAGIC_DEFENCE_BEGINNER</v>
      </c>
      <c r="C34" s="7">
        <v>3</v>
      </c>
      <c r="D34" s="2" t="str">
        <f>VLOOKUP($C34,SkillEnum!$D$2:$E$10,2,FALSE)</f>
        <v>ST_PASSIVE_MAGIC_DEFENCE</v>
      </c>
      <c r="E34" s="7" t="str">
        <f>VLOOKUP($A34,SkillEnum!$A$2:$C$1020,3,FALSE)</f>
        <v>기초 마법방어술</v>
      </c>
      <c r="F34" s="7" t="str">
        <f t="shared" si="7"/>
        <v>기본 마법 방어력이 15 증가 한다.</v>
      </c>
      <c r="G34" s="2">
        <v>3</v>
      </c>
      <c r="H34" s="2">
        <v>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f t="shared" ref="O34:O41" si="8">O33+5</f>
        <v>15</v>
      </c>
      <c r="P34" s="2" t="s">
        <v>432</v>
      </c>
      <c r="Q34" s="2" t="str">
        <f t="shared" si="1"/>
        <v>SI_P_COMMON_MAGIC_DEFENCE_BEGINNER</v>
      </c>
      <c r="R34" s="2" t="b">
        <v>0</v>
      </c>
      <c r="S34" s="2" t="b">
        <v>1</v>
      </c>
      <c r="T34" s="2">
        <v>0</v>
      </c>
    </row>
    <row r="35" spans="1:21">
      <c r="A35" s="4">
        <v>4</v>
      </c>
      <c r="B35" s="7" t="str">
        <f>VLOOKUP($A35,SkillEnum!$A$2:$C$1020,2,FALSE)</f>
        <v>SI_P_COMMON_MAGIC_DEFENCE_BEGINNER</v>
      </c>
      <c r="C35" s="7">
        <v>3</v>
      </c>
      <c r="D35" s="2" t="str">
        <f>VLOOKUP($C35,SkillEnum!$D$2:$E$10,2,FALSE)</f>
        <v>ST_PASSIVE_MAGIC_DEFENCE</v>
      </c>
      <c r="E35" s="7" t="str">
        <f>VLOOKUP($A35,SkillEnum!$A$2:$C$1020,3,FALSE)</f>
        <v>기초 마법방어술</v>
      </c>
      <c r="F35" s="7" t="str">
        <f t="shared" si="7"/>
        <v>기본 마법 방어력이 20 증가 한다.</v>
      </c>
      <c r="G35" s="2">
        <v>4</v>
      </c>
      <c r="H35" s="2">
        <v>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f t="shared" si="8"/>
        <v>20</v>
      </c>
      <c r="P35" s="2" t="s">
        <v>432</v>
      </c>
      <c r="Q35" s="2" t="str">
        <f t="shared" si="1"/>
        <v>SI_P_COMMON_MAGIC_DEFENCE_BEGINNER</v>
      </c>
      <c r="R35" s="2" t="b">
        <v>0</v>
      </c>
      <c r="S35" s="2" t="b">
        <v>1</v>
      </c>
      <c r="T35" s="2">
        <v>0</v>
      </c>
    </row>
    <row r="36" spans="1:21">
      <c r="A36" s="4">
        <v>4</v>
      </c>
      <c r="B36" s="7" t="str">
        <f>VLOOKUP($A36,SkillEnum!$A$2:$C$1020,2,FALSE)</f>
        <v>SI_P_COMMON_MAGIC_DEFENCE_BEGINNER</v>
      </c>
      <c r="C36" s="7">
        <v>3</v>
      </c>
      <c r="D36" s="2" t="str">
        <f>VLOOKUP($C36,SkillEnum!$D$2:$E$10,2,FALSE)</f>
        <v>ST_PASSIVE_MAGIC_DEFENCE</v>
      </c>
      <c r="E36" s="7" t="str">
        <f>VLOOKUP($A36,SkillEnum!$A$2:$C$1020,3,FALSE)</f>
        <v>기초 마법방어술</v>
      </c>
      <c r="F36" s="7" t="str">
        <f t="shared" si="7"/>
        <v>기본 마법 방어력이 25 증가 한다.</v>
      </c>
      <c r="G36" s="2">
        <v>5</v>
      </c>
      <c r="H36" s="2">
        <v>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f t="shared" si="8"/>
        <v>25</v>
      </c>
      <c r="P36" s="2" t="s">
        <v>432</v>
      </c>
      <c r="Q36" s="2" t="str">
        <f t="shared" si="1"/>
        <v>SI_P_COMMON_MAGIC_DEFENCE_BEGINNER</v>
      </c>
      <c r="R36" s="2" t="b">
        <v>0</v>
      </c>
      <c r="S36" s="2" t="b">
        <v>1</v>
      </c>
      <c r="T36" s="2">
        <v>0</v>
      </c>
    </row>
    <row r="37" spans="1:21">
      <c r="A37" s="4">
        <v>4</v>
      </c>
      <c r="B37" s="7" t="str">
        <f>VLOOKUP($A37,SkillEnum!$A$2:$C$1020,2,FALSE)</f>
        <v>SI_P_COMMON_MAGIC_DEFENCE_BEGINNER</v>
      </c>
      <c r="C37" s="7">
        <v>3</v>
      </c>
      <c r="D37" s="2" t="str">
        <f>VLOOKUP($C37,SkillEnum!$D$2:$E$10,2,FALSE)</f>
        <v>ST_PASSIVE_MAGIC_DEFENCE</v>
      </c>
      <c r="E37" s="7" t="str">
        <f>VLOOKUP($A37,SkillEnum!$A$2:$C$1020,3,FALSE)</f>
        <v>기초 마법방어술</v>
      </c>
      <c r="F37" s="7" t="str">
        <f t="shared" si="7"/>
        <v>기본 마법 방어력이 30 증가 한다.</v>
      </c>
      <c r="G37" s="2">
        <v>6</v>
      </c>
      <c r="H37" s="2">
        <v>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f t="shared" si="8"/>
        <v>30</v>
      </c>
      <c r="P37" s="2" t="s">
        <v>432</v>
      </c>
      <c r="Q37" s="2" t="str">
        <f t="shared" si="1"/>
        <v>SI_P_COMMON_MAGIC_DEFENCE_BEGINNER</v>
      </c>
      <c r="R37" s="2" t="b">
        <v>0</v>
      </c>
      <c r="S37" s="2" t="b">
        <v>1</v>
      </c>
      <c r="T37" s="2">
        <v>0</v>
      </c>
    </row>
    <row r="38" spans="1:21">
      <c r="A38" s="4">
        <v>4</v>
      </c>
      <c r="B38" s="7" t="str">
        <f>VLOOKUP($A38,SkillEnum!$A$2:$C$1020,2,FALSE)</f>
        <v>SI_P_COMMON_MAGIC_DEFENCE_BEGINNER</v>
      </c>
      <c r="C38" s="7">
        <v>3</v>
      </c>
      <c r="D38" s="2" t="str">
        <f>VLOOKUP($C38,SkillEnum!$D$2:$E$10,2,FALSE)</f>
        <v>ST_PASSIVE_MAGIC_DEFENCE</v>
      </c>
      <c r="E38" s="7" t="str">
        <f>VLOOKUP($A38,SkillEnum!$A$2:$C$1020,3,FALSE)</f>
        <v>기초 마법방어술</v>
      </c>
      <c r="F38" s="7" t="str">
        <f t="shared" si="7"/>
        <v>기본 마법 방어력이 35 증가 한다.</v>
      </c>
      <c r="G38" s="2">
        <v>7</v>
      </c>
      <c r="H38" s="2">
        <v>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f t="shared" si="8"/>
        <v>35</v>
      </c>
      <c r="P38" s="2" t="s">
        <v>432</v>
      </c>
      <c r="Q38" s="2" t="str">
        <f t="shared" si="1"/>
        <v>SI_P_COMMON_MAGIC_DEFENCE_BEGINNER</v>
      </c>
      <c r="R38" s="2" t="b">
        <v>0</v>
      </c>
      <c r="S38" s="2" t="b">
        <v>1</v>
      </c>
      <c r="T38" s="2">
        <v>0</v>
      </c>
    </row>
    <row r="39" spans="1:21">
      <c r="A39" s="4">
        <v>4</v>
      </c>
      <c r="B39" s="7" t="str">
        <f>VLOOKUP($A39,SkillEnum!$A$2:$C$1020,2,FALSE)</f>
        <v>SI_P_COMMON_MAGIC_DEFENCE_BEGINNER</v>
      </c>
      <c r="C39" s="7">
        <v>3</v>
      </c>
      <c r="D39" s="2" t="str">
        <f>VLOOKUP($C39,SkillEnum!$D$2:$E$10,2,FALSE)</f>
        <v>ST_PASSIVE_MAGIC_DEFENCE</v>
      </c>
      <c r="E39" s="7" t="str">
        <f>VLOOKUP($A39,SkillEnum!$A$2:$C$1020,3,FALSE)</f>
        <v>기초 마법방어술</v>
      </c>
      <c r="F39" s="7" t="str">
        <f t="shared" si="7"/>
        <v>기본 마법 방어력이 40 증가 한다.</v>
      </c>
      <c r="G39" s="2">
        <v>8</v>
      </c>
      <c r="H39" s="2">
        <v>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f t="shared" si="8"/>
        <v>40</v>
      </c>
      <c r="P39" s="2" t="s">
        <v>432</v>
      </c>
      <c r="Q39" s="2" t="str">
        <f t="shared" si="1"/>
        <v>SI_P_COMMON_MAGIC_DEFENCE_BEGINNER</v>
      </c>
      <c r="R39" s="2" t="b">
        <v>0</v>
      </c>
      <c r="S39" s="2" t="b">
        <v>1</v>
      </c>
      <c r="T39" s="2">
        <v>0</v>
      </c>
    </row>
    <row r="40" spans="1:21">
      <c r="A40" s="4">
        <v>4</v>
      </c>
      <c r="B40" s="7" t="str">
        <f>VLOOKUP($A40,SkillEnum!$A$2:$C$1020,2,FALSE)</f>
        <v>SI_P_COMMON_MAGIC_DEFENCE_BEGINNER</v>
      </c>
      <c r="C40" s="7">
        <v>3</v>
      </c>
      <c r="D40" s="2" t="str">
        <f>VLOOKUP($C40,SkillEnum!$D$2:$E$10,2,FALSE)</f>
        <v>ST_PASSIVE_MAGIC_DEFENCE</v>
      </c>
      <c r="E40" s="7" t="str">
        <f>VLOOKUP($A40,SkillEnum!$A$2:$C$1020,3,FALSE)</f>
        <v>기초 마법방어술</v>
      </c>
      <c r="F40" s="7" t="str">
        <f t="shared" si="7"/>
        <v>기본 마법 방어력이 45 증가 한다.</v>
      </c>
      <c r="G40" s="2">
        <v>9</v>
      </c>
      <c r="H40" s="2">
        <v>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f t="shared" si="8"/>
        <v>45</v>
      </c>
      <c r="P40" s="2" t="s">
        <v>432</v>
      </c>
      <c r="Q40" s="2" t="str">
        <f t="shared" si="1"/>
        <v>SI_P_COMMON_MAGIC_DEFENCE_BEGINNER</v>
      </c>
      <c r="R40" s="2" t="b">
        <v>0</v>
      </c>
      <c r="S40" s="2" t="b">
        <v>1</v>
      </c>
      <c r="T40" s="2">
        <v>0</v>
      </c>
    </row>
    <row r="41" spans="1:21" s="5" customFormat="1">
      <c r="A41" s="6">
        <v>4</v>
      </c>
      <c r="B41" s="8" t="str">
        <f>VLOOKUP($A41,SkillEnum!$A$2:$C$1020,2,FALSE)</f>
        <v>SI_P_COMMON_MAGIC_DEFENCE_BEGINNER</v>
      </c>
      <c r="C41" s="8">
        <v>3</v>
      </c>
      <c r="D41" s="5" t="str">
        <f>VLOOKUP($C41,SkillEnum!$D$2:$E$10,2,FALSE)</f>
        <v>ST_PASSIVE_MAGIC_DEFENCE</v>
      </c>
      <c r="E41" s="8" t="str">
        <f>VLOOKUP($A41,SkillEnum!$A$2:$C$1020,3,FALSE)</f>
        <v>기초 마법방어술</v>
      </c>
      <c r="F41" s="8" t="str">
        <f t="shared" si="7"/>
        <v>기본 마법 방어력이 50 증가 한다.</v>
      </c>
      <c r="G41" s="5">
        <v>10</v>
      </c>
      <c r="H41" s="5">
        <v>1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f t="shared" si="8"/>
        <v>50</v>
      </c>
      <c r="P41" s="2" t="s">
        <v>432</v>
      </c>
      <c r="Q41" s="2" t="str">
        <f t="shared" si="1"/>
        <v>SI_P_COMMON_MAGIC_DEFENCE_BEGINNER</v>
      </c>
      <c r="R41" s="5" t="b">
        <v>0</v>
      </c>
      <c r="S41" s="2" t="b">
        <v>1</v>
      </c>
      <c r="T41" s="2">
        <v>0</v>
      </c>
      <c r="U41" s="2"/>
    </row>
    <row r="42" spans="1:21" s="10" customFormat="1">
      <c r="A42" s="9">
        <v>5</v>
      </c>
      <c r="B42" s="11" t="str">
        <f>VLOOKUP($A42,SkillEnum!$A$2:$C$1020,2,FALSE)</f>
        <v>SI_P_COMMON_PHYSIC_ATTACK_INTERMEDIATE</v>
      </c>
      <c r="C42" s="11">
        <v>1</v>
      </c>
      <c r="D42" s="10" t="str">
        <f>VLOOKUP($C42,SkillEnum!$D$2:$E$10,2,FALSE)</f>
        <v>ST_PASSIVE_PHYSIC_ATTACK</v>
      </c>
      <c r="E42" s="11" t="str">
        <f>VLOOKUP($A42,SkillEnum!$A$2:$C$1020,3,FALSE)</f>
        <v>중급 근력단련</v>
      </c>
      <c r="F42" s="11" t="str">
        <f t="shared" ref="F42:F51" si="9">"기본 물리 공격력이 "&amp;L42&amp;" 증가 한다."</f>
        <v>기본 물리 공격력이 30 증가 한다.</v>
      </c>
      <c r="G42" s="10">
        <v>1</v>
      </c>
      <c r="H42" s="2">
        <v>1</v>
      </c>
      <c r="I42" s="10">
        <v>0</v>
      </c>
      <c r="J42" s="10">
        <v>0</v>
      </c>
      <c r="K42" s="10">
        <v>0</v>
      </c>
      <c r="L42" s="10">
        <v>30</v>
      </c>
      <c r="M42" s="10">
        <v>0</v>
      </c>
      <c r="N42" s="10">
        <v>0</v>
      </c>
      <c r="O42" s="10">
        <v>0</v>
      </c>
      <c r="P42" s="2" t="s">
        <v>432</v>
      </c>
      <c r="Q42" s="2" t="str">
        <f t="shared" si="1"/>
        <v>SI_P_COMMON_PHYSIC_ATTACK_INTERMEDIATE</v>
      </c>
      <c r="R42" s="10" t="b">
        <v>0</v>
      </c>
      <c r="S42" s="2" t="b">
        <v>1</v>
      </c>
      <c r="T42" s="2">
        <v>0</v>
      </c>
      <c r="U42" s="2"/>
    </row>
    <row r="43" spans="1:21">
      <c r="A43" s="4">
        <v>5</v>
      </c>
      <c r="B43" s="7" t="str">
        <f>VLOOKUP($A43,SkillEnum!$A$2:$C$1020,2,FALSE)</f>
        <v>SI_P_COMMON_PHYSIC_ATTACK_INTERMEDIATE</v>
      </c>
      <c r="C43" s="7">
        <v>1</v>
      </c>
      <c r="D43" s="2" t="str">
        <f>VLOOKUP($C43,SkillEnum!$D$2:$E$10,2,FALSE)</f>
        <v>ST_PASSIVE_PHYSIC_ATTACK</v>
      </c>
      <c r="E43" s="7" t="str">
        <f>VLOOKUP($A43,SkillEnum!$A$2:$C$1020,3,FALSE)</f>
        <v>중급 근력단련</v>
      </c>
      <c r="F43" s="7" t="str">
        <f t="shared" si="9"/>
        <v>기본 물리 공격력이 60 증가 한다.</v>
      </c>
      <c r="G43" s="2">
        <v>2</v>
      </c>
      <c r="H43" s="2">
        <v>1</v>
      </c>
      <c r="I43" s="2">
        <v>0</v>
      </c>
      <c r="J43" s="2">
        <v>0</v>
      </c>
      <c r="K43" s="2">
        <v>0</v>
      </c>
      <c r="L43" s="2">
        <f>L42+30</f>
        <v>60</v>
      </c>
      <c r="M43" s="2">
        <v>0</v>
      </c>
      <c r="N43" s="2">
        <v>0</v>
      </c>
      <c r="O43" s="2">
        <v>0</v>
      </c>
      <c r="P43" s="2" t="s">
        <v>432</v>
      </c>
      <c r="Q43" s="2" t="str">
        <f t="shared" si="1"/>
        <v>SI_P_COMMON_PHYSIC_ATTACK_INTERMEDIATE</v>
      </c>
      <c r="R43" s="2" t="b">
        <v>0</v>
      </c>
      <c r="S43" s="2" t="b">
        <v>1</v>
      </c>
      <c r="T43" s="2">
        <v>0</v>
      </c>
    </row>
    <row r="44" spans="1:21">
      <c r="A44" s="4">
        <v>5</v>
      </c>
      <c r="B44" s="7" t="str">
        <f>VLOOKUP($A44,SkillEnum!$A$2:$C$1020,2,FALSE)</f>
        <v>SI_P_COMMON_PHYSIC_ATTACK_INTERMEDIATE</v>
      </c>
      <c r="C44" s="7">
        <v>1</v>
      </c>
      <c r="D44" s="2" t="str">
        <f>VLOOKUP($C44,SkillEnum!$D$2:$E$10,2,FALSE)</f>
        <v>ST_PASSIVE_PHYSIC_ATTACK</v>
      </c>
      <c r="E44" s="7" t="str">
        <f>VLOOKUP($A44,SkillEnum!$A$2:$C$1020,3,FALSE)</f>
        <v>중급 근력단련</v>
      </c>
      <c r="F44" s="7" t="str">
        <f t="shared" si="9"/>
        <v>기본 물리 공격력이 90 증가 한다.</v>
      </c>
      <c r="G44" s="2">
        <v>3</v>
      </c>
      <c r="H44" s="2">
        <v>1</v>
      </c>
      <c r="I44" s="2">
        <v>0</v>
      </c>
      <c r="J44" s="2">
        <v>0</v>
      </c>
      <c r="K44" s="2">
        <v>0</v>
      </c>
      <c r="L44" s="2">
        <f t="shared" ref="L44:L51" si="10">L43+30</f>
        <v>90</v>
      </c>
      <c r="M44" s="2">
        <v>0</v>
      </c>
      <c r="N44" s="2">
        <v>0</v>
      </c>
      <c r="O44" s="2">
        <v>0</v>
      </c>
      <c r="P44" s="2" t="s">
        <v>432</v>
      </c>
      <c r="Q44" s="2" t="str">
        <f t="shared" si="1"/>
        <v>SI_P_COMMON_PHYSIC_ATTACK_INTERMEDIATE</v>
      </c>
      <c r="R44" s="2" t="b">
        <v>0</v>
      </c>
      <c r="S44" s="2" t="b">
        <v>1</v>
      </c>
      <c r="T44" s="2">
        <v>0</v>
      </c>
    </row>
    <row r="45" spans="1:21">
      <c r="A45" s="4">
        <v>5</v>
      </c>
      <c r="B45" s="7" t="str">
        <f>VLOOKUP($A45,SkillEnum!$A$2:$C$1020,2,FALSE)</f>
        <v>SI_P_COMMON_PHYSIC_ATTACK_INTERMEDIATE</v>
      </c>
      <c r="C45" s="7">
        <v>1</v>
      </c>
      <c r="D45" s="2" t="str">
        <f>VLOOKUP($C45,SkillEnum!$D$2:$E$10,2,FALSE)</f>
        <v>ST_PASSIVE_PHYSIC_ATTACK</v>
      </c>
      <c r="E45" s="7" t="str">
        <f>VLOOKUP($A45,SkillEnum!$A$2:$C$1020,3,FALSE)</f>
        <v>중급 근력단련</v>
      </c>
      <c r="F45" s="7" t="str">
        <f t="shared" si="9"/>
        <v>기본 물리 공격력이 120 증가 한다.</v>
      </c>
      <c r="G45" s="2">
        <v>4</v>
      </c>
      <c r="H45" s="2">
        <v>1</v>
      </c>
      <c r="I45" s="2">
        <v>0</v>
      </c>
      <c r="J45" s="2">
        <v>0</v>
      </c>
      <c r="K45" s="2">
        <v>0</v>
      </c>
      <c r="L45" s="2">
        <f t="shared" si="10"/>
        <v>120</v>
      </c>
      <c r="M45" s="2">
        <v>0</v>
      </c>
      <c r="N45" s="2">
        <v>0</v>
      </c>
      <c r="O45" s="2">
        <v>0</v>
      </c>
      <c r="P45" s="2" t="s">
        <v>432</v>
      </c>
      <c r="Q45" s="2" t="str">
        <f t="shared" si="1"/>
        <v>SI_P_COMMON_PHYSIC_ATTACK_INTERMEDIATE</v>
      </c>
      <c r="R45" s="2" t="b">
        <v>0</v>
      </c>
      <c r="S45" s="2" t="b">
        <v>1</v>
      </c>
      <c r="T45" s="2">
        <v>0</v>
      </c>
    </row>
    <row r="46" spans="1:21">
      <c r="A46" s="4">
        <v>5</v>
      </c>
      <c r="B46" s="7" t="str">
        <f>VLOOKUP($A46,SkillEnum!$A$2:$C$1020,2,FALSE)</f>
        <v>SI_P_COMMON_PHYSIC_ATTACK_INTERMEDIATE</v>
      </c>
      <c r="C46" s="7">
        <v>1</v>
      </c>
      <c r="D46" s="2" t="str">
        <f>VLOOKUP($C46,SkillEnum!$D$2:$E$10,2,FALSE)</f>
        <v>ST_PASSIVE_PHYSIC_ATTACK</v>
      </c>
      <c r="E46" s="7" t="str">
        <f>VLOOKUP($A46,SkillEnum!$A$2:$C$1020,3,FALSE)</f>
        <v>중급 근력단련</v>
      </c>
      <c r="F46" s="7" t="str">
        <f t="shared" si="9"/>
        <v>기본 물리 공격력이 150 증가 한다.</v>
      </c>
      <c r="G46" s="2">
        <v>5</v>
      </c>
      <c r="H46" s="2">
        <v>1</v>
      </c>
      <c r="I46" s="2">
        <v>0</v>
      </c>
      <c r="J46" s="2">
        <v>0</v>
      </c>
      <c r="K46" s="2">
        <v>0</v>
      </c>
      <c r="L46" s="2">
        <f t="shared" si="10"/>
        <v>150</v>
      </c>
      <c r="M46" s="2">
        <v>0</v>
      </c>
      <c r="N46" s="2">
        <v>0</v>
      </c>
      <c r="O46" s="2">
        <v>0</v>
      </c>
      <c r="P46" s="2" t="s">
        <v>432</v>
      </c>
      <c r="Q46" s="2" t="str">
        <f t="shared" si="1"/>
        <v>SI_P_COMMON_PHYSIC_ATTACK_INTERMEDIATE</v>
      </c>
      <c r="R46" s="2" t="b">
        <v>0</v>
      </c>
      <c r="S46" s="2" t="b">
        <v>1</v>
      </c>
      <c r="T46" s="2">
        <v>0</v>
      </c>
    </row>
    <row r="47" spans="1:21">
      <c r="A47" s="4">
        <v>5</v>
      </c>
      <c r="B47" s="7" t="str">
        <f>VLOOKUP($A47,SkillEnum!$A$2:$C$1020,2,FALSE)</f>
        <v>SI_P_COMMON_PHYSIC_ATTACK_INTERMEDIATE</v>
      </c>
      <c r="C47" s="7">
        <v>1</v>
      </c>
      <c r="D47" s="2" t="str">
        <f>VLOOKUP($C47,SkillEnum!$D$2:$E$10,2,FALSE)</f>
        <v>ST_PASSIVE_PHYSIC_ATTACK</v>
      </c>
      <c r="E47" s="7" t="str">
        <f>VLOOKUP($A47,SkillEnum!$A$2:$C$1020,3,FALSE)</f>
        <v>중급 근력단련</v>
      </c>
      <c r="F47" s="7" t="str">
        <f t="shared" si="9"/>
        <v>기본 물리 공격력이 180 증가 한다.</v>
      </c>
      <c r="G47" s="2">
        <v>6</v>
      </c>
      <c r="H47" s="2">
        <v>1</v>
      </c>
      <c r="I47" s="2">
        <v>0</v>
      </c>
      <c r="J47" s="2">
        <v>0</v>
      </c>
      <c r="K47" s="2">
        <v>0</v>
      </c>
      <c r="L47" s="2">
        <f t="shared" si="10"/>
        <v>180</v>
      </c>
      <c r="M47" s="2">
        <v>0</v>
      </c>
      <c r="N47" s="2">
        <v>0</v>
      </c>
      <c r="O47" s="2">
        <v>0</v>
      </c>
      <c r="P47" s="2" t="s">
        <v>432</v>
      </c>
      <c r="Q47" s="2" t="str">
        <f t="shared" si="1"/>
        <v>SI_P_COMMON_PHYSIC_ATTACK_INTERMEDIATE</v>
      </c>
      <c r="R47" s="2" t="b">
        <v>0</v>
      </c>
      <c r="S47" s="2" t="b">
        <v>1</v>
      </c>
      <c r="T47" s="2">
        <v>0</v>
      </c>
    </row>
    <row r="48" spans="1:21">
      <c r="A48" s="4">
        <v>5</v>
      </c>
      <c r="B48" s="7" t="str">
        <f>VLOOKUP($A48,SkillEnum!$A$2:$C$1020,2,FALSE)</f>
        <v>SI_P_COMMON_PHYSIC_ATTACK_INTERMEDIATE</v>
      </c>
      <c r="C48" s="7">
        <v>1</v>
      </c>
      <c r="D48" s="2" t="str">
        <f>VLOOKUP($C48,SkillEnum!$D$2:$E$10,2,FALSE)</f>
        <v>ST_PASSIVE_PHYSIC_ATTACK</v>
      </c>
      <c r="E48" s="7" t="str">
        <f>VLOOKUP($A48,SkillEnum!$A$2:$C$1020,3,FALSE)</f>
        <v>중급 근력단련</v>
      </c>
      <c r="F48" s="7" t="str">
        <f t="shared" si="9"/>
        <v>기본 물리 공격력이 210 증가 한다.</v>
      </c>
      <c r="G48" s="2">
        <v>7</v>
      </c>
      <c r="H48" s="2">
        <v>1</v>
      </c>
      <c r="I48" s="2">
        <v>0</v>
      </c>
      <c r="J48" s="2">
        <v>0</v>
      </c>
      <c r="K48" s="2">
        <v>0</v>
      </c>
      <c r="L48" s="2">
        <f t="shared" si="10"/>
        <v>210</v>
      </c>
      <c r="M48" s="2">
        <v>0</v>
      </c>
      <c r="N48" s="2">
        <v>0</v>
      </c>
      <c r="O48" s="2">
        <v>0</v>
      </c>
      <c r="P48" s="2" t="s">
        <v>432</v>
      </c>
      <c r="Q48" s="2" t="str">
        <f t="shared" si="1"/>
        <v>SI_P_COMMON_PHYSIC_ATTACK_INTERMEDIATE</v>
      </c>
      <c r="R48" s="2" t="b">
        <v>0</v>
      </c>
      <c r="S48" s="2" t="b">
        <v>1</v>
      </c>
      <c r="T48" s="2">
        <v>0</v>
      </c>
    </row>
    <row r="49" spans="1:21">
      <c r="A49" s="4">
        <v>5</v>
      </c>
      <c r="B49" s="7" t="str">
        <f>VLOOKUP($A49,SkillEnum!$A$2:$C$1020,2,FALSE)</f>
        <v>SI_P_COMMON_PHYSIC_ATTACK_INTERMEDIATE</v>
      </c>
      <c r="C49" s="7">
        <v>1</v>
      </c>
      <c r="D49" s="2" t="str">
        <f>VLOOKUP($C49,SkillEnum!$D$2:$E$10,2,FALSE)</f>
        <v>ST_PASSIVE_PHYSIC_ATTACK</v>
      </c>
      <c r="E49" s="7" t="str">
        <f>VLOOKUP($A49,SkillEnum!$A$2:$C$1020,3,FALSE)</f>
        <v>중급 근력단련</v>
      </c>
      <c r="F49" s="7" t="str">
        <f t="shared" si="9"/>
        <v>기본 물리 공격력이 240 증가 한다.</v>
      </c>
      <c r="G49" s="2">
        <v>8</v>
      </c>
      <c r="H49" s="2">
        <v>1</v>
      </c>
      <c r="I49" s="2">
        <v>0</v>
      </c>
      <c r="J49" s="2">
        <v>0</v>
      </c>
      <c r="K49" s="2">
        <v>0</v>
      </c>
      <c r="L49" s="2">
        <f t="shared" si="10"/>
        <v>240</v>
      </c>
      <c r="M49" s="2">
        <v>0</v>
      </c>
      <c r="N49" s="2">
        <v>0</v>
      </c>
      <c r="O49" s="2">
        <v>0</v>
      </c>
      <c r="P49" s="2" t="s">
        <v>432</v>
      </c>
      <c r="Q49" s="2" t="str">
        <f t="shared" si="1"/>
        <v>SI_P_COMMON_PHYSIC_ATTACK_INTERMEDIATE</v>
      </c>
      <c r="R49" s="2" t="b">
        <v>0</v>
      </c>
      <c r="S49" s="2" t="b">
        <v>1</v>
      </c>
      <c r="T49" s="2">
        <v>0</v>
      </c>
    </row>
    <row r="50" spans="1:21">
      <c r="A50" s="4">
        <v>5</v>
      </c>
      <c r="B50" s="7" t="str">
        <f>VLOOKUP($A50,SkillEnum!$A$2:$C$1020,2,FALSE)</f>
        <v>SI_P_COMMON_PHYSIC_ATTACK_INTERMEDIATE</v>
      </c>
      <c r="C50" s="7">
        <v>1</v>
      </c>
      <c r="D50" s="2" t="str">
        <f>VLOOKUP($C50,SkillEnum!$D$2:$E$10,2,FALSE)</f>
        <v>ST_PASSIVE_PHYSIC_ATTACK</v>
      </c>
      <c r="E50" s="7" t="str">
        <f>VLOOKUP($A50,SkillEnum!$A$2:$C$1020,3,FALSE)</f>
        <v>중급 근력단련</v>
      </c>
      <c r="F50" s="7" t="str">
        <f t="shared" si="9"/>
        <v>기본 물리 공격력이 270 증가 한다.</v>
      </c>
      <c r="G50" s="2">
        <v>9</v>
      </c>
      <c r="H50" s="2">
        <v>1</v>
      </c>
      <c r="I50" s="2">
        <v>0</v>
      </c>
      <c r="J50" s="2">
        <v>0</v>
      </c>
      <c r="K50" s="2">
        <v>0</v>
      </c>
      <c r="L50" s="2">
        <f t="shared" si="10"/>
        <v>270</v>
      </c>
      <c r="M50" s="2">
        <v>0</v>
      </c>
      <c r="N50" s="2">
        <v>0</v>
      </c>
      <c r="O50" s="2">
        <v>0</v>
      </c>
      <c r="P50" s="2" t="s">
        <v>432</v>
      </c>
      <c r="Q50" s="2" t="str">
        <f t="shared" si="1"/>
        <v>SI_P_COMMON_PHYSIC_ATTACK_INTERMEDIATE</v>
      </c>
      <c r="R50" s="2" t="b">
        <v>0</v>
      </c>
      <c r="S50" s="2" t="b">
        <v>1</v>
      </c>
      <c r="T50" s="2">
        <v>0</v>
      </c>
    </row>
    <row r="51" spans="1:21" s="5" customFormat="1">
      <c r="A51" s="6">
        <v>5</v>
      </c>
      <c r="B51" s="8" t="str">
        <f>VLOOKUP($A51,SkillEnum!$A$2:$C$1020,2,FALSE)</f>
        <v>SI_P_COMMON_PHYSIC_ATTACK_INTERMEDIATE</v>
      </c>
      <c r="C51" s="8">
        <v>1</v>
      </c>
      <c r="D51" s="5" t="str">
        <f>VLOOKUP($C51,SkillEnum!$D$2:$E$10,2,FALSE)</f>
        <v>ST_PASSIVE_PHYSIC_ATTACK</v>
      </c>
      <c r="E51" s="8" t="str">
        <f>VLOOKUP($A51,SkillEnum!$A$2:$C$1020,3,FALSE)</f>
        <v>중급 근력단련</v>
      </c>
      <c r="F51" s="8" t="str">
        <f t="shared" si="9"/>
        <v>기본 물리 공격력이 300 증가 한다.</v>
      </c>
      <c r="G51" s="5">
        <v>10</v>
      </c>
      <c r="H51" s="5">
        <v>1</v>
      </c>
      <c r="I51" s="5">
        <v>0</v>
      </c>
      <c r="J51" s="5">
        <v>0</v>
      </c>
      <c r="K51" s="5">
        <v>0</v>
      </c>
      <c r="L51" s="2">
        <f t="shared" si="10"/>
        <v>300</v>
      </c>
      <c r="M51" s="5">
        <v>0</v>
      </c>
      <c r="N51" s="5">
        <v>0</v>
      </c>
      <c r="O51" s="5">
        <v>0</v>
      </c>
      <c r="P51" s="2" t="s">
        <v>432</v>
      </c>
      <c r="Q51" s="2" t="str">
        <f t="shared" si="1"/>
        <v>SI_P_COMMON_PHYSIC_ATTACK_INTERMEDIATE</v>
      </c>
      <c r="R51" s="5" t="b">
        <v>0</v>
      </c>
      <c r="S51" s="2" t="b">
        <v>1</v>
      </c>
      <c r="T51" s="2">
        <v>0</v>
      </c>
      <c r="U51" s="2"/>
    </row>
    <row r="52" spans="1:21" s="10" customFormat="1">
      <c r="A52" s="9">
        <v>6</v>
      </c>
      <c r="B52" s="11" t="str">
        <f>VLOOKUP($A52,SkillEnum!$A$2:$C$1020,2,FALSE)</f>
        <v>SI_P_COMMON_MAGIC_ATTACK_INTERMEDIATE</v>
      </c>
      <c r="C52" s="11">
        <v>2</v>
      </c>
      <c r="D52" s="10" t="str">
        <f>VLOOKUP($C52,SkillEnum!$D$2:$E$10,2,FALSE)</f>
        <v>ST_PASSIVE_MAGIC_ATTACK</v>
      </c>
      <c r="E52" s="11" t="str">
        <f>VLOOKUP($A52,SkillEnum!$A$2:$C$1020,3,FALSE)</f>
        <v>중급 마법수련</v>
      </c>
      <c r="F52" s="11" t="str">
        <f t="shared" ref="F52:F61" si="11">"기본 마법 공격력이 "&amp;M52&amp;" 증가 한다."</f>
        <v>기본 마법 공격력이 30 증가 한다.</v>
      </c>
      <c r="G52" s="10">
        <v>1</v>
      </c>
      <c r="H52" s="2">
        <v>1</v>
      </c>
      <c r="I52" s="10">
        <v>0</v>
      </c>
      <c r="J52" s="10">
        <v>0</v>
      </c>
      <c r="K52" s="10">
        <v>0</v>
      </c>
      <c r="L52" s="10">
        <v>0</v>
      </c>
      <c r="M52" s="10">
        <v>30</v>
      </c>
      <c r="N52" s="10">
        <v>0</v>
      </c>
      <c r="O52" s="10">
        <v>0</v>
      </c>
      <c r="P52" s="2" t="s">
        <v>432</v>
      </c>
      <c r="Q52" s="2" t="str">
        <f t="shared" si="1"/>
        <v>SI_P_COMMON_MAGIC_ATTACK_INTERMEDIATE</v>
      </c>
      <c r="R52" s="10" t="b">
        <v>0</v>
      </c>
      <c r="S52" s="2" t="b">
        <v>1</v>
      </c>
      <c r="T52" s="2">
        <v>0</v>
      </c>
      <c r="U52" s="2"/>
    </row>
    <row r="53" spans="1:21">
      <c r="A53" s="4">
        <v>6</v>
      </c>
      <c r="B53" s="7" t="str">
        <f>VLOOKUP($A53,SkillEnum!$A$2:$C$1020,2,FALSE)</f>
        <v>SI_P_COMMON_MAGIC_ATTACK_INTERMEDIATE</v>
      </c>
      <c r="C53" s="7">
        <v>2</v>
      </c>
      <c r="D53" s="2" t="str">
        <f>VLOOKUP($C53,SkillEnum!$D$2:$E$10,2,FALSE)</f>
        <v>ST_PASSIVE_MAGIC_ATTACK</v>
      </c>
      <c r="E53" s="7" t="str">
        <f>VLOOKUP($A53,SkillEnum!$A$2:$C$1020,3,FALSE)</f>
        <v>중급 마법수련</v>
      </c>
      <c r="F53" s="7" t="str">
        <f t="shared" si="11"/>
        <v>기본 마법 공격력이 60 증가 한다.</v>
      </c>
      <c r="G53" s="2">
        <v>2</v>
      </c>
      <c r="H53" s="2">
        <v>1</v>
      </c>
      <c r="I53" s="2">
        <v>0</v>
      </c>
      <c r="J53" s="2">
        <v>0</v>
      </c>
      <c r="K53" s="2">
        <v>0</v>
      </c>
      <c r="L53" s="2">
        <v>0</v>
      </c>
      <c r="M53" s="2">
        <f>M52+30</f>
        <v>60</v>
      </c>
      <c r="N53" s="2">
        <v>0</v>
      </c>
      <c r="O53" s="2">
        <v>0</v>
      </c>
      <c r="P53" s="2" t="s">
        <v>432</v>
      </c>
      <c r="Q53" s="2" t="str">
        <f t="shared" si="1"/>
        <v>SI_P_COMMON_MAGIC_ATTACK_INTERMEDIATE</v>
      </c>
      <c r="R53" s="2" t="b">
        <v>0</v>
      </c>
      <c r="S53" s="2" t="b">
        <v>1</v>
      </c>
      <c r="T53" s="2">
        <v>0</v>
      </c>
    </row>
    <row r="54" spans="1:21">
      <c r="A54" s="4">
        <v>6</v>
      </c>
      <c r="B54" s="7" t="str">
        <f>VLOOKUP($A54,SkillEnum!$A$2:$C$1020,2,FALSE)</f>
        <v>SI_P_COMMON_MAGIC_ATTACK_INTERMEDIATE</v>
      </c>
      <c r="C54" s="7">
        <v>2</v>
      </c>
      <c r="D54" s="2" t="str">
        <f>VLOOKUP($C54,SkillEnum!$D$2:$E$10,2,FALSE)</f>
        <v>ST_PASSIVE_MAGIC_ATTACK</v>
      </c>
      <c r="E54" s="7" t="str">
        <f>VLOOKUP($A54,SkillEnum!$A$2:$C$1020,3,FALSE)</f>
        <v>중급 마법수련</v>
      </c>
      <c r="F54" s="7" t="str">
        <f t="shared" si="11"/>
        <v>기본 마법 공격력이 90 증가 한다.</v>
      </c>
      <c r="G54" s="2">
        <v>3</v>
      </c>
      <c r="H54" s="2">
        <v>1</v>
      </c>
      <c r="I54" s="2">
        <v>0</v>
      </c>
      <c r="J54" s="2">
        <v>0</v>
      </c>
      <c r="K54" s="2">
        <v>0</v>
      </c>
      <c r="L54" s="2">
        <v>0</v>
      </c>
      <c r="M54" s="2">
        <f t="shared" ref="M54:M61" si="12">M53+30</f>
        <v>90</v>
      </c>
      <c r="N54" s="2">
        <v>0</v>
      </c>
      <c r="O54" s="2">
        <v>0</v>
      </c>
      <c r="P54" s="2" t="s">
        <v>432</v>
      </c>
      <c r="Q54" s="2" t="str">
        <f t="shared" si="1"/>
        <v>SI_P_COMMON_MAGIC_ATTACK_INTERMEDIATE</v>
      </c>
      <c r="R54" s="2" t="b">
        <v>0</v>
      </c>
      <c r="S54" s="2" t="b">
        <v>1</v>
      </c>
      <c r="T54" s="2">
        <v>0</v>
      </c>
    </row>
    <row r="55" spans="1:21">
      <c r="A55" s="4">
        <v>6</v>
      </c>
      <c r="B55" s="7" t="str">
        <f>VLOOKUP($A55,SkillEnum!$A$2:$C$1020,2,FALSE)</f>
        <v>SI_P_COMMON_MAGIC_ATTACK_INTERMEDIATE</v>
      </c>
      <c r="C55" s="7">
        <v>2</v>
      </c>
      <c r="D55" s="2" t="str">
        <f>VLOOKUP($C55,SkillEnum!$D$2:$E$10,2,FALSE)</f>
        <v>ST_PASSIVE_MAGIC_ATTACK</v>
      </c>
      <c r="E55" s="7" t="str">
        <f>VLOOKUP($A55,SkillEnum!$A$2:$C$1020,3,FALSE)</f>
        <v>중급 마법수련</v>
      </c>
      <c r="F55" s="7" t="str">
        <f t="shared" si="11"/>
        <v>기본 마법 공격력이 120 증가 한다.</v>
      </c>
      <c r="G55" s="2">
        <v>4</v>
      </c>
      <c r="H55" s="2">
        <v>1</v>
      </c>
      <c r="I55" s="2">
        <v>0</v>
      </c>
      <c r="J55" s="2">
        <v>0</v>
      </c>
      <c r="K55" s="2">
        <v>0</v>
      </c>
      <c r="L55" s="2">
        <v>0</v>
      </c>
      <c r="M55" s="2">
        <f t="shared" si="12"/>
        <v>120</v>
      </c>
      <c r="N55" s="2">
        <v>0</v>
      </c>
      <c r="O55" s="2">
        <v>0</v>
      </c>
      <c r="P55" s="2" t="s">
        <v>432</v>
      </c>
      <c r="Q55" s="2" t="str">
        <f t="shared" si="1"/>
        <v>SI_P_COMMON_MAGIC_ATTACK_INTERMEDIATE</v>
      </c>
      <c r="R55" s="2" t="b">
        <v>0</v>
      </c>
      <c r="S55" s="2" t="b">
        <v>1</v>
      </c>
      <c r="T55" s="2">
        <v>0</v>
      </c>
    </row>
    <row r="56" spans="1:21">
      <c r="A56" s="4">
        <v>6</v>
      </c>
      <c r="B56" s="7" t="str">
        <f>VLOOKUP($A56,SkillEnum!$A$2:$C$1020,2,FALSE)</f>
        <v>SI_P_COMMON_MAGIC_ATTACK_INTERMEDIATE</v>
      </c>
      <c r="C56" s="7">
        <v>2</v>
      </c>
      <c r="D56" s="2" t="str">
        <f>VLOOKUP($C56,SkillEnum!$D$2:$E$10,2,FALSE)</f>
        <v>ST_PASSIVE_MAGIC_ATTACK</v>
      </c>
      <c r="E56" s="7" t="str">
        <f>VLOOKUP($A56,SkillEnum!$A$2:$C$1020,3,FALSE)</f>
        <v>중급 마법수련</v>
      </c>
      <c r="F56" s="7" t="str">
        <f t="shared" si="11"/>
        <v>기본 마법 공격력이 150 증가 한다.</v>
      </c>
      <c r="G56" s="2">
        <v>5</v>
      </c>
      <c r="H56" s="2">
        <v>1</v>
      </c>
      <c r="I56" s="2">
        <v>0</v>
      </c>
      <c r="J56" s="2">
        <v>0</v>
      </c>
      <c r="K56" s="2">
        <v>0</v>
      </c>
      <c r="L56" s="2">
        <v>0</v>
      </c>
      <c r="M56" s="2">
        <f t="shared" si="12"/>
        <v>150</v>
      </c>
      <c r="N56" s="2">
        <v>0</v>
      </c>
      <c r="O56" s="2">
        <v>0</v>
      </c>
      <c r="P56" s="2" t="s">
        <v>432</v>
      </c>
      <c r="Q56" s="2" t="str">
        <f t="shared" si="1"/>
        <v>SI_P_COMMON_MAGIC_ATTACK_INTERMEDIATE</v>
      </c>
      <c r="R56" s="2" t="b">
        <v>0</v>
      </c>
      <c r="S56" s="2" t="b">
        <v>1</v>
      </c>
      <c r="T56" s="2">
        <v>0</v>
      </c>
    </row>
    <row r="57" spans="1:21">
      <c r="A57" s="4">
        <v>6</v>
      </c>
      <c r="B57" s="7" t="str">
        <f>VLOOKUP($A57,SkillEnum!$A$2:$C$1020,2,FALSE)</f>
        <v>SI_P_COMMON_MAGIC_ATTACK_INTERMEDIATE</v>
      </c>
      <c r="C57" s="7">
        <v>2</v>
      </c>
      <c r="D57" s="2" t="str">
        <f>VLOOKUP($C57,SkillEnum!$D$2:$E$10,2,FALSE)</f>
        <v>ST_PASSIVE_MAGIC_ATTACK</v>
      </c>
      <c r="E57" s="7" t="str">
        <f>VLOOKUP($A57,SkillEnum!$A$2:$C$1020,3,FALSE)</f>
        <v>중급 마법수련</v>
      </c>
      <c r="F57" s="7" t="str">
        <f t="shared" si="11"/>
        <v>기본 마법 공격력이 180 증가 한다.</v>
      </c>
      <c r="G57" s="2">
        <v>6</v>
      </c>
      <c r="H57" s="2">
        <v>1</v>
      </c>
      <c r="I57" s="2">
        <v>0</v>
      </c>
      <c r="J57" s="2">
        <v>0</v>
      </c>
      <c r="K57" s="2">
        <v>0</v>
      </c>
      <c r="L57" s="2">
        <v>0</v>
      </c>
      <c r="M57" s="2">
        <f t="shared" si="12"/>
        <v>180</v>
      </c>
      <c r="N57" s="2">
        <v>0</v>
      </c>
      <c r="O57" s="2">
        <v>0</v>
      </c>
      <c r="P57" s="2" t="s">
        <v>432</v>
      </c>
      <c r="Q57" s="2" t="str">
        <f t="shared" si="1"/>
        <v>SI_P_COMMON_MAGIC_ATTACK_INTERMEDIATE</v>
      </c>
      <c r="R57" s="2" t="b">
        <v>0</v>
      </c>
      <c r="S57" s="2" t="b">
        <v>1</v>
      </c>
      <c r="T57" s="2">
        <v>0</v>
      </c>
    </row>
    <row r="58" spans="1:21">
      <c r="A58" s="4">
        <v>6</v>
      </c>
      <c r="B58" s="7" t="str">
        <f>VLOOKUP($A58,SkillEnum!$A$2:$C$1020,2,FALSE)</f>
        <v>SI_P_COMMON_MAGIC_ATTACK_INTERMEDIATE</v>
      </c>
      <c r="C58" s="7">
        <v>2</v>
      </c>
      <c r="D58" s="2" t="str">
        <f>VLOOKUP($C58,SkillEnum!$D$2:$E$10,2,FALSE)</f>
        <v>ST_PASSIVE_MAGIC_ATTACK</v>
      </c>
      <c r="E58" s="7" t="str">
        <f>VLOOKUP($A58,SkillEnum!$A$2:$C$1020,3,FALSE)</f>
        <v>중급 마법수련</v>
      </c>
      <c r="F58" s="7" t="str">
        <f t="shared" si="11"/>
        <v>기본 마법 공격력이 210 증가 한다.</v>
      </c>
      <c r="G58" s="2">
        <v>7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f t="shared" si="12"/>
        <v>210</v>
      </c>
      <c r="N58" s="2">
        <v>0</v>
      </c>
      <c r="O58" s="2">
        <v>0</v>
      </c>
      <c r="P58" s="2" t="s">
        <v>432</v>
      </c>
      <c r="Q58" s="2" t="str">
        <f t="shared" si="1"/>
        <v>SI_P_COMMON_MAGIC_ATTACK_INTERMEDIATE</v>
      </c>
      <c r="R58" s="2" t="b">
        <v>0</v>
      </c>
      <c r="S58" s="2" t="b">
        <v>1</v>
      </c>
      <c r="T58" s="2">
        <v>0</v>
      </c>
    </row>
    <row r="59" spans="1:21">
      <c r="A59" s="4">
        <v>6</v>
      </c>
      <c r="B59" s="7" t="str">
        <f>VLOOKUP($A59,SkillEnum!$A$2:$C$1020,2,FALSE)</f>
        <v>SI_P_COMMON_MAGIC_ATTACK_INTERMEDIATE</v>
      </c>
      <c r="C59" s="7">
        <v>2</v>
      </c>
      <c r="D59" s="2" t="str">
        <f>VLOOKUP($C59,SkillEnum!$D$2:$E$10,2,FALSE)</f>
        <v>ST_PASSIVE_MAGIC_ATTACK</v>
      </c>
      <c r="E59" s="7" t="str">
        <f>VLOOKUP($A59,SkillEnum!$A$2:$C$1020,3,FALSE)</f>
        <v>중급 마법수련</v>
      </c>
      <c r="F59" s="7" t="str">
        <f t="shared" si="11"/>
        <v>기본 마법 공격력이 240 증가 한다.</v>
      </c>
      <c r="G59" s="2">
        <v>8</v>
      </c>
      <c r="H59" s="2">
        <v>1</v>
      </c>
      <c r="I59" s="2">
        <v>0</v>
      </c>
      <c r="J59" s="2">
        <v>0</v>
      </c>
      <c r="K59" s="2">
        <v>0</v>
      </c>
      <c r="L59" s="2">
        <v>0</v>
      </c>
      <c r="M59" s="2">
        <f t="shared" si="12"/>
        <v>240</v>
      </c>
      <c r="N59" s="2">
        <v>0</v>
      </c>
      <c r="O59" s="2">
        <v>0</v>
      </c>
      <c r="P59" s="2" t="s">
        <v>432</v>
      </c>
      <c r="Q59" s="2" t="str">
        <f t="shared" si="1"/>
        <v>SI_P_COMMON_MAGIC_ATTACK_INTERMEDIATE</v>
      </c>
      <c r="R59" s="2" t="b">
        <v>0</v>
      </c>
      <c r="S59" s="2" t="b">
        <v>1</v>
      </c>
      <c r="T59" s="2">
        <v>0</v>
      </c>
    </row>
    <row r="60" spans="1:21">
      <c r="A60" s="4">
        <v>6</v>
      </c>
      <c r="B60" s="7" t="str">
        <f>VLOOKUP($A60,SkillEnum!$A$2:$C$1020,2,FALSE)</f>
        <v>SI_P_COMMON_MAGIC_ATTACK_INTERMEDIATE</v>
      </c>
      <c r="C60" s="7">
        <v>2</v>
      </c>
      <c r="D60" s="2" t="str">
        <f>VLOOKUP($C60,SkillEnum!$D$2:$E$10,2,FALSE)</f>
        <v>ST_PASSIVE_MAGIC_ATTACK</v>
      </c>
      <c r="E60" s="7" t="str">
        <f>VLOOKUP($A60,SkillEnum!$A$2:$C$1020,3,FALSE)</f>
        <v>중급 마법수련</v>
      </c>
      <c r="F60" s="7" t="str">
        <f t="shared" si="11"/>
        <v>기본 마법 공격력이 270 증가 한다.</v>
      </c>
      <c r="G60" s="2">
        <v>9</v>
      </c>
      <c r="H60" s="2">
        <v>1</v>
      </c>
      <c r="I60" s="2">
        <v>0</v>
      </c>
      <c r="J60" s="2">
        <v>0</v>
      </c>
      <c r="K60" s="2">
        <v>0</v>
      </c>
      <c r="L60" s="2">
        <v>0</v>
      </c>
      <c r="M60" s="2">
        <f t="shared" si="12"/>
        <v>270</v>
      </c>
      <c r="N60" s="2">
        <v>0</v>
      </c>
      <c r="O60" s="2">
        <v>0</v>
      </c>
      <c r="P60" s="2" t="s">
        <v>432</v>
      </c>
      <c r="Q60" s="2" t="str">
        <f t="shared" si="1"/>
        <v>SI_P_COMMON_MAGIC_ATTACK_INTERMEDIATE</v>
      </c>
      <c r="R60" s="2" t="b">
        <v>0</v>
      </c>
      <c r="S60" s="2" t="b">
        <v>1</v>
      </c>
      <c r="T60" s="2">
        <v>0</v>
      </c>
    </row>
    <row r="61" spans="1:21" s="5" customFormat="1">
      <c r="A61" s="6">
        <v>6</v>
      </c>
      <c r="B61" s="8" t="str">
        <f>VLOOKUP($A61,SkillEnum!$A$2:$C$1020,2,FALSE)</f>
        <v>SI_P_COMMON_MAGIC_ATTACK_INTERMEDIATE</v>
      </c>
      <c r="C61" s="8">
        <v>2</v>
      </c>
      <c r="D61" s="5" t="str">
        <f>VLOOKUP($C61,SkillEnum!$D$2:$E$10,2,FALSE)</f>
        <v>ST_PASSIVE_MAGIC_ATTACK</v>
      </c>
      <c r="E61" s="8" t="str">
        <f>VLOOKUP($A61,SkillEnum!$A$2:$C$1020,3,FALSE)</f>
        <v>중급 마법수련</v>
      </c>
      <c r="F61" s="8" t="str">
        <f t="shared" si="11"/>
        <v>기본 마법 공격력이 300 증가 한다.</v>
      </c>
      <c r="G61" s="5">
        <v>10</v>
      </c>
      <c r="H61" s="5">
        <v>1</v>
      </c>
      <c r="I61" s="5">
        <v>0</v>
      </c>
      <c r="J61" s="5">
        <v>0</v>
      </c>
      <c r="K61" s="5">
        <v>0</v>
      </c>
      <c r="L61" s="5">
        <v>0</v>
      </c>
      <c r="M61" s="2">
        <f t="shared" si="12"/>
        <v>300</v>
      </c>
      <c r="N61" s="5">
        <v>0</v>
      </c>
      <c r="O61" s="5">
        <v>0</v>
      </c>
      <c r="P61" s="2" t="s">
        <v>432</v>
      </c>
      <c r="Q61" s="2" t="str">
        <f t="shared" si="1"/>
        <v>SI_P_COMMON_MAGIC_ATTACK_INTERMEDIATE</v>
      </c>
      <c r="R61" s="5" t="b">
        <v>0</v>
      </c>
      <c r="S61" s="2" t="b">
        <v>1</v>
      </c>
      <c r="T61" s="2">
        <v>0</v>
      </c>
      <c r="U61" s="2"/>
    </row>
    <row r="62" spans="1:21" s="10" customFormat="1">
      <c r="A62" s="9">
        <v>7</v>
      </c>
      <c r="B62" s="11" t="str">
        <f>VLOOKUP($A62,SkillEnum!$A$2:$C$1020,2,FALSE)</f>
        <v>SI_P_COMMON_PHYSIC_DEFENCE_INTERMEDIATE</v>
      </c>
      <c r="C62" s="11">
        <v>4</v>
      </c>
      <c r="D62" s="10" t="str">
        <f>VLOOKUP($C62,SkillEnum!$D$2:$E$10,2,FALSE)</f>
        <v>ST_PASSIVE_PHYSIC_DEFENCE</v>
      </c>
      <c r="E62" s="11" t="str">
        <f>VLOOKUP($A62,SkillEnum!$A$2:$C$1020,3,FALSE)</f>
        <v>중급 물리방어술</v>
      </c>
      <c r="F62" s="11" t="str">
        <f t="shared" ref="F62:F71" si="13">"기본 물리 방어력이 "&amp;N62&amp;" 증가 한다."</f>
        <v>기본 물리 방어력이 10 증가 한다.</v>
      </c>
      <c r="G62" s="10">
        <v>1</v>
      </c>
      <c r="H62" s="2">
        <v>1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10</v>
      </c>
      <c r="O62" s="10">
        <v>0</v>
      </c>
      <c r="P62" s="2" t="s">
        <v>432</v>
      </c>
      <c r="Q62" s="2" t="str">
        <f t="shared" si="1"/>
        <v>SI_P_COMMON_PHYSIC_DEFENCE_INTERMEDIATE</v>
      </c>
      <c r="R62" s="10" t="b">
        <v>0</v>
      </c>
      <c r="S62" s="2" t="b">
        <v>1</v>
      </c>
      <c r="T62" s="2">
        <v>0</v>
      </c>
      <c r="U62" s="2"/>
    </row>
    <row r="63" spans="1:21">
      <c r="A63" s="4">
        <v>7</v>
      </c>
      <c r="B63" s="7" t="str">
        <f>VLOOKUP($A63,SkillEnum!$A$2:$C$1020,2,FALSE)</f>
        <v>SI_P_COMMON_PHYSIC_DEFENCE_INTERMEDIATE</v>
      </c>
      <c r="C63" s="7">
        <v>4</v>
      </c>
      <c r="D63" s="2" t="str">
        <f>VLOOKUP($C63,SkillEnum!$D$2:$E$10,2,FALSE)</f>
        <v>ST_PASSIVE_PHYSIC_DEFENCE</v>
      </c>
      <c r="E63" s="7" t="str">
        <f>VLOOKUP($A63,SkillEnum!$A$2:$C$1020,3,FALSE)</f>
        <v>중급 물리방어술</v>
      </c>
      <c r="F63" s="7" t="str">
        <f t="shared" si="13"/>
        <v>기본 물리 방어력이 20 증가 한다.</v>
      </c>
      <c r="G63" s="2">
        <v>2</v>
      </c>
      <c r="H63" s="2">
        <v>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f>N62+10</f>
        <v>20</v>
      </c>
      <c r="O63" s="2">
        <v>0</v>
      </c>
      <c r="P63" s="2" t="s">
        <v>432</v>
      </c>
      <c r="Q63" s="2" t="str">
        <f t="shared" si="1"/>
        <v>SI_P_COMMON_PHYSIC_DEFENCE_INTERMEDIATE</v>
      </c>
      <c r="R63" s="2" t="b">
        <v>0</v>
      </c>
      <c r="S63" s="2" t="b">
        <v>1</v>
      </c>
      <c r="T63" s="2">
        <v>0</v>
      </c>
    </row>
    <row r="64" spans="1:21">
      <c r="A64" s="4">
        <v>7</v>
      </c>
      <c r="B64" s="7" t="str">
        <f>VLOOKUP($A64,SkillEnum!$A$2:$C$1020,2,FALSE)</f>
        <v>SI_P_COMMON_PHYSIC_DEFENCE_INTERMEDIATE</v>
      </c>
      <c r="C64" s="7">
        <v>4</v>
      </c>
      <c r="D64" s="2" t="str">
        <f>VLOOKUP($C64,SkillEnum!$D$2:$E$10,2,FALSE)</f>
        <v>ST_PASSIVE_PHYSIC_DEFENCE</v>
      </c>
      <c r="E64" s="7" t="str">
        <f>VLOOKUP($A64,SkillEnum!$A$2:$C$1020,3,FALSE)</f>
        <v>중급 물리방어술</v>
      </c>
      <c r="F64" s="7" t="str">
        <f t="shared" si="13"/>
        <v>기본 물리 방어력이 30 증가 한다.</v>
      </c>
      <c r="G64" s="2">
        <v>3</v>
      </c>
      <c r="H64" s="2">
        <v>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f t="shared" ref="N64:N71" si="14">N63+10</f>
        <v>30</v>
      </c>
      <c r="O64" s="2">
        <v>0</v>
      </c>
      <c r="P64" s="2" t="s">
        <v>432</v>
      </c>
      <c r="Q64" s="2" t="str">
        <f t="shared" si="1"/>
        <v>SI_P_COMMON_PHYSIC_DEFENCE_INTERMEDIATE</v>
      </c>
      <c r="R64" s="2" t="b">
        <v>0</v>
      </c>
      <c r="S64" s="2" t="b">
        <v>1</v>
      </c>
      <c r="T64" s="2">
        <v>0</v>
      </c>
    </row>
    <row r="65" spans="1:21">
      <c r="A65" s="4">
        <v>7</v>
      </c>
      <c r="B65" s="7" t="str">
        <f>VLOOKUP($A65,SkillEnum!$A$2:$C$1020,2,FALSE)</f>
        <v>SI_P_COMMON_PHYSIC_DEFENCE_INTERMEDIATE</v>
      </c>
      <c r="C65" s="7">
        <v>4</v>
      </c>
      <c r="D65" s="2" t="str">
        <f>VLOOKUP($C65,SkillEnum!$D$2:$E$10,2,FALSE)</f>
        <v>ST_PASSIVE_PHYSIC_DEFENCE</v>
      </c>
      <c r="E65" s="7" t="str">
        <f>VLOOKUP($A65,SkillEnum!$A$2:$C$1020,3,FALSE)</f>
        <v>중급 물리방어술</v>
      </c>
      <c r="F65" s="7" t="str">
        <f t="shared" si="13"/>
        <v>기본 물리 방어력이 40 증가 한다.</v>
      </c>
      <c r="G65" s="2">
        <v>4</v>
      </c>
      <c r="H65" s="2">
        <v>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f t="shared" si="14"/>
        <v>40</v>
      </c>
      <c r="O65" s="2">
        <v>0</v>
      </c>
      <c r="P65" s="2" t="s">
        <v>432</v>
      </c>
      <c r="Q65" s="2" t="str">
        <f t="shared" si="1"/>
        <v>SI_P_COMMON_PHYSIC_DEFENCE_INTERMEDIATE</v>
      </c>
      <c r="R65" s="2" t="b">
        <v>0</v>
      </c>
      <c r="S65" s="2" t="b">
        <v>1</v>
      </c>
      <c r="T65" s="2">
        <v>0</v>
      </c>
    </row>
    <row r="66" spans="1:21">
      <c r="A66" s="4">
        <v>7</v>
      </c>
      <c r="B66" s="7" t="str">
        <f>VLOOKUP($A66,SkillEnum!$A$2:$C$1020,2,FALSE)</f>
        <v>SI_P_COMMON_PHYSIC_DEFENCE_INTERMEDIATE</v>
      </c>
      <c r="C66" s="7">
        <v>4</v>
      </c>
      <c r="D66" s="2" t="str">
        <f>VLOOKUP($C66,SkillEnum!$D$2:$E$10,2,FALSE)</f>
        <v>ST_PASSIVE_PHYSIC_DEFENCE</v>
      </c>
      <c r="E66" s="7" t="str">
        <f>VLOOKUP($A66,SkillEnum!$A$2:$C$1020,3,FALSE)</f>
        <v>중급 물리방어술</v>
      </c>
      <c r="F66" s="7" t="str">
        <f t="shared" si="13"/>
        <v>기본 물리 방어력이 50 증가 한다.</v>
      </c>
      <c r="G66" s="2">
        <v>5</v>
      </c>
      <c r="H66" s="2">
        <v>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f t="shared" si="14"/>
        <v>50</v>
      </c>
      <c r="O66" s="2">
        <v>0</v>
      </c>
      <c r="P66" s="2" t="s">
        <v>432</v>
      </c>
      <c r="Q66" s="2" t="str">
        <f t="shared" si="1"/>
        <v>SI_P_COMMON_PHYSIC_DEFENCE_INTERMEDIATE</v>
      </c>
      <c r="R66" s="2" t="b">
        <v>0</v>
      </c>
      <c r="S66" s="2" t="b">
        <v>1</v>
      </c>
      <c r="T66" s="2">
        <v>0</v>
      </c>
    </row>
    <row r="67" spans="1:21">
      <c r="A67" s="4">
        <v>7</v>
      </c>
      <c r="B67" s="7" t="str">
        <f>VLOOKUP($A67,SkillEnum!$A$2:$C$1020,2,FALSE)</f>
        <v>SI_P_COMMON_PHYSIC_DEFENCE_INTERMEDIATE</v>
      </c>
      <c r="C67" s="7">
        <v>4</v>
      </c>
      <c r="D67" s="2" t="str">
        <f>VLOOKUP($C67,SkillEnum!$D$2:$E$10,2,FALSE)</f>
        <v>ST_PASSIVE_PHYSIC_DEFENCE</v>
      </c>
      <c r="E67" s="7" t="str">
        <f>VLOOKUP($A67,SkillEnum!$A$2:$C$1020,3,FALSE)</f>
        <v>중급 물리방어술</v>
      </c>
      <c r="F67" s="7" t="str">
        <f t="shared" si="13"/>
        <v>기본 물리 방어력이 60 증가 한다.</v>
      </c>
      <c r="G67" s="2">
        <v>6</v>
      </c>
      <c r="H67" s="2">
        <v>1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f t="shared" si="14"/>
        <v>60</v>
      </c>
      <c r="O67" s="2">
        <v>0</v>
      </c>
      <c r="P67" s="2" t="s">
        <v>432</v>
      </c>
      <c r="Q67" s="2" t="str">
        <f t="shared" ref="Q67:Q130" si="15">B67</f>
        <v>SI_P_COMMON_PHYSIC_DEFENCE_INTERMEDIATE</v>
      </c>
      <c r="R67" s="2" t="b">
        <v>0</v>
      </c>
      <c r="S67" s="2" t="b">
        <v>1</v>
      </c>
      <c r="T67" s="2">
        <v>0</v>
      </c>
    </row>
    <row r="68" spans="1:21">
      <c r="A68" s="4">
        <v>7</v>
      </c>
      <c r="B68" s="7" t="str">
        <f>VLOOKUP($A68,SkillEnum!$A$2:$C$1020,2,FALSE)</f>
        <v>SI_P_COMMON_PHYSIC_DEFENCE_INTERMEDIATE</v>
      </c>
      <c r="C68" s="7">
        <v>4</v>
      </c>
      <c r="D68" s="2" t="str">
        <f>VLOOKUP($C68,SkillEnum!$D$2:$E$10,2,FALSE)</f>
        <v>ST_PASSIVE_PHYSIC_DEFENCE</v>
      </c>
      <c r="E68" s="7" t="str">
        <f>VLOOKUP($A68,SkillEnum!$A$2:$C$1020,3,FALSE)</f>
        <v>중급 물리방어술</v>
      </c>
      <c r="F68" s="7" t="str">
        <f t="shared" si="13"/>
        <v>기본 물리 방어력이 70 증가 한다.</v>
      </c>
      <c r="G68" s="2">
        <v>7</v>
      </c>
      <c r="H68" s="2">
        <v>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f t="shared" si="14"/>
        <v>70</v>
      </c>
      <c r="O68" s="2">
        <v>0</v>
      </c>
      <c r="P68" s="2" t="s">
        <v>432</v>
      </c>
      <c r="Q68" s="2" t="str">
        <f t="shared" si="15"/>
        <v>SI_P_COMMON_PHYSIC_DEFENCE_INTERMEDIATE</v>
      </c>
      <c r="R68" s="2" t="b">
        <v>0</v>
      </c>
      <c r="S68" s="2" t="b">
        <v>1</v>
      </c>
      <c r="T68" s="2">
        <v>0</v>
      </c>
    </row>
    <row r="69" spans="1:21">
      <c r="A69" s="4">
        <v>7</v>
      </c>
      <c r="B69" s="7" t="str">
        <f>VLOOKUP($A69,SkillEnum!$A$2:$C$1020,2,FALSE)</f>
        <v>SI_P_COMMON_PHYSIC_DEFENCE_INTERMEDIATE</v>
      </c>
      <c r="C69" s="7">
        <v>4</v>
      </c>
      <c r="D69" s="2" t="str">
        <f>VLOOKUP($C69,SkillEnum!$D$2:$E$10,2,FALSE)</f>
        <v>ST_PASSIVE_PHYSIC_DEFENCE</v>
      </c>
      <c r="E69" s="7" t="str">
        <f>VLOOKUP($A69,SkillEnum!$A$2:$C$1020,3,FALSE)</f>
        <v>중급 물리방어술</v>
      </c>
      <c r="F69" s="7" t="str">
        <f t="shared" si="13"/>
        <v>기본 물리 방어력이 80 증가 한다.</v>
      </c>
      <c r="G69" s="2">
        <v>8</v>
      </c>
      <c r="H69" s="2">
        <v>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f t="shared" si="14"/>
        <v>80</v>
      </c>
      <c r="O69" s="2">
        <v>0</v>
      </c>
      <c r="P69" s="2" t="s">
        <v>432</v>
      </c>
      <c r="Q69" s="2" t="str">
        <f t="shared" si="15"/>
        <v>SI_P_COMMON_PHYSIC_DEFENCE_INTERMEDIATE</v>
      </c>
      <c r="R69" s="2" t="b">
        <v>0</v>
      </c>
      <c r="S69" s="2" t="b">
        <v>1</v>
      </c>
      <c r="T69" s="2">
        <v>0</v>
      </c>
    </row>
    <row r="70" spans="1:21">
      <c r="A70" s="4">
        <v>7</v>
      </c>
      <c r="B70" s="7" t="str">
        <f>VLOOKUP($A70,SkillEnum!$A$2:$C$1020,2,FALSE)</f>
        <v>SI_P_COMMON_PHYSIC_DEFENCE_INTERMEDIATE</v>
      </c>
      <c r="C70" s="7">
        <v>4</v>
      </c>
      <c r="D70" s="2" t="str">
        <f>VLOOKUP($C70,SkillEnum!$D$2:$E$10,2,FALSE)</f>
        <v>ST_PASSIVE_PHYSIC_DEFENCE</v>
      </c>
      <c r="E70" s="7" t="str">
        <f>VLOOKUP($A70,SkillEnum!$A$2:$C$1020,3,FALSE)</f>
        <v>중급 물리방어술</v>
      </c>
      <c r="F70" s="7" t="str">
        <f t="shared" si="13"/>
        <v>기본 물리 방어력이 90 증가 한다.</v>
      </c>
      <c r="G70" s="2">
        <v>9</v>
      </c>
      <c r="H70" s="2">
        <v>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f t="shared" si="14"/>
        <v>90</v>
      </c>
      <c r="O70" s="2">
        <v>0</v>
      </c>
      <c r="P70" s="2" t="s">
        <v>432</v>
      </c>
      <c r="Q70" s="2" t="str">
        <f t="shared" si="15"/>
        <v>SI_P_COMMON_PHYSIC_DEFENCE_INTERMEDIATE</v>
      </c>
      <c r="R70" s="2" t="b">
        <v>0</v>
      </c>
      <c r="S70" s="2" t="b">
        <v>1</v>
      </c>
      <c r="T70" s="2">
        <v>0</v>
      </c>
    </row>
    <row r="71" spans="1:21" s="5" customFormat="1">
      <c r="A71" s="6">
        <v>7</v>
      </c>
      <c r="B71" s="8" t="str">
        <f>VLOOKUP($A71,SkillEnum!$A$2:$C$1020,2,FALSE)</f>
        <v>SI_P_COMMON_PHYSIC_DEFENCE_INTERMEDIATE</v>
      </c>
      <c r="C71" s="8">
        <v>4</v>
      </c>
      <c r="D71" s="5" t="str">
        <f>VLOOKUP($C71,SkillEnum!$D$2:$E$10,2,FALSE)</f>
        <v>ST_PASSIVE_PHYSIC_DEFENCE</v>
      </c>
      <c r="E71" s="8" t="str">
        <f>VLOOKUP($A71,SkillEnum!$A$2:$C$1020,3,FALSE)</f>
        <v>중급 물리방어술</v>
      </c>
      <c r="F71" s="8" t="str">
        <f t="shared" si="13"/>
        <v>기본 물리 방어력이 100 증가 한다.</v>
      </c>
      <c r="G71" s="5">
        <v>10</v>
      </c>
      <c r="H71" s="5">
        <v>1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2">
        <f t="shared" si="14"/>
        <v>100</v>
      </c>
      <c r="O71" s="5">
        <v>0</v>
      </c>
      <c r="P71" s="2" t="s">
        <v>432</v>
      </c>
      <c r="Q71" s="2" t="str">
        <f t="shared" si="15"/>
        <v>SI_P_COMMON_PHYSIC_DEFENCE_INTERMEDIATE</v>
      </c>
      <c r="R71" s="5" t="b">
        <v>0</v>
      </c>
      <c r="S71" s="2" t="b">
        <v>1</v>
      </c>
      <c r="T71" s="2">
        <v>0</v>
      </c>
      <c r="U71" s="2"/>
    </row>
    <row r="72" spans="1:21" s="10" customFormat="1">
      <c r="A72" s="9">
        <v>8</v>
      </c>
      <c r="B72" s="11" t="str">
        <f>VLOOKUP($A72,SkillEnum!$A$2:$C$1020,2,FALSE)</f>
        <v>SI_P_COMMON_MAGIC_DEFENCE_INTERMEDIATE</v>
      </c>
      <c r="C72" s="11">
        <v>3</v>
      </c>
      <c r="D72" s="10" t="str">
        <f>VLOOKUP($C72,SkillEnum!$D$2:$E$10,2,FALSE)</f>
        <v>ST_PASSIVE_MAGIC_DEFENCE</v>
      </c>
      <c r="E72" s="11" t="str">
        <f>VLOOKUP($A72,SkillEnum!$A$2:$C$1020,3,FALSE)</f>
        <v>중급 마법방어술</v>
      </c>
      <c r="F72" s="11" t="str">
        <f t="shared" ref="F72:F81" si="16">"기본 마법 방어력이 "&amp;O72&amp;" 증가 한다."</f>
        <v>기본 마법 방어력이 10 증가 한다.</v>
      </c>
      <c r="G72" s="10">
        <v>1</v>
      </c>
      <c r="H72" s="2">
        <v>1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0</v>
      </c>
      <c r="O72" s="10">
        <v>10</v>
      </c>
      <c r="P72" s="2" t="s">
        <v>432</v>
      </c>
      <c r="Q72" s="2" t="str">
        <f t="shared" si="15"/>
        <v>SI_P_COMMON_MAGIC_DEFENCE_INTERMEDIATE</v>
      </c>
      <c r="R72" s="10" t="b">
        <v>0</v>
      </c>
      <c r="S72" s="2" t="b">
        <v>1</v>
      </c>
      <c r="T72" s="2">
        <v>0</v>
      </c>
      <c r="U72" s="2"/>
    </row>
    <row r="73" spans="1:21">
      <c r="A73" s="4">
        <v>8</v>
      </c>
      <c r="B73" s="7" t="str">
        <f>VLOOKUP($A73,SkillEnum!$A$2:$C$1020,2,FALSE)</f>
        <v>SI_P_COMMON_MAGIC_DEFENCE_INTERMEDIATE</v>
      </c>
      <c r="C73" s="7">
        <v>3</v>
      </c>
      <c r="D73" s="2" t="str">
        <f>VLOOKUP($C73,SkillEnum!$D$2:$E$10,2,FALSE)</f>
        <v>ST_PASSIVE_MAGIC_DEFENCE</v>
      </c>
      <c r="E73" s="7" t="str">
        <f>VLOOKUP($A73,SkillEnum!$A$2:$C$1020,3,FALSE)</f>
        <v>중급 마법방어술</v>
      </c>
      <c r="F73" s="7" t="str">
        <f t="shared" si="16"/>
        <v>기본 마법 방어력이 20 증가 한다.</v>
      </c>
      <c r="G73" s="2">
        <v>2</v>
      </c>
      <c r="H73" s="2">
        <v>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f>O72+10</f>
        <v>20</v>
      </c>
      <c r="P73" s="2" t="s">
        <v>432</v>
      </c>
      <c r="Q73" s="2" t="str">
        <f t="shared" si="15"/>
        <v>SI_P_COMMON_MAGIC_DEFENCE_INTERMEDIATE</v>
      </c>
      <c r="R73" s="2" t="b">
        <v>0</v>
      </c>
      <c r="S73" s="2" t="b">
        <v>1</v>
      </c>
      <c r="T73" s="2">
        <v>0</v>
      </c>
    </row>
    <row r="74" spans="1:21">
      <c r="A74" s="4">
        <v>8</v>
      </c>
      <c r="B74" s="7" t="str">
        <f>VLOOKUP($A74,SkillEnum!$A$2:$C$1020,2,FALSE)</f>
        <v>SI_P_COMMON_MAGIC_DEFENCE_INTERMEDIATE</v>
      </c>
      <c r="C74" s="7">
        <v>3</v>
      </c>
      <c r="D74" s="2" t="str">
        <f>VLOOKUP($C74,SkillEnum!$D$2:$E$10,2,FALSE)</f>
        <v>ST_PASSIVE_MAGIC_DEFENCE</v>
      </c>
      <c r="E74" s="7" t="str">
        <f>VLOOKUP($A74,SkillEnum!$A$2:$C$1020,3,FALSE)</f>
        <v>중급 마법방어술</v>
      </c>
      <c r="F74" s="7" t="str">
        <f t="shared" si="16"/>
        <v>기본 마법 방어력이 30 증가 한다.</v>
      </c>
      <c r="G74" s="2">
        <v>3</v>
      </c>
      <c r="H74" s="2">
        <v>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f t="shared" ref="O74:O81" si="17">O73+10</f>
        <v>30</v>
      </c>
      <c r="P74" s="2" t="s">
        <v>432</v>
      </c>
      <c r="Q74" s="2" t="str">
        <f t="shared" si="15"/>
        <v>SI_P_COMMON_MAGIC_DEFENCE_INTERMEDIATE</v>
      </c>
      <c r="R74" s="2" t="b">
        <v>0</v>
      </c>
      <c r="S74" s="2" t="b">
        <v>1</v>
      </c>
      <c r="T74" s="2">
        <v>0</v>
      </c>
    </row>
    <row r="75" spans="1:21">
      <c r="A75" s="4">
        <v>8</v>
      </c>
      <c r="B75" s="7" t="str">
        <f>VLOOKUP($A75,SkillEnum!$A$2:$C$1020,2,FALSE)</f>
        <v>SI_P_COMMON_MAGIC_DEFENCE_INTERMEDIATE</v>
      </c>
      <c r="C75" s="7">
        <v>3</v>
      </c>
      <c r="D75" s="2" t="str">
        <f>VLOOKUP($C75,SkillEnum!$D$2:$E$10,2,FALSE)</f>
        <v>ST_PASSIVE_MAGIC_DEFENCE</v>
      </c>
      <c r="E75" s="7" t="str">
        <f>VLOOKUP($A75,SkillEnum!$A$2:$C$1020,3,FALSE)</f>
        <v>중급 마법방어술</v>
      </c>
      <c r="F75" s="7" t="str">
        <f t="shared" si="16"/>
        <v>기본 마법 방어력이 40 증가 한다.</v>
      </c>
      <c r="G75" s="2">
        <v>4</v>
      </c>
      <c r="H75" s="2">
        <v>1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f t="shared" si="17"/>
        <v>40</v>
      </c>
      <c r="P75" s="2" t="s">
        <v>432</v>
      </c>
      <c r="Q75" s="2" t="str">
        <f t="shared" si="15"/>
        <v>SI_P_COMMON_MAGIC_DEFENCE_INTERMEDIATE</v>
      </c>
      <c r="R75" s="2" t="b">
        <v>0</v>
      </c>
      <c r="S75" s="2" t="b">
        <v>1</v>
      </c>
      <c r="T75" s="2">
        <v>0</v>
      </c>
    </row>
    <row r="76" spans="1:21">
      <c r="A76" s="4">
        <v>8</v>
      </c>
      <c r="B76" s="7" t="str">
        <f>VLOOKUP($A76,SkillEnum!$A$2:$C$1020,2,FALSE)</f>
        <v>SI_P_COMMON_MAGIC_DEFENCE_INTERMEDIATE</v>
      </c>
      <c r="C76" s="7">
        <v>3</v>
      </c>
      <c r="D76" s="2" t="str">
        <f>VLOOKUP($C76,SkillEnum!$D$2:$E$10,2,FALSE)</f>
        <v>ST_PASSIVE_MAGIC_DEFENCE</v>
      </c>
      <c r="E76" s="7" t="str">
        <f>VLOOKUP($A76,SkillEnum!$A$2:$C$1020,3,FALSE)</f>
        <v>중급 마법방어술</v>
      </c>
      <c r="F76" s="7" t="str">
        <f t="shared" si="16"/>
        <v>기본 마법 방어력이 50 증가 한다.</v>
      </c>
      <c r="G76" s="2">
        <v>5</v>
      </c>
      <c r="H76" s="2">
        <v>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f t="shared" si="17"/>
        <v>50</v>
      </c>
      <c r="P76" s="2" t="s">
        <v>432</v>
      </c>
      <c r="Q76" s="2" t="str">
        <f t="shared" si="15"/>
        <v>SI_P_COMMON_MAGIC_DEFENCE_INTERMEDIATE</v>
      </c>
      <c r="R76" s="2" t="b">
        <v>0</v>
      </c>
      <c r="S76" s="2" t="b">
        <v>1</v>
      </c>
      <c r="T76" s="2">
        <v>0</v>
      </c>
    </row>
    <row r="77" spans="1:21">
      <c r="A77" s="4">
        <v>8</v>
      </c>
      <c r="B77" s="7" t="str">
        <f>VLOOKUP($A77,SkillEnum!$A$2:$C$1020,2,FALSE)</f>
        <v>SI_P_COMMON_MAGIC_DEFENCE_INTERMEDIATE</v>
      </c>
      <c r="C77" s="7">
        <v>3</v>
      </c>
      <c r="D77" s="2" t="str">
        <f>VLOOKUP($C77,SkillEnum!$D$2:$E$10,2,FALSE)</f>
        <v>ST_PASSIVE_MAGIC_DEFENCE</v>
      </c>
      <c r="E77" s="7" t="str">
        <f>VLOOKUP($A77,SkillEnum!$A$2:$C$1020,3,FALSE)</f>
        <v>중급 마법방어술</v>
      </c>
      <c r="F77" s="7" t="str">
        <f t="shared" si="16"/>
        <v>기본 마법 방어력이 60 증가 한다.</v>
      </c>
      <c r="G77" s="2">
        <v>6</v>
      </c>
      <c r="H77" s="2">
        <v>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f t="shared" si="17"/>
        <v>60</v>
      </c>
      <c r="P77" s="2" t="s">
        <v>432</v>
      </c>
      <c r="Q77" s="2" t="str">
        <f t="shared" si="15"/>
        <v>SI_P_COMMON_MAGIC_DEFENCE_INTERMEDIATE</v>
      </c>
      <c r="R77" s="2" t="b">
        <v>0</v>
      </c>
      <c r="S77" s="2" t="b">
        <v>1</v>
      </c>
      <c r="T77" s="2">
        <v>0</v>
      </c>
    </row>
    <row r="78" spans="1:21">
      <c r="A78" s="4">
        <v>8</v>
      </c>
      <c r="B78" s="7" t="str">
        <f>VLOOKUP($A78,SkillEnum!$A$2:$C$1020,2,FALSE)</f>
        <v>SI_P_COMMON_MAGIC_DEFENCE_INTERMEDIATE</v>
      </c>
      <c r="C78" s="7">
        <v>3</v>
      </c>
      <c r="D78" s="2" t="str">
        <f>VLOOKUP($C78,SkillEnum!$D$2:$E$10,2,FALSE)</f>
        <v>ST_PASSIVE_MAGIC_DEFENCE</v>
      </c>
      <c r="E78" s="7" t="str">
        <f>VLOOKUP($A78,SkillEnum!$A$2:$C$1020,3,FALSE)</f>
        <v>중급 마법방어술</v>
      </c>
      <c r="F78" s="7" t="str">
        <f t="shared" si="16"/>
        <v>기본 마법 방어력이 70 증가 한다.</v>
      </c>
      <c r="G78" s="2">
        <v>7</v>
      </c>
      <c r="H78" s="2">
        <v>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f t="shared" si="17"/>
        <v>70</v>
      </c>
      <c r="P78" s="2" t="s">
        <v>432</v>
      </c>
      <c r="Q78" s="2" t="str">
        <f t="shared" si="15"/>
        <v>SI_P_COMMON_MAGIC_DEFENCE_INTERMEDIATE</v>
      </c>
      <c r="R78" s="2" t="b">
        <v>0</v>
      </c>
      <c r="S78" s="2" t="b">
        <v>1</v>
      </c>
      <c r="T78" s="2">
        <v>0</v>
      </c>
    </row>
    <row r="79" spans="1:21">
      <c r="A79" s="4">
        <v>8</v>
      </c>
      <c r="B79" s="7" t="str">
        <f>VLOOKUP($A79,SkillEnum!$A$2:$C$1020,2,FALSE)</f>
        <v>SI_P_COMMON_MAGIC_DEFENCE_INTERMEDIATE</v>
      </c>
      <c r="C79" s="7">
        <v>3</v>
      </c>
      <c r="D79" s="2" t="str">
        <f>VLOOKUP($C79,SkillEnum!$D$2:$E$10,2,FALSE)</f>
        <v>ST_PASSIVE_MAGIC_DEFENCE</v>
      </c>
      <c r="E79" s="7" t="str">
        <f>VLOOKUP($A79,SkillEnum!$A$2:$C$1020,3,FALSE)</f>
        <v>중급 마법방어술</v>
      </c>
      <c r="F79" s="7" t="str">
        <f t="shared" si="16"/>
        <v>기본 마법 방어력이 80 증가 한다.</v>
      </c>
      <c r="G79" s="2">
        <v>8</v>
      </c>
      <c r="H79" s="2">
        <v>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f t="shared" si="17"/>
        <v>80</v>
      </c>
      <c r="P79" s="2" t="s">
        <v>432</v>
      </c>
      <c r="Q79" s="2" t="str">
        <f t="shared" si="15"/>
        <v>SI_P_COMMON_MAGIC_DEFENCE_INTERMEDIATE</v>
      </c>
      <c r="R79" s="2" t="b">
        <v>0</v>
      </c>
      <c r="S79" s="2" t="b">
        <v>1</v>
      </c>
      <c r="T79" s="2">
        <v>0</v>
      </c>
    </row>
    <row r="80" spans="1:21">
      <c r="A80" s="4">
        <v>8</v>
      </c>
      <c r="B80" s="7" t="str">
        <f>VLOOKUP($A80,SkillEnum!$A$2:$C$1020,2,FALSE)</f>
        <v>SI_P_COMMON_MAGIC_DEFENCE_INTERMEDIATE</v>
      </c>
      <c r="C80" s="7">
        <v>3</v>
      </c>
      <c r="D80" s="2" t="str">
        <f>VLOOKUP($C80,SkillEnum!$D$2:$E$10,2,FALSE)</f>
        <v>ST_PASSIVE_MAGIC_DEFENCE</v>
      </c>
      <c r="E80" s="7" t="str">
        <f>VLOOKUP($A80,SkillEnum!$A$2:$C$1020,3,FALSE)</f>
        <v>중급 마법방어술</v>
      </c>
      <c r="F80" s="7" t="str">
        <f t="shared" si="16"/>
        <v>기본 마법 방어력이 90 증가 한다.</v>
      </c>
      <c r="G80" s="2">
        <v>9</v>
      </c>
      <c r="H80" s="2">
        <v>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f t="shared" si="17"/>
        <v>90</v>
      </c>
      <c r="P80" s="2" t="s">
        <v>432</v>
      </c>
      <c r="Q80" s="2" t="str">
        <f t="shared" si="15"/>
        <v>SI_P_COMMON_MAGIC_DEFENCE_INTERMEDIATE</v>
      </c>
      <c r="R80" s="2" t="b">
        <v>0</v>
      </c>
      <c r="S80" s="2" t="b">
        <v>1</v>
      </c>
      <c r="T80" s="2">
        <v>0</v>
      </c>
    </row>
    <row r="81" spans="1:23" s="5" customFormat="1">
      <c r="A81" s="6">
        <v>8</v>
      </c>
      <c r="B81" s="8" t="str">
        <f>VLOOKUP($A81,SkillEnum!$A$2:$C$1020,2,FALSE)</f>
        <v>SI_P_COMMON_MAGIC_DEFENCE_INTERMEDIATE</v>
      </c>
      <c r="C81" s="8">
        <v>3</v>
      </c>
      <c r="D81" s="5" t="str">
        <f>VLOOKUP($C81,SkillEnum!$D$2:$E$10,2,FALSE)</f>
        <v>ST_PASSIVE_MAGIC_DEFENCE</v>
      </c>
      <c r="E81" s="8" t="str">
        <f>VLOOKUP($A81,SkillEnum!$A$2:$C$1020,3,FALSE)</f>
        <v>중급 마법방어술</v>
      </c>
      <c r="F81" s="8" t="str">
        <f t="shared" si="16"/>
        <v>기본 마법 방어력이 100 증가 한다.</v>
      </c>
      <c r="G81" s="5">
        <v>10</v>
      </c>
      <c r="H81" s="5">
        <v>1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2">
        <f t="shared" si="17"/>
        <v>100</v>
      </c>
      <c r="P81" s="2" t="s">
        <v>432</v>
      </c>
      <c r="Q81" s="2" t="str">
        <f t="shared" si="15"/>
        <v>SI_P_COMMON_MAGIC_DEFENCE_INTERMEDIATE</v>
      </c>
      <c r="R81" s="5" t="b">
        <v>0</v>
      </c>
      <c r="S81" s="2" t="b">
        <v>1</v>
      </c>
      <c r="T81" s="2">
        <v>0</v>
      </c>
      <c r="U81" s="2"/>
    </row>
    <row r="82" spans="1:23" s="10" customFormat="1">
      <c r="A82" s="9">
        <v>9</v>
      </c>
      <c r="B82" s="11" t="str">
        <f>VLOOKUP($A82,SkillEnum!$A$2:$C$1020,2,FALSE)</f>
        <v>SI_P_COMMON_GET_CHANCE</v>
      </c>
      <c r="C82" s="11">
        <v>8</v>
      </c>
      <c r="D82" s="10" t="str">
        <f>VLOOKUP($C82,SkillEnum!$D$2:$E$10,2,FALSE)</f>
        <v>ST_PASSIVE</v>
      </c>
      <c r="E82" s="11" t="str">
        <f>VLOOKUP($A82,SkillEnum!$A$2:$C$1020,3,FALSE)</f>
        <v>기회의 포착</v>
      </c>
      <c r="F82" s="11" t="str">
        <f t="shared" ref="F82:F91" si="18">"X버튼으로 기상 공격시 "&amp;W82&amp;" % 확률로 상대를 쓰러뜨리지 않는다."</f>
        <v>X버튼으로 기상 공격시 20 % 확률로 상대를 쓰러뜨리지 않는다.</v>
      </c>
      <c r="G82" s="10">
        <v>1</v>
      </c>
      <c r="H82" s="2">
        <v>1</v>
      </c>
      <c r="I82" s="10">
        <v>0</v>
      </c>
      <c r="J82" s="10">
        <v>0</v>
      </c>
      <c r="K82" s="10">
        <v>0</v>
      </c>
      <c r="L82" s="10">
        <v>0</v>
      </c>
      <c r="M82" s="10">
        <v>0</v>
      </c>
      <c r="N82" s="10">
        <v>0</v>
      </c>
      <c r="O82" s="10">
        <v>0</v>
      </c>
      <c r="P82" s="2" t="s">
        <v>432</v>
      </c>
      <c r="Q82" s="2" t="str">
        <f t="shared" si="15"/>
        <v>SI_P_COMMON_GET_CHANCE</v>
      </c>
      <c r="R82" s="10" t="b">
        <v>0</v>
      </c>
      <c r="S82" s="2" t="b">
        <v>1</v>
      </c>
      <c r="T82" s="2">
        <v>0</v>
      </c>
      <c r="U82" s="2"/>
      <c r="V82" s="1" t="s">
        <v>158</v>
      </c>
      <c r="W82" s="10">
        <v>20</v>
      </c>
    </row>
    <row r="83" spans="1:23">
      <c r="A83" s="4">
        <v>9</v>
      </c>
      <c r="B83" s="7" t="str">
        <f>VLOOKUP($A83,SkillEnum!$A$2:$C$1020,2,FALSE)</f>
        <v>SI_P_COMMON_GET_CHANCE</v>
      </c>
      <c r="C83" s="7">
        <v>8</v>
      </c>
      <c r="D83" s="2" t="str">
        <f>VLOOKUP($C83,SkillEnum!$D$2:$E$10,2,FALSE)</f>
        <v>ST_PASSIVE</v>
      </c>
      <c r="E83" s="7" t="str">
        <f>VLOOKUP($A83,SkillEnum!$A$2:$C$1020,3,FALSE)</f>
        <v>기회의 포착</v>
      </c>
      <c r="F83" s="7" t="str">
        <f t="shared" si="18"/>
        <v>X버튼으로 기상 공격시 40 % 확률로 상대를 쓰러뜨리지 않는다.</v>
      </c>
      <c r="G83" s="2">
        <v>2</v>
      </c>
      <c r="H83" s="2">
        <v>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 t="s">
        <v>432</v>
      </c>
      <c r="Q83" s="2" t="str">
        <f t="shared" si="15"/>
        <v>SI_P_COMMON_GET_CHANCE</v>
      </c>
      <c r="R83" s="2" t="b">
        <v>0</v>
      </c>
      <c r="S83" s="2" t="b">
        <v>1</v>
      </c>
      <c r="T83" s="2">
        <v>0</v>
      </c>
      <c r="V83" s="1" t="s">
        <v>158</v>
      </c>
      <c r="W83" s="2">
        <v>40</v>
      </c>
    </row>
    <row r="84" spans="1:23">
      <c r="A84" s="4">
        <v>9</v>
      </c>
      <c r="B84" s="7" t="str">
        <f>VLOOKUP($A84,SkillEnum!$A$2:$C$1020,2,FALSE)</f>
        <v>SI_P_COMMON_GET_CHANCE</v>
      </c>
      <c r="C84" s="7">
        <v>8</v>
      </c>
      <c r="D84" s="2" t="str">
        <f>VLOOKUP($C84,SkillEnum!$D$2:$E$10,2,FALSE)</f>
        <v>ST_PASSIVE</v>
      </c>
      <c r="E84" s="7" t="str">
        <f>VLOOKUP($A84,SkillEnum!$A$2:$C$1020,3,FALSE)</f>
        <v>기회의 포착</v>
      </c>
      <c r="F84" s="7" t="str">
        <f t="shared" si="18"/>
        <v>X버튼으로 기상 공격시 60 % 확률로 상대를 쓰러뜨리지 않는다.</v>
      </c>
      <c r="G84" s="2">
        <v>3</v>
      </c>
      <c r="H84" s="2">
        <v>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 t="s">
        <v>432</v>
      </c>
      <c r="Q84" s="2" t="str">
        <f t="shared" si="15"/>
        <v>SI_P_COMMON_GET_CHANCE</v>
      </c>
      <c r="R84" s="2" t="b">
        <v>0</v>
      </c>
      <c r="S84" s="2" t="b">
        <v>1</v>
      </c>
      <c r="T84" s="2">
        <v>0</v>
      </c>
      <c r="V84" s="1" t="s">
        <v>158</v>
      </c>
      <c r="W84" s="2">
        <v>60</v>
      </c>
    </row>
    <row r="85" spans="1:23">
      <c r="A85" s="4">
        <v>9</v>
      </c>
      <c r="B85" s="7" t="str">
        <f>VLOOKUP($A85,SkillEnum!$A$2:$C$1020,2,FALSE)</f>
        <v>SI_P_COMMON_GET_CHANCE</v>
      </c>
      <c r="C85" s="7">
        <v>8</v>
      </c>
      <c r="D85" s="2" t="str">
        <f>VLOOKUP($C85,SkillEnum!$D$2:$E$10,2,FALSE)</f>
        <v>ST_PASSIVE</v>
      </c>
      <c r="E85" s="7" t="str">
        <f>VLOOKUP($A85,SkillEnum!$A$2:$C$1020,3,FALSE)</f>
        <v>기회의 포착</v>
      </c>
      <c r="F85" s="7" t="str">
        <f t="shared" si="18"/>
        <v>X버튼으로 기상 공격시 80 % 확률로 상대를 쓰러뜨리지 않는다.</v>
      </c>
      <c r="G85" s="2">
        <v>4</v>
      </c>
      <c r="H85" s="2">
        <v>1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 t="s">
        <v>432</v>
      </c>
      <c r="Q85" s="2" t="str">
        <f t="shared" si="15"/>
        <v>SI_P_COMMON_GET_CHANCE</v>
      </c>
      <c r="R85" s="2" t="b">
        <v>0</v>
      </c>
      <c r="S85" s="2" t="b">
        <v>1</v>
      </c>
      <c r="T85" s="2">
        <v>0</v>
      </c>
      <c r="V85" s="1" t="s">
        <v>158</v>
      </c>
      <c r="W85" s="2">
        <v>80</v>
      </c>
    </row>
    <row r="86" spans="1:23">
      <c r="A86" s="4">
        <v>9</v>
      </c>
      <c r="B86" s="7" t="str">
        <f>VLOOKUP($A86,SkillEnum!$A$2:$C$1020,2,FALSE)</f>
        <v>SI_P_COMMON_GET_CHANCE</v>
      </c>
      <c r="C86" s="7">
        <v>8</v>
      </c>
      <c r="D86" s="2" t="str">
        <f>VLOOKUP($C86,SkillEnum!$D$2:$E$10,2,FALSE)</f>
        <v>ST_PASSIVE</v>
      </c>
      <c r="E86" s="7" t="str">
        <f>VLOOKUP($A86,SkillEnum!$A$2:$C$1020,3,FALSE)</f>
        <v>기회의 포착</v>
      </c>
      <c r="F86" s="7" t="str">
        <f t="shared" si="18"/>
        <v>X버튼으로 기상 공격시 100 % 확률로 상대를 쓰러뜨리지 않는다.</v>
      </c>
      <c r="G86" s="2">
        <v>5</v>
      </c>
      <c r="H86" s="2">
        <v>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 t="s">
        <v>432</v>
      </c>
      <c r="Q86" s="2" t="str">
        <f t="shared" si="15"/>
        <v>SI_P_COMMON_GET_CHANCE</v>
      </c>
      <c r="R86" s="2" t="b">
        <v>0</v>
      </c>
      <c r="S86" s="2" t="b">
        <v>1</v>
      </c>
      <c r="T86" s="2">
        <v>0</v>
      </c>
      <c r="V86" s="1" t="s">
        <v>158</v>
      </c>
      <c r="W86" s="2">
        <v>100</v>
      </c>
    </row>
    <row r="87" spans="1:23">
      <c r="A87" s="4">
        <v>9</v>
      </c>
      <c r="B87" s="7" t="str">
        <f>VLOOKUP($A87,SkillEnum!$A$2:$C$1020,2,FALSE)</f>
        <v>SI_P_COMMON_GET_CHANCE</v>
      </c>
      <c r="C87" s="7">
        <v>8</v>
      </c>
      <c r="D87" s="2" t="str">
        <f>VLOOKUP($C87,SkillEnum!$D$2:$E$10,2,FALSE)</f>
        <v>ST_PASSIVE</v>
      </c>
      <c r="E87" s="7" t="str">
        <f>VLOOKUP($A87,SkillEnum!$A$2:$C$1020,3,FALSE)</f>
        <v>기회의 포착</v>
      </c>
      <c r="F87" s="7" t="str">
        <f t="shared" si="18"/>
        <v>X버튼으로 기상 공격시 100 % 확률로 상대를 쓰러뜨리지 않는다.</v>
      </c>
      <c r="G87" s="2">
        <v>6</v>
      </c>
      <c r="H87" s="2">
        <v>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 t="s">
        <v>432</v>
      </c>
      <c r="Q87" s="2" t="str">
        <f t="shared" si="15"/>
        <v>SI_P_COMMON_GET_CHANCE</v>
      </c>
      <c r="R87" s="2" t="b">
        <v>0</v>
      </c>
      <c r="S87" s="2" t="b">
        <v>1</v>
      </c>
      <c r="T87" s="2">
        <v>0</v>
      </c>
      <c r="V87" s="1" t="s">
        <v>158</v>
      </c>
      <c r="W87" s="2">
        <v>100</v>
      </c>
    </row>
    <row r="88" spans="1:23">
      <c r="A88" s="4">
        <v>9</v>
      </c>
      <c r="B88" s="7" t="str">
        <f>VLOOKUP($A88,SkillEnum!$A$2:$C$1020,2,FALSE)</f>
        <v>SI_P_COMMON_GET_CHANCE</v>
      </c>
      <c r="C88" s="7">
        <v>8</v>
      </c>
      <c r="D88" s="2" t="str">
        <f>VLOOKUP($C88,SkillEnum!$D$2:$E$10,2,FALSE)</f>
        <v>ST_PASSIVE</v>
      </c>
      <c r="E88" s="7" t="str">
        <f>VLOOKUP($A88,SkillEnum!$A$2:$C$1020,3,FALSE)</f>
        <v>기회의 포착</v>
      </c>
      <c r="F88" s="7" t="str">
        <f t="shared" si="18"/>
        <v>X버튼으로 기상 공격시 100 % 확률로 상대를 쓰러뜨리지 않는다.</v>
      </c>
      <c r="G88" s="2">
        <v>7</v>
      </c>
      <c r="H88" s="2">
        <v>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 t="s">
        <v>432</v>
      </c>
      <c r="Q88" s="2" t="str">
        <f t="shared" si="15"/>
        <v>SI_P_COMMON_GET_CHANCE</v>
      </c>
      <c r="R88" s="2" t="b">
        <v>0</v>
      </c>
      <c r="S88" s="2" t="b">
        <v>1</v>
      </c>
      <c r="T88" s="2">
        <v>0</v>
      </c>
      <c r="V88" s="1" t="s">
        <v>158</v>
      </c>
      <c r="W88" s="2">
        <v>100</v>
      </c>
    </row>
    <row r="89" spans="1:23">
      <c r="A89" s="4">
        <v>9</v>
      </c>
      <c r="B89" s="7" t="str">
        <f>VLOOKUP($A89,SkillEnum!$A$2:$C$1020,2,FALSE)</f>
        <v>SI_P_COMMON_GET_CHANCE</v>
      </c>
      <c r="C89" s="7">
        <v>8</v>
      </c>
      <c r="D89" s="2" t="str">
        <f>VLOOKUP($C89,SkillEnum!$D$2:$E$10,2,FALSE)</f>
        <v>ST_PASSIVE</v>
      </c>
      <c r="E89" s="7" t="str">
        <f>VLOOKUP($A89,SkillEnum!$A$2:$C$1020,3,FALSE)</f>
        <v>기회의 포착</v>
      </c>
      <c r="F89" s="7" t="str">
        <f t="shared" si="18"/>
        <v>X버튼으로 기상 공격시 100 % 확률로 상대를 쓰러뜨리지 않는다.</v>
      </c>
      <c r="G89" s="2">
        <v>8</v>
      </c>
      <c r="H89" s="2">
        <v>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 t="s">
        <v>432</v>
      </c>
      <c r="Q89" s="2" t="str">
        <f t="shared" si="15"/>
        <v>SI_P_COMMON_GET_CHANCE</v>
      </c>
      <c r="R89" s="2" t="b">
        <v>0</v>
      </c>
      <c r="S89" s="2" t="b">
        <v>1</v>
      </c>
      <c r="T89" s="2">
        <v>0</v>
      </c>
      <c r="V89" s="1" t="s">
        <v>158</v>
      </c>
      <c r="W89" s="2">
        <v>100</v>
      </c>
    </row>
    <row r="90" spans="1:23">
      <c r="A90" s="4">
        <v>9</v>
      </c>
      <c r="B90" s="7" t="str">
        <f>VLOOKUP($A90,SkillEnum!$A$2:$C$1020,2,FALSE)</f>
        <v>SI_P_COMMON_GET_CHANCE</v>
      </c>
      <c r="C90" s="7">
        <v>8</v>
      </c>
      <c r="D90" s="2" t="str">
        <f>VLOOKUP($C90,SkillEnum!$D$2:$E$10,2,FALSE)</f>
        <v>ST_PASSIVE</v>
      </c>
      <c r="E90" s="7" t="str">
        <f>VLOOKUP($A90,SkillEnum!$A$2:$C$1020,3,FALSE)</f>
        <v>기회의 포착</v>
      </c>
      <c r="F90" s="7" t="str">
        <f t="shared" si="18"/>
        <v>X버튼으로 기상 공격시 100 % 확률로 상대를 쓰러뜨리지 않는다.</v>
      </c>
      <c r="G90" s="2">
        <v>9</v>
      </c>
      <c r="H90" s="2">
        <v>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 t="s">
        <v>432</v>
      </c>
      <c r="Q90" s="2" t="str">
        <f t="shared" si="15"/>
        <v>SI_P_COMMON_GET_CHANCE</v>
      </c>
      <c r="R90" s="2" t="b">
        <v>0</v>
      </c>
      <c r="S90" s="2" t="b">
        <v>1</v>
      </c>
      <c r="T90" s="2">
        <v>0</v>
      </c>
      <c r="V90" s="1" t="s">
        <v>158</v>
      </c>
      <c r="W90" s="2">
        <v>100</v>
      </c>
    </row>
    <row r="91" spans="1:23" s="5" customFormat="1">
      <c r="A91" s="6">
        <v>9</v>
      </c>
      <c r="B91" s="8" t="str">
        <f>VLOOKUP($A91,SkillEnum!$A$2:$C$1020,2,FALSE)</f>
        <v>SI_P_COMMON_GET_CHANCE</v>
      </c>
      <c r="C91" s="8">
        <v>8</v>
      </c>
      <c r="D91" s="5" t="str">
        <f>VLOOKUP($C91,SkillEnum!$D$2:$E$10,2,FALSE)</f>
        <v>ST_PASSIVE</v>
      </c>
      <c r="E91" s="8" t="str">
        <f>VLOOKUP($A91,SkillEnum!$A$2:$C$1020,3,FALSE)</f>
        <v>기회의 포착</v>
      </c>
      <c r="F91" s="8" t="str">
        <f t="shared" si="18"/>
        <v>X버튼으로 기상 공격시 100 % 확률로 상대를 쓰러뜨리지 않는다.</v>
      </c>
      <c r="G91" s="5">
        <v>10</v>
      </c>
      <c r="H91" s="5">
        <v>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2" t="s">
        <v>432</v>
      </c>
      <c r="Q91" s="2" t="str">
        <f t="shared" si="15"/>
        <v>SI_P_COMMON_GET_CHANCE</v>
      </c>
      <c r="R91" s="5" t="b">
        <v>0</v>
      </c>
      <c r="S91" s="2" t="b">
        <v>1</v>
      </c>
      <c r="T91" s="2">
        <v>0</v>
      </c>
      <c r="U91" s="2"/>
      <c r="V91" s="1" t="s">
        <v>158</v>
      </c>
      <c r="W91" s="5">
        <v>100</v>
      </c>
    </row>
    <row r="92" spans="1:23" s="10" customFormat="1">
      <c r="A92" s="9">
        <v>10</v>
      </c>
      <c r="B92" s="11" t="str">
        <f>VLOOKUP($A92,SkillEnum!$A$2:$C$1020,2,FALSE)</f>
        <v>SI_P_COMMON_GET_MANA_UP</v>
      </c>
      <c r="C92" s="11">
        <v>8</v>
      </c>
      <c r="D92" s="10" t="str">
        <f>VLOOKUP($C92,SkillEnum!$D$2:$E$10,2,FALSE)</f>
        <v>ST_PASSIVE</v>
      </c>
      <c r="E92" s="11" t="str">
        <f>VLOOKUP($A92,SkillEnum!$A$2:$C$1020,3,FALSE)</f>
        <v>활력</v>
      </c>
      <c r="F92" s="11" t="str">
        <f t="shared" ref="F92:F101" si="19">"일반 공격시 마나 획득량이 "&amp;ROUND((W92-1)*100,0)&amp;" % 증가 한다."</f>
        <v>일반 공격시 마나 획득량이 4 % 증가 한다.</v>
      </c>
      <c r="G92" s="10">
        <v>1</v>
      </c>
      <c r="H92" s="2">
        <v>1</v>
      </c>
      <c r="I92" s="10">
        <v>0</v>
      </c>
      <c r="J92" s="10">
        <v>0</v>
      </c>
      <c r="K92" s="10">
        <v>0</v>
      </c>
      <c r="L92" s="10">
        <v>0</v>
      </c>
      <c r="M92" s="10">
        <v>0</v>
      </c>
      <c r="N92" s="10">
        <v>0</v>
      </c>
      <c r="O92" s="10">
        <v>0</v>
      </c>
      <c r="P92" s="2" t="s">
        <v>432</v>
      </c>
      <c r="Q92" s="2" t="str">
        <f t="shared" si="15"/>
        <v>SI_P_COMMON_GET_MANA_UP</v>
      </c>
      <c r="R92" s="10" t="b">
        <v>0</v>
      </c>
      <c r="S92" s="2" t="b">
        <v>1</v>
      </c>
      <c r="T92" s="2">
        <v>0</v>
      </c>
      <c r="U92" s="2"/>
      <c r="V92" s="10" t="s">
        <v>233</v>
      </c>
      <c r="W92" s="10">
        <v>1.04</v>
      </c>
    </row>
    <row r="93" spans="1:23">
      <c r="A93" s="4">
        <v>10</v>
      </c>
      <c r="B93" s="7" t="str">
        <f>VLOOKUP($A93,SkillEnum!$A$2:$C$1020,2,FALSE)</f>
        <v>SI_P_COMMON_GET_MANA_UP</v>
      </c>
      <c r="C93" s="7">
        <v>8</v>
      </c>
      <c r="D93" s="2" t="str">
        <f>VLOOKUP($C93,SkillEnum!$D$2:$E$10,2,FALSE)</f>
        <v>ST_PASSIVE</v>
      </c>
      <c r="E93" s="7" t="str">
        <f>VLOOKUP($A93,SkillEnum!$A$2:$C$1020,3,FALSE)</f>
        <v>활력</v>
      </c>
      <c r="F93" s="7" t="str">
        <f t="shared" si="19"/>
        <v>일반 공격시 마나 획득량이 8 % 증가 한다.</v>
      </c>
      <c r="G93" s="2">
        <v>2</v>
      </c>
      <c r="H93" s="2">
        <v>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 t="s">
        <v>432</v>
      </c>
      <c r="Q93" s="2" t="str">
        <f t="shared" si="15"/>
        <v>SI_P_COMMON_GET_MANA_UP</v>
      </c>
      <c r="R93" s="2" t="b">
        <v>0</v>
      </c>
      <c r="S93" s="2" t="b">
        <v>1</v>
      </c>
      <c r="T93" s="2">
        <v>0</v>
      </c>
      <c r="V93" s="2" t="s">
        <v>233</v>
      </c>
      <c r="W93" s="2">
        <v>1.08</v>
      </c>
    </row>
    <row r="94" spans="1:23">
      <c r="A94" s="4">
        <v>10</v>
      </c>
      <c r="B94" s="7" t="str">
        <f>VLOOKUP($A94,SkillEnum!$A$2:$C$1020,2,FALSE)</f>
        <v>SI_P_COMMON_GET_MANA_UP</v>
      </c>
      <c r="C94" s="7">
        <v>8</v>
      </c>
      <c r="D94" s="2" t="str">
        <f>VLOOKUP($C94,SkillEnum!$D$2:$E$10,2,FALSE)</f>
        <v>ST_PASSIVE</v>
      </c>
      <c r="E94" s="7" t="str">
        <f>VLOOKUP($A94,SkillEnum!$A$2:$C$1020,3,FALSE)</f>
        <v>활력</v>
      </c>
      <c r="F94" s="7" t="str">
        <f t="shared" si="19"/>
        <v>일반 공격시 마나 획득량이 12 % 증가 한다.</v>
      </c>
      <c r="G94" s="2">
        <v>3</v>
      </c>
      <c r="H94" s="2">
        <v>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 t="s">
        <v>432</v>
      </c>
      <c r="Q94" s="2" t="str">
        <f t="shared" si="15"/>
        <v>SI_P_COMMON_GET_MANA_UP</v>
      </c>
      <c r="R94" s="2" t="b">
        <v>0</v>
      </c>
      <c r="S94" s="2" t="b">
        <v>1</v>
      </c>
      <c r="T94" s="2">
        <v>0</v>
      </c>
      <c r="V94" s="2" t="s">
        <v>233</v>
      </c>
      <c r="W94" s="2">
        <v>1.1200000000000001</v>
      </c>
    </row>
    <row r="95" spans="1:23">
      <c r="A95" s="4">
        <v>10</v>
      </c>
      <c r="B95" s="7" t="str">
        <f>VLOOKUP($A95,SkillEnum!$A$2:$C$1020,2,FALSE)</f>
        <v>SI_P_COMMON_GET_MANA_UP</v>
      </c>
      <c r="C95" s="7">
        <v>8</v>
      </c>
      <c r="D95" s="2" t="str">
        <f>VLOOKUP($C95,SkillEnum!$D$2:$E$10,2,FALSE)</f>
        <v>ST_PASSIVE</v>
      </c>
      <c r="E95" s="7" t="str">
        <f>VLOOKUP($A95,SkillEnum!$A$2:$C$1020,3,FALSE)</f>
        <v>활력</v>
      </c>
      <c r="F95" s="7" t="str">
        <f t="shared" si="19"/>
        <v>일반 공격시 마나 획득량이 16 % 증가 한다.</v>
      </c>
      <c r="G95" s="2">
        <v>4</v>
      </c>
      <c r="H95" s="2">
        <v>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 t="s">
        <v>432</v>
      </c>
      <c r="Q95" s="2" t="str">
        <f t="shared" si="15"/>
        <v>SI_P_COMMON_GET_MANA_UP</v>
      </c>
      <c r="R95" s="2" t="b">
        <v>0</v>
      </c>
      <c r="S95" s="2" t="b">
        <v>1</v>
      </c>
      <c r="T95" s="2">
        <v>0</v>
      </c>
      <c r="V95" s="2" t="s">
        <v>233</v>
      </c>
      <c r="W95" s="2">
        <v>1.1600000000000001</v>
      </c>
    </row>
    <row r="96" spans="1:23">
      <c r="A96" s="4">
        <v>10</v>
      </c>
      <c r="B96" s="7" t="str">
        <f>VLOOKUP($A96,SkillEnum!$A$2:$C$1020,2,FALSE)</f>
        <v>SI_P_COMMON_GET_MANA_UP</v>
      </c>
      <c r="C96" s="7">
        <v>8</v>
      </c>
      <c r="D96" s="2" t="str">
        <f>VLOOKUP($C96,SkillEnum!$D$2:$E$10,2,FALSE)</f>
        <v>ST_PASSIVE</v>
      </c>
      <c r="E96" s="7" t="str">
        <f>VLOOKUP($A96,SkillEnum!$A$2:$C$1020,3,FALSE)</f>
        <v>활력</v>
      </c>
      <c r="F96" s="7" t="str">
        <f t="shared" si="19"/>
        <v>일반 공격시 마나 획득량이 20 % 증가 한다.</v>
      </c>
      <c r="G96" s="2">
        <v>5</v>
      </c>
      <c r="H96" s="2">
        <v>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 t="s">
        <v>432</v>
      </c>
      <c r="Q96" s="2" t="str">
        <f t="shared" si="15"/>
        <v>SI_P_COMMON_GET_MANA_UP</v>
      </c>
      <c r="R96" s="2" t="b">
        <v>0</v>
      </c>
      <c r="S96" s="2" t="b">
        <v>1</v>
      </c>
      <c r="T96" s="2">
        <v>0</v>
      </c>
      <c r="V96" s="2" t="s">
        <v>233</v>
      </c>
      <c r="W96" s="2">
        <v>1.2000000000000002</v>
      </c>
    </row>
    <row r="97" spans="1:23">
      <c r="A97" s="4">
        <v>10</v>
      </c>
      <c r="B97" s="7" t="str">
        <f>VLOOKUP($A97,SkillEnum!$A$2:$C$1020,2,FALSE)</f>
        <v>SI_P_COMMON_GET_MANA_UP</v>
      </c>
      <c r="C97" s="7">
        <v>8</v>
      </c>
      <c r="D97" s="2" t="str">
        <f>VLOOKUP($C97,SkillEnum!$D$2:$E$10,2,FALSE)</f>
        <v>ST_PASSIVE</v>
      </c>
      <c r="E97" s="7" t="str">
        <f>VLOOKUP($A97,SkillEnum!$A$2:$C$1020,3,FALSE)</f>
        <v>활력</v>
      </c>
      <c r="F97" s="7" t="str">
        <f t="shared" si="19"/>
        <v>일반 공격시 마나 획득량이 24 % 증가 한다.</v>
      </c>
      <c r="G97" s="2">
        <v>6</v>
      </c>
      <c r="H97" s="2">
        <v>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 t="s">
        <v>432</v>
      </c>
      <c r="Q97" s="2" t="str">
        <f t="shared" si="15"/>
        <v>SI_P_COMMON_GET_MANA_UP</v>
      </c>
      <c r="R97" s="2" t="b">
        <v>0</v>
      </c>
      <c r="S97" s="2" t="b">
        <v>1</v>
      </c>
      <c r="T97" s="2">
        <v>0</v>
      </c>
      <c r="V97" s="2" t="s">
        <v>233</v>
      </c>
      <c r="W97" s="2">
        <v>1.2400000000000002</v>
      </c>
    </row>
    <row r="98" spans="1:23">
      <c r="A98" s="4">
        <v>10</v>
      </c>
      <c r="B98" s="7" t="str">
        <f>VLOOKUP($A98,SkillEnum!$A$2:$C$1020,2,FALSE)</f>
        <v>SI_P_COMMON_GET_MANA_UP</v>
      </c>
      <c r="C98" s="7">
        <v>8</v>
      </c>
      <c r="D98" s="2" t="str">
        <f>VLOOKUP($C98,SkillEnum!$D$2:$E$10,2,FALSE)</f>
        <v>ST_PASSIVE</v>
      </c>
      <c r="E98" s="7" t="str">
        <f>VLOOKUP($A98,SkillEnum!$A$2:$C$1020,3,FALSE)</f>
        <v>활력</v>
      </c>
      <c r="F98" s="7" t="str">
        <f t="shared" si="19"/>
        <v>일반 공격시 마나 획득량이 28 % 증가 한다.</v>
      </c>
      <c r="G98" s="2">
        <v>7</v>
      </c>
      <c r="H98" s="2">
        <v>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 t="s">
        <v>432</v>
      </c>
      <c r="Q98" s="2" t="str">
        <f t="shared" si="15"/>
        <v>SI_P_COMMON_GET_MANA_UP</v>
      </c>
      <c r="R98" s="2" t="b">
        <v>0</v>
      </c>
      <c r="S98" s="2" t="b">
        <v>1</v>
      </c>
      <c r="T98" s="2">
        <v>0</v>
      </c>
      <c r="V98" s="2" t="s">
        <v>233</v>
      </c>
      <c r="W98" s="2">
        <v>1.2800000000000002</v>
      </c>
    </row>
    <row r="99" spans="1:23">
      <c r="A99" s="4">
        <v>10</v>
      </c>
      <c r="B99" s="7" t="str">
        <f>VLOOKUP($A99,SkillEnum!$A$2:$C$1020,2,FALSE)</f>
        <v>SI_P_COMMON_GET_MANA_UP</v>
      </c>
      <c r="C99" s="7">
        <v>8</v>
      </c>
      <c r="D99" s="2" t="str">
        <f>VLOOKUP($C99,SkillEnum!$D$2:$E$10,2,FALSE)</f>
        <v>ST_PASSIVE</v>
      </c>
      <c r="E99" s="7" t="str">
        <f>VLOOKUP($A99,SkillEnum!$A$2:$C$1020,3,FALSE)</f>
        <v>활력</v>
      </c>
      <c r="F99" s="7" t="str">
        <f t="shared" si="19"/>
        <v>일반 공격시 마나 획득량이 32 % 증가 한다.</v>
      </c>
      <c r="G99" s="2">
        <v>8</v>
      </c>
      <c r="H99" s="2">
        <v>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 t="s">
        <v>432</v>
      </c>
      <c r="Q99" s="2" t="str">
        <f t="shared" si="15"/>
        <v>SI_P_COMMON_GET_MANA_UP</v>
      </c>
      <c r="R99" s="2" t="b">
        <v>0</v>
      </c>
      <c r="S99" s="2" t="b">
        <v>1</v>
      </c>
      <c r="T99" s="2">
        <v>0</v>
      </c>
      <c r="V99" s="2" t="s">
        <v>233</v>
      </c>
      <c r="W99" s="2">
        <v>1.3200000000000003</v>
      </c>
    </row>
    <row r="100" spans="1:23">
      <c r="A100" s="4">
        <v>10</v>
      </c>
      <c r="B100" s="7" t="str">
        <f>VLOOKUP($A100,SkillEnum!$A$2:$C$1020,2,FALSE)</f>
        <v>SI_P_COMMON_GET_MANA_UP</v>
      </c>
      <c r="C100" s="7">
        <v>8</v>
      </c>
      <c r="D100" s="2" t="str">
        <f>VLOOKUP($C100,SkillEnum!$D$2:$E$10,2,FALSE)</f>
        <v>ST_PASSIVE</v>
      </c>
      <c r="E100" s="7" t="str">
        <f>VLOOKUP($A100,SkillEnum!$A$2:$C$1020,3,FALSE)</f>
        <v>활력</v>
      </c>
      <c r="F100" s="7" t="str">
        <f t="shared" si="19"/>
        <v>일반 공격시 마나 획득량이 36 % 증가 한다.</v>
      </c>
      <c r="G100" s="2">
        <v>9</v>
      </c>
      <c r="H100" s="2">
        <v>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 t="s">
        <v>432</v>
      </c>
      <c r="Q100" s="2" t="str">
        <f t="shared" si="15"/>
        <v>SI_P_COMMON_GET_MANA_UP</v>
      </c>
      <c r="R100" s="2" t="b">
        <v>0</v>
      </c>
      <c r="S100" s="2" t="b">
        <v>1</v>
      </c>
      <c r="T100" s="2">
        <v>0</v>
      </c>
      <c r="V100" s="2" t="s">
        <v>233</v>
      </c>
      <c r="W100" s="2">
        <v>1.3600000000000003</v>
      </c>
    </row>
    <row r="101" spans="1:23" s="5" customFormat="1">
      <c r="A101" s="6">
        <v>10</v>
      </c>
      <c r="B101" s="8" t="str">
        <f>VLOOKUP($A101,SkillEnum!$A$2:$C$1020,2,FALSE)</f>
        <v>SI_P_COMMON_GET_MANA_UP</v>
      </c>
      <c r="C101" s="8">
        <v>8</v>
      </c>
      <c r="D101" s="5" t="str">
        <f>VLOOKUP($C101,SkillEnum!$D$2:$E$10,2,FALSE)</f>
        <v>ST_PASSIVE</v>
      </c>
      <c r="E101" s="8" t="str">
        <f>VLOOKUP($A101,SkillEnum!$A$2:$C$1020,3,FALSE)</f>
        <v>활력</v>
      </c>
      <c r="F101" s="8" t="str">
        <f t="shared" si="19"/>
        <v>일반 공격시 마나 획득량이 40 % 증가 한다.</v>
      </c>
      <c r="G101" s="5">
        <v>10</v>
      </c>
      <c r="H101" s="5">
        <v>1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2" t="s">
        <v>432</v>
      </c>
      <c r="Q101" s="2" t="str">
        <f t="shared" si="15"/>
        <v>SI_P_COMMON_GET_MANA_UP</v>
      </c>
      <c r="R101" s="5" t="b">
        <v>0</v>
      </c>
      <c r="S101" s="2" t="b">
        <v>1</v>
      </c>
      <c r="T101" s="2">
        <v>0</v>
      </c>
      <c r="U101" s="2"/>
      <c r="V101" s="5" t="s">
        <v>233</v>
      </c>
      <c r="W101" s="5">
        <v>1.4000000000000004</v>
      </c>
    </row>
    <row r="102" spans="1:23" s="10" customFormat="1">
      <c r="A102" s="9">
        <v>11</v>
      </c>
      <c r="B102" s="11" t="str">
        <f>VLOOKUP($A102,SkillEnum!$A$2:$C$1020,2,FALSE)</f>
        <v>SI_P_COMMON_POWERFUL_VITAL</v>
      </c>
      <c r="C102" s="11">
        <v>8</v>
      </c>
      <c r="D102" s="10" t="str">
        <f>VLOOKUP($C102,SkillEnum!$D$2:$E$10,2,FALSE)</f>
        <v>ST_PASSIVE</v>
      </c>
      <c r="E102" s="11" t="str">
        <f>VLOOKUP($A102,SkillEnum!$A$2:$C$1020,3,FALSE)</f>
        <v>강인한 신체</v>
      </c>
      <c r="F102" s="11" t="str">
        <f t="shared" ref="F102:F111" si="20">"캐릭터의 기본 HP가 "&amp;ROUND((W102-1)*100,0)&amp;" % 증가한다. (아이템 효과와 별개)"</f>
        <v>캐릭터의 기본 HP가 2 % 증가한다. (아이템 효과와 별개)</v>
      </c>
      <c r="G102" s="10">
        <v>1</v>
      </c>
      <c r="H102" s="2">
        <v>1</v>
      </c>
      <c r="I102" s="10">
        <v>0</v>
      </c>
      <c r="J102" s="10">
        <v>0</v>
      </c>
      <c r="K102" s="10">
        <v>0</v>
      </c>
      <c r="L102" s="10">
        <v>0</v>
      </c>
      <c r="M102" s="10">
        <v>0</v>
      </c>
      <c r="N102" s="10">
        <v>0</v>
      </c>
      <c r="O102" s="10">
        <v>0</v>
      </c>
      <c r="P102" s="2" t="s">
        <v>432</v>
      </c>
      <c r="Q102" s="2" t="str">
        <f t="shared" si="15"/>
        <v>SI_P_COMMON_POWERFUL_VITAL</v>
      </c>
      <c r="R102" s="10" t="b">
        <v>0</v>
      </c>
      <c r="S102" s="2" t="b">
        <v>1</v>
      </c>
      <c r="T102" s="2">
        <v>0</v>
      </c>
      <c r="U102" s="2"/>
      <c r="V102" s="10" t="s">
        <v>234</v>
      </c>
      <c r="W102" s="10">
        <v>1.02</v>
      </c>
    </row>
    <row r="103" spans="1:23">
      <c r="A103" s="4">
        <v>11</v>
      </c>
      <c r="B103" s="7" t="str">
        <f>VLOOKUP($A103,SkillEnum!$A$2:$C$1020,2,FALSE)</f>
        <v>SI_P_COMMON_POWERFUL_VITAL</v>
      </c>
      <c r="C103" s="7">
        <v>8</v>
      </c>
      <c r="D103" s="2" t="str">
        <f>VLOOKUP($C103,SkillEnum!$D$2:$E$10,2,FALSE)</f>
        <v>ST_PASSIVE</v>
      </c>
      <c r="E103" s="7" t="str">
        <f>VLOOKUP($A103,SkillEnum!$A$2:$C$1020,3,FALSE)</f>
        <v>강인한 신체</v>
      </c>
      <c r="F103" s="7" t="str">
        <f t="shared" si="20"/>
        <v>캐릭터의 기본 HP가 4 % 증가한다. (아이템 효과와 별개)</v>
      </c>
      <c r="G103" s="2">
        <v>2</v>
      </c>
      <c r="H103" s="2">
        <v>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 t="s">
        <v>432</v>
      </c>
      <c r="Q103" s="2" t="str">
        <f t="shared" si="15"/>
        <v>SI_P_COMMON_POWERFUL_VITAL</v>
      </c>
      <c r="R103" s="2" t="b">
        <v>0</v>
      </c>
      <c r="S103" s="2" t="b">
        <v>1</v>
      </c>
      <c r="T103" s="2">
        <v>0</v>
      </c>
      <c r="V103" s="2" t="s">
        <v>234</v>
      </c>
      <c r="W103" s="2">
        <v>1.04</v>
      </c>
    </row>
    <row r="104" spans="1:23">
      <c r="A104" s="4">
        <v>11</v>
      </c>
      <c r="B104" s="7" t="str">
        <f>VLOOKUP($A104,SkillEnum!$A$2:$C$1020,2,FALSE)</f>
        <v>SI_P_COMMON_POWERFUL_VITAL</v>
      </c>
      <c r="C104" s="7">
        <v>8</v>
      </c>
      <c r="D104" s="2" t="str">
        <f>VLOOKUP($C104,SkillEnum!$D$2:$E$10,2,FALSE)</f>
        <v>ST_PASSIVE</v>
      </c>
      <c r="E104" s="7" t="str">
        <f>VLOOKUP($A104,SkillEnum!$A$2:$C$1020,3,FALSE)</f>
        <v>강인한 신체</v>
      </c>
      <c r="F104" s="7" t="str">
        <f t="shared" si="20"/>
        <v>캐릭터의 기본 HP가 6 % 증가한다. (아이템 효과와 별개)</v>
      </c>
      <c r="G104" s="2">
        <v>3</v>
      </c>
      <c r="H104" s="2">
        <v>1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 t="s">
        <v>432</v>
      </c>
      <c r="Q104" s="2" t="str">
        <f t="shared" si="15"/>
        <v>SI_P_COMMON_POWERFUL_VITAL</v>
      </c>
      <c r="R104" s="2" t="b">
        <v>0</v>
      </c>
      <c r="S104" s="2" t="b">
        <v>1</v>
      </c>
      <c r="T104" s="2">
        <v>0</v>
      </c>
      <c r="V104" s="2" t="s">
        <v>234</v>
      </c>
      <c r="W104" s="2">
        <v>1.06</v>
      </c>
    </row>
    <row r="105" spans="1:23">
      <c r="A105" s="4">
        <v>11</v>
      </c>
      <c r="B105" s="7" t="str">
        <f>VLOOKUP($A105,SkillEnum!$A$2:$C$1020,2,FALSE)</f>
        <v>SI_P_COMMON_POWERFUL_VITAL</v>
      </c>
      <c r="C105" s="7">
        <v>8</v>
      </c>
      <c r="D105" s="2" t="str">
        <f>VLOOKUP($C105,SkillEnum!$D$2:$E$10,2,FALSE)</f>
        <v>ST_PASSIVE</v>
      </c>
      <c r="E105" s="7" t="str">
        <f>VLOOKUP($A105,SkillEnum!$A$2:$C$1020,3,FALSE)</f>
        <v>강인한 신체</v>
      </c>
      <c r="F105" s="7" t="str">
        <f t="shared" si="20"/>
        <v>캐릭터의 기본 HP가 8 % 증가한다. (아이템 효과와 별개)</v>
      </c>
      <c r="G105" s="2">
        <v>4</v>
      </c>
      <c r="H105" s="2">
        <v>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 t="s">
        <v>432</v>
      </c>
      <c r="Q105" s="2" t="str">
        <f t="shared" si="15"/>
        <v>SI_P_COMMON_POWERFUL_VITAL</v>
      </c>
      <c r="R105" s="2" t="b">
        <v>0</v>
      </c>
      <c r="S105" s="2" t="b">
        <v>1</v>
      </c>
      <c r="T105" s="2">
        <v>0</v>
      </c>
      <c r="V105" s="2" t="s">
        <v>234</v>
      </c>
      <c r="W105" s="2">
        <v>1.08</v>
      </c>
    </row>
    <row r="106" spans="1:23">
      <c r="A106" s="4">
        <v>11</v>
      </c>
      <c r="B106" s="7" t="str">
        <f>VLOOKUP($A106,SkillEnum!$A$2:$C$1020,2,FALSE)</f>
        <v>SI_P_COMMON_POWERFUL_VITAL</v>
      </c>
      <c r="C106" s="7">
        <v>8</v>
      </c>
      <c r="D106" s="2" t="str">
        <f>VLOOKUP($C106,SkillEnum!$D$2:$E$10,2,FALSE)</f>
        <v>ST_PASSIVE</v>
      </c>
      <c r="E106" s="7" t="str">
        <f>VLOOKUP($A106,SkillEnum!$A$2:$C$1020,3,FALSE)</f>
        <v>강인한 신체</v>
      </c>
      <c r="F106" s="7" t="str">
        <f t="shared" si="20"/>
        <v>캐릭터의 기본 HP가 10 % 증가한다. (아이템 효과와 별개)</v>
      </c>
      <c r="G106" s="2">
        <v>5</v>
      </c>
      <c r="H106" s="2">
        <v>1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 t="s">
        <v>432</v>
      </c>
      <c r="Q106" s="2" t="str">
        <f t="shared" si="15"/>
        <v>SI_P_COMMON_POWERFUL_VITAL</v>
      </c>
      <c r="R106" s="2" t="b">
        <v>0</v>
      </c>
      <c r="S106" s="2" t="b">
        <v>1</v>
      </c>
      <c r="T106" s="2">
        <v>0</v>
      </c>
      <c r="V106" s="2" t="s">
        <v>234</v>
      </c>
      <c r="W106" s="2">
        <v>1.1000000000000001</v>
      </c>
    </row>
    <row r="107" spans="1:23">
      <c r="A107" s="4">
        <v>11</v>
      </c>
      <c r="B107" s="7" t="str">
        <f>VLOOKUP($A107,SkillEnum!$A$2:$C$1020,2,FALSE)</f>
        <v>SI_P_COMMON_POWERFUL_VITAL</v>
      </c>
      <c r="C107" s="7">
        <v>8</v>
      </c>
      <c r="D107" s="2" t="str">
        <f>VLOOKUP($C107,SkillEnum!$D$2:$E$10,2,FALSE)</f>
        <v>ST_PASSIVE</v>
      </c>
      <c r="E107" s="7" t="str">
        <f>VLOOKUP($A107,SkillEnum!$A$2:$C$1020,3,FALSE)</f>
        <v>강인한 신체</v>
      </c>
      <c r="F107" s="7" t="str">
        <f t="shared" si="20"/>
        <v>캐릭터의 기본 HP가 12 % 증가한다. (아이템 효과와 별개)</v>
      </c>
      <c r="G107" s="2">
        <v>6</v>
      </c>
      <c r="H107" s="2">
        <v>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 t="s">
        <v>432</v>
      </c>
      <c r="Q107" s="2" t="str">
        <f t="shared" si="15"/>
        <v>SI_P_COMMON_POWERFUL_VITAL</v>
      </c>
      <c r="R107" s="2" t="b">
        <v>0</v>
      </c>
      <c r="S107" s="2" t="b">
        <v>1</v>
      </c>
      <c r="T107" s="2">
        <v>0</v>
      </c>
      <c r="V107" s="2" t="s">
        <v>234</v>
      </c>
      <c r="W107" s="2">
        <v>1.1200000000000001</v>
      </c>
    </row>
    <row r="108" spans="1:23">
      <c r="A108" s="4">
        <v>11</v>
      </c>
      <c r="B108" s="7" t="str">
        <f>VLOOKUP($A108,SkillEnum!$A$2:$C$1020,2,FALSE)</f>
        <v>SI_P_COMMON_POWERFUL_VITAL</v>
      </c>
      <c r="C108" s="7">
        <v>8</v>
      </c>
      <c r="D108" s="2" t="str">
        <f>VLOOKUP($C108,SkillEnum!$D$2:$E$10,2,FALSE)</f>
        <v>ST_PASSIVE</v>
      </c>
      <c r="E108" s="7" t="str">
        <f>VLOOKUP($A108,SkillEnum!$A$2:$C$1020,3,FALSE)</f>
        <v>강인한 신체</v>
      </c>
      <c r="F108" s="7" t="str">
        <f t="shared" si="20"/>
        <v>캐릭터의 기본 HP가 14 % 증가한다. (아이템 효과와 별개)</v>
      </c>
      <c r="G108" s="2">
        <v>7</v>
      </c>
      <c r="H108" s="2">
        <v>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 t="s">
        <v>432</v>
      </c>
      <c r="Q108" s="2" t="str">
        <f t="shared" si="15"/>
        <v>SI_P_COMMON_POWERFUL_VITAL</v>
      </c>
      <c r="R108" s="2" t="b">
        <v>0</v>
      </c>
      <c r="S108" s="2" t="b">
        <v>1</v>
      </c>
      <c r="T108" s="2">
        <v>0</v>
      </c>
      <c r="V108" s="2" t="s">
        <v>234</v>
      </c>
      <c r="W108" s="2">
        <v>1.1399999999999999</v>
      </c>
    </row>
    <row r="109" spans="1:23">
      <c r="A109" s="4">
        <v>11</v>
      </c>
      <c r="B109" s="7" t="str">
        <f>VLOOKUP($A109,SkillEnum!$A$2:$C$1020,2,FALSE)</f>
        <v>SI_P_COMMON_POWERFUL_VITAL</v>
      </c>
      <c r="C109" s="7">
        <v>8</v>
      </c>
      <c r="D109" s="2" t="str">
        <f>VLOOKUP($C109,SkillEnum!$D$2:$E$10,2,FALSE)</f>
        <v>ST_PASSIVE</v>
      </c>
      <c r="E109" s="7" t="str">
        <f>VLOOKUP($A109,SkillEnum!$A$2:$C$1020,3,FALSE)</f>
        <v>강인한 신체</v>
      </c>
      <c r="F109" s="7" t="str">
        <f t="shared" si="20"/>
        <v>캐릭터의 기본 HP가 16 % 증가한다. (아이템 효과와 별개)</v>
      </c>
      <c r="G109" s="2">
        <v>8</v>
      </c>
      <c r="H109" s="2">
        <v>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 t="s">
        <v>432</v>
      </c>
      <c r="Q109" s="2" t="str">
        <f t="shared" si="15"/>
        <v>SI_P_COMMON_POWERFUL_VITAL</v>
      </c>
      <c r="R109" s="2" t="b">
        <v>0</v>
      </c>
      <c r="S109" s="2" t="b">
        <v>1</v>
      </c>
      <c r="T109" s="2">
        <v>0</v>
      </c>
      <c r="V109" s="2" t="s">
        <v>234</v>
      </c>
      <c r="W109" s="2">
        <v>1.1599999999999999</v>
      </c>
    </row>
    <row r="110" spans="1:23">
      <c r="A110" s="4">
        <v>11</v>
      </c>
      <c r="B110" s="7" t="str">
        <f>VLOOKUP($A110,SkillEnum!$A$2:$C$1020,2,FALSE)</f>
        <v>SI_P_COMMON_POWERFUL_VITAL</v>
      </c>
      <c r="C110" s="7">
        <v>8</v>
      </c>
      <c r="D110" s="2" t="str">
        <f>VLOOKUP($C110,SkillEnum!$D$2:$E$10,2,FALSE)</f>
        <v>ST_PASSIVE</v>
      </c>
      <c r="E110" s="7" t="str">
        <f>VLOOKUP($A110,SkillEnum!$A$2:$C$1020,3,FALSE)</f>
        <v>강인한 신체</v>
      </c>
      <c r="F110" s="7" t="str">
        <f t="shared" si="20"/>
        <v>캐릭터의 기본 HP가 18 % 증가한다. (아이템 효과와 별개)</v>
      </c>
      <c r="G110" s="2">
        <v>9</v>
      </c>
      <c r="H110" s="2">
        <v>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 t="s">
        <v>432</v>
      </c>
      <c r="Q110" s="2" t="str">
        <f t="shared" si="15"/>
        <v>SI_P_COMMON_POWERFUL_VITAL</v>
      </c>
      <c r="R110" s="2" t="b">
        <v>0</v>
      </c>
      <c r="S110" s="2" t="b">
        <v>1</v>
      </c>
      <c r="T110" s="2">
        <v>0</v>
      </c>
      <c r="V110" s="2" t="s">
        <v>234</v>
      </c>
      <c r="W110" s="2">
        <v>1.18</v>
      </c>
    </row>
    <row r="111" spans="1:23" s="5" customFormat="1">
      <c r="A111" s="6">
        <v>11</v>
      </c>
      <c r="B111" s="8" t="str">
        <f>VLOOKUP($A111,SkillEnum!$A$2:$C$1020,2,FALSE)</f>
        <v>SI_P_COMMON_POWERFUL_VITAL</v>
      </c>
      <c r="C111" s="8">
        <v>8</v>
      </c>
      <c r="D111" s="5" t="str">
        <f>VLOOKUP($C111,SkillEnum!$D$2:$E$10,2,FALSE)</f>
        <v>ST_PASSIVE</v>
      </c>
      <c r="E111" s="8" t="str">
        <f>VLOOKUP($A111,SkillEnum!$A$2:$C$1020,3,FALSE)</f>
        <v>강인한 신체</v>
      </c>
      <c r="F111" s="8" t="str">
        <f t="shared" si="20"/>
        <v>캐릭터의 기본 HP가 20 % 증가한다. (아이템 효과와 별개)</v>
      </c>
      <c r="G111" s="5">
        <v>10</v>
      </c>
      <c r="H111" s="5">
        <v>1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 s="5">
        <v>0</v>
      </c>
      <c r="O111" s="5">
        <v>0</v>
      </c>
      <c r="P111" s="2" t="s">
        <v>432</v>
      </c>
      <c r="Q111" s="2" t="str">
        <f t="shared" si="15"/>
        <v>SI_P_COMMON_POWERFUL_VITAL</v>
      </c>
      <c r="R111" s="5" t="b">
        <v>0</v>
      </c>
      <c r="S111" s="2" t="b">
        <v>1</v>
      </c>
      <c r="T111" s="2">
        <v>0</v>
      </c>
      <c r="U111" s="2"/>
      <c r="V111" s="5" t="s">
        <v>234</v>
      </c>
      <c r="W111" s="5">
        <v>1.2</v>
      </c>
    </row>
    <row r="112" spans="1:23" s="10" customFormat="1">
      <c r="A112" s="9">
        <v>12</v>
      </c>
      <c r="B112" s="11" t="str">
        <f>VLOOKUP($A112,SkillEnum!$A$2:$C$1020,2,FALSE)</f>
        <v>SI_P_COMMON_POWERFUL_SOUL</v>
      </c>
      <c r="C112" s="11">
        <v>8</v>
      </c>
      <c r="D112" s="10" t="str">
        <f>VLOOKUP($C112,SkillEnum!$D$2:$E$10,2,FALSE)</f>
        <v>ST_PASSIVE</v>
      </c>
      <c r="E112" s="11" t="str">
        <f>VLOOKUP($A112,SkillEnum!$A$2:$C$1020,3,FALSE)</f>
        <v>강인한 정신력</v>
      </c>
      <c r="F112" s="11" t="str">
        <f t="shared" ref="F112:F121" si="21">"마법공격력의 "&amp;ROUND(W112*100,0)&amp;" % 만큼 물리공격력이 증가한다."</f>
        <v>마법공격력의 1 % 만큼 물리공격력이 증가한다.</v>
      </c>
      <c r="G112" s="10">
        <v>1</v>
      </c>
      <c r="H112" s="2">
        <v>1</v>
      </c>
      <c r="I112" s="10">
        <v>0</v>
      </c>
      <c r="J112" s="10">
        <v>0</v>
      </c>
      <c r="K112" s="10">
        <v>0</v>
      </c>
      <c r="L112" s="10">
        <v>0</v>
      </c>
      <c r="M112" s="10">
        <v>0</v>
      </c>
      <c r="N112" s="10">
        <v>0</v>
      </c>
      <c r="O112" s="10">
        <v>0</v>
      </c>
      <c r="P112" s="2" t="s">
        <v>432</v>
      </c>
      <c r="Q112" s="2" t="str">
        <f t="shared" si="15"/>
        <v>SI_P_COMMON_POWERFUL_SOUL</v>
      </c>
      <c r="R112" s="10" t="b">
        <v>0</v>
      </c>
      <c r="S112" s="2" t="b">
        <v>1</v>
      </c>
      <c r="T112" s="2">
        <v>0</v>
      </c>
      <c r="U112" s="2"/>
      <c r="V112" s="10" t="s">
        <v>177</v>
      </c>
      <c r="W112" s="10">
        <v>0.01</v>
      </c>
    </row>
    <row r="113" spans="1:25">
      <c r="A113" s="4">
        <v>12</v>
      </c>
      <c r="B113" s="7" t="str">
        <f>VLOOKUP($A113,SkillEnum!$A$2:$C$1020,2,FALSE)</f>
        <v>SI_P_COMMON_POWERFUL_SOUL</v>
      </c>
      <c r="C113" s="7">
        <v>8</v>
      </c>
      <c r="D113" s="2" t="str">
        <f>VLOOKUP($C113,SkillEnum!$D$2:$E$10,2,FALSE)</f>
        <v>ST_PASSIVE</v>
      </c>
      <c r="E113" s="7" t="str">
        <f>VLOOKUP($A113,SkillEnum!$A$2:$C$1020,3,FALSE)</f>
        <v>강인한 정신력</v>
      </c>
      <c r="F113" s="7" t="str">
        <f t="shared" si="21"/>
        <v>마법공격력의 2 % 만큼 물리공격력이 증가한다.</v>
      </c>
      <c r="G113" s="2">
        <v>2</v>
      </c>
      <c r="H113" s="2">
        <v>1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 t="s">
        <v>432</v>
      </c>
      <c r="Q113" s="2" t="str">
        <f t="shared" si="15"/>
        <v>SI_P_COMMON_POWERFUL_SOUL</v>
      </c>
      <c r="R113" s="2" t="b">
        <v>0</v>
      </c>
      <c r="S113" s="2" t="b">
        <v>1</v>
      </c>
      <c r="T113" s="2">
        <v>0</v>
      </c>
      <c r="V113" s="2" t="s">
        <v>177</v>
      </c>
      <c r="W113" s="2">
        <v>0.02</v>
      </c>
    </row>
    <row r="114" spans="1:25">
      <c r="A114" s="4">
        <v>12</v>
      </c>
      <c r="B114" s="7" t="str">
        <f>VLOOKUP($A114,SkillEnum!$A$2:$C$1020,2,FALSE)</f>
        <v>SI_P_COMMON_POWERFUL_SOUL</v>
      </c>
      <c r="C114" s="7">
        <v>8</v>
      </c>
      <c r="D114" s="2" t="str">
        <f>VLOOKUP($C114,SkillEnum!$D$2:$E$10,2,FALSE)</f>
        <v>ST_PASSIVE</v>
      </c>
      <c r="E114" s="7" t="str">
        <f>VLOOKUP($A114,SkillEnum!$A$2:$C$1020,3,FALSE)</f>
        <v>강인한 정신력</v>
      </c>
      <c r="F114" s="7" t="str">
        <f t="shared" si="21"/>
        <v>마법공격력의 3 % 만큼 물리공격력이 증가한다.</v>
      </c>
      <c r="G114" s="2">
        <v>3</v>
      </c>
      <c r="H114" s="2">
        <v>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 t="s">
        <v>432</v>
      </c>
      <c r="Q114" s="2" t="str">
        <f t="shared" si="15"/>
        <v>SI_P_COMMON_POWERFUL_SOUL</v>
      </c>
      <c r="R114" s="2" t="b">
        <v>0</v>
      </c>
      <c r="S114" s="2" t="b">
        <v>1</v>
      </c>
      <c r="T114" s="2">
        <v>0</v>
      </c>
      <c r="V114" s="2" t="s">
        <v>177</v>
      </c>
      <c r="W114" s="2">
        <v>0.03</v>
      </c>
    </row>
    <row r="115" spans="1:25">
      <c r="A115" s="4">
        <v>12</v>
      </c>
      <c r="B115" s="7" t="str">
        <f>VLOOKUP($A115,SkillEnum!$A$2:$C$1020,2,FALSE)</f>
        <v>SI_P_COMMON_POWERFUL_SOUL</v>
      </c>
      <c r="C115" s="7">
        <v>8</v>
      </c>
      <c r="D115" s="2" t="str">
        <f>VLOOKUP($C115,SkillEnum!$D$2:$E$10,2,FALSE)</f>
        <v>ST_PASSIVE</v>
      </c>
      <c r="E115" s="7" t="str">
        <f>VLOOKUP($A115,SkillEnum!$A$2:$C$1020,3,FALSE)</f>
        <v>강인한 정신력</v>
      </c>
      <c r="F115" s="7" t="str">
        <f t="shared" si="21"/>
        <v>마법공격력의 4 % 만큼 물리공격력이 증가한다.</v>
      </c>
      <c r="G115" s="2">
        <v>4</v>
      </c>
      <c r="H115" s="2">
        <v>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 t="s">
        <v>432</v>
      </c>
      <c r="Q115" s="2" t="str">
        <f t="shared" si="15"/>
        <v>SI_P_COMMON_POWERFUL_SOUL</v>
      </c>
      <c r="R115" s="2" t="b">
        <v>0</v>
      </c>
      <c r="S115" s="2" t="b">
        <v>1</v>
      </c>
      <c r="T115" s="2">
        <v>0</v>
      </c>
      <c r="V115" s="2" t="s">
        <v>177</v>
      </c>
      <c r="W115" s="2">
        <v>0.04</v>
      </c>
    </row>
    <row r="116" spans="1:25">
      <c r="A116" s="4">
        <v>12</v>
      </c>
      <c r="B116" s="7" t="str">
        <f>VLOOKUP($A116,SkillEnum!$A$2:$C$1020,2,FALSE)</f>
        <v>SI_P_COMMON_POWERFUL_SOUL</v>
      </c>
      <c r="C116" s="7">
        <v>8</v>
      </c>
      <c r="D116" s="2" t="str">
        <f>VLOOKUP($C116,SkillEnum!$D$2:$E$10,2,FALSE)</f>
        <v>ST_PASSIVE</v>
      </c>
      <c r="E116" s="7" t="str">
        <f>VLOOKUP($A116,SkillEnum!$A$2:$C$1020,3,FALSE)</f>
        <v>강인한 정신력</v>
      </c>
      <c r="F116" s="7" t="str">
        <f t="shared" si="21"/>
        <v>마법공격력의 5 % 만큼 물리공격력이 증가한다.</v>
      </c>
      <c r="G116" s="2">
        <v>5</v>
      </c>
      <c r="H116" s="2">
        <v>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 t="s">
        <v>432</v>
      </c>
      <c r="Q116" s="2" t="str">
        <f t="shared" si="15"/>
        <v>SI_P_COMMON_POWERFUL_SOUL</v>
      </c>
      <c r="R116" s="2" t="b">
        <v>0</v>
      </c>
      <c r="S116" s="2" t="b">
        <v>1</v>
      </c>
      <c r="T116" s="2">
        <v>0</v>
      </c>
      <c r="V116" s="2" t="s">
        <v>177</v>
      </c>
      <c r="W116" s="2">
        <v>0.05</v>
      </c>
    </row>
    <row r="117" spans="1:25">
      <c r="A117" s="4">
        <v>12</v>
      </c>
      <c r="B117" s="7" t="str">
        <f>VLOOKUP($A117,SkillEnum!$A$2:$C$1020,2,FALSE)</f>
        <v>SI_P_COMMON_POWERFUL_SOUL</v>
      </c>
      <c r="C117" s="7">
        <v>8</v>
      </c>
      <c r="D117" s="2" t="str">
        <f>VLOOKUP($C117,SkillEnum!$D$2:$E$10,2,FALSE)</f>
        <v>ST_PASSIVE</v>
      </c>
      <c r="E117" s="7" t="str">
        <f>VLOOKUP($A117,SkillEnum!$A$2:$C$1020,3,FALSE)</f>
        <v>강인한 정신력</v>
      </c>
      <c r="F117" s="7" t="str">
        <f t="shared" si="21"/>
        <v>마법공격력의 6 % 만큼 물리공격력이 증가한다.</v>
      </c>
      <c r="G117" s="2">
        <v>6</v>
      </c>
      <c r="H117" s="2">
        <v>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 t="s">
        <v>432</v>
      </c>
      <c r="Q117" s="2" t="str">
        <f t="shared" si="15"/>
        <v>SI_P_COMMON_POWERFUL_SOUL</v>
      </c>
      <c r="R117" s="2" t="b">
        <v>0</v>
      </c>
      <c r="S117" s="2" t="b">
        <v>1</v>
      </c>
      <c r="T117" s="2">
        <v>0</v>
      </c>
      <c r="V117" s="2" t="s">
        <v>177</v>
      </c>
      <c r="W117" s="2">
        <v>0.06</v>
      </c>
    </row>
    <row r="118" spans="1:25">
      <c r="A118" s="4">
        <v>12</v>
      </c>
      <c r="B118" s="7" t="str">
        <f>VLOOKUP($A118,SkillEnum!$A$2:$C$1020,2,FALSE)</f>
        <v>SI_P_COMMON_POWERFUL_SOUL</v>
      </c>
      <c r="C118" s="7">
        <v>8</v>
      </c>
      <c r="D118" s="2" t="str">
        <f>VLOOKUP($C118,SkillEnum!$D$2:$E$10,2,FALSE)</f>
        <v>ST_PASSIVE</v>
      </c>
      <c r="E118" s="7" t="str">
        <f>VLOOKUP($A118,SkillEnum!$A$2:$C$1020,3,FALSE)</f>
        <v>강인한 정신력</v>
      </c>
      <c r="F118" s="7" t="str">
        <f t="shared" si="21"/>
        <v>마법공격력의 7 % 만큼 물리공격력이 증가한다.</v>
      </c>
      <c r="G118" s="2">
        <v>7</v>
      </c>
      <c r="H118" s="2">
        <v>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 t="s">
        <v>432</v>
      </c>
      <c r="Q118" s="2" t="str">
        <f t="shared" si="15"/>
        <v>SI_P_COMMON_POWERFUL_SOUL</v>
      </c>
      <c r="R118" s="2" t="b">
        <v>0</v>
      </c>
      <c r="S118" s="2" t="b">
        <v>1</v>
      </c>
      <c r="T118" s="2">
        <v>0</v>
      </c>
      <c r="V118" s="2" t="s">
        <v>177</v>
      </c>
      <c r="W118" s="2">
        <v>7.0000000000000007E-2</v>
      </c>
    </row>
    <row r="119" spans="1:25">
      <c r="A119" s="4">
        <v>12</v>
      </c>
      <c r="B119" s="7" t="str">
        <f>VLOOKUP($A119,SkillEnum!$A$2:$C$1020,2,FALSE)</f>
        <v>SI_P_COMMON_POWERFUL_SOUL</v>
      </c>
      <c r="C119" s="7">
        <v>8</v>
      </c>
      <c r="D119" s="2" t="str">
        <f>VLOOKUP($C119,SkillEnum!$D$2:$E$10,2,FALSE)</f>
        <v>ST_PASSIVE</v>
      </c>
      <c r="E119" s="7" t="str">
        <f>VLOOKUP($A119,SkillEnum!$A$2:$C$1020,3,FALSE)</f>
        <v>강인한 정신력</v>
      </c>
      <c r="F119" s="7" t="str">
        <f t="shared" si="21"/>
        <v>마법공격력의 8 % 만큼 물리공격력이 증가한다.</v>
      </c>
      <c r="G119" s="2">
        <v>8</v>
      </c>
      <c r="H119" s="2">
        <v>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 t="s">
        <v>432</v>
      </c>
      <c r="Q119" s="2" t="str">
        <f t="shared" si="15"/>
        <v>SI_P_COMMON_POWERFUL_SOUL</v>
      </c>
      <c r="R119" s="2" t="b">
        <v>0</v>
      </c>
      <c r="S119" s="2" t="b">
        <v>1</v>
      </c>
      <c r="T119" s="2">
        <v>0</v>
      </c>
      <c r="V119" s="2" t="s">
        <v>177</v>
      </c>
      <c r="W119" s="2">
        <v>0.08</v>
      </c>
    </row>
    <row r="120" spans="1:25">
      <c r="A120" s="4">
        <v>12</v>
      </c>
      <c r="B120" s="7" t="str">
        <f>VLOOKUP($A120,SkillEnum!$A$2:$C$1020,2,FALSE)</f>
        <v>SI_P_COMMON_POWERFUL_SOUL</v>
      </c>
      <c r="C120" s="7">
        <v>8</v>
      </c>
      <c r="D120" s="2" t="str">
        <f>VLOOKUP($C120,SkillEnum!$D$2:$E$10,2,FALSE)</f>
        <v>ST_PASSIVE</v>
      </c>
      <c r="E120" s="7" t="str">
        <f>VLOOKUP($A120,SkillEnum!$A$2:$C$1020,3,FALSE)</f>
        <v>강인한 정신력</v>
      </c>
      <c r="F120" s="7" t="str">
        <f t="shared" si="21"/>
        <v>마법공격력의 9 % 만큼 물리공격력이 증가한다.</v>
      </c>
      <c r="G120" s="2">
        <v>9</v>
      </c>
      <c r="H120" s="2">
        <v>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 t="s">
        <v>432</v>
      </c>
      <c r="Q120" s="2" t="str">
        <f t="shared" si="15"/>
        <v>SI_P_COMMON_POWERFUL_SOUL</v>
      </c>
      <c r="R120" s="2" t="b">
        <v>0</v>
      </c>
      <c r="S120" s="2" t="b">
        <v>1</v>
      </c>
      <c r="T120" s="2">
        <v>0</v>
      </c>
      <c r="V120" s="2" t="s">
        <v>177</v>
      </c>
      <c r="W120" s="2">
        <v>0.09</v>
      </c>
    </row>
    <row r="121" spans="1:25" s="5" customFormat="1">
      <c r="A121" s="6">
        <v>12</v>
      </c>
      <c r="B121" s="8" t="str">
        <f>VLOOKUP($A121,SkillEnum!$A$2:$C$1020,2,FALSE)</f>
        <v>SI_P_COMMON_POWERFUL_SOUL</v>
      </c>
      <c r="C121" s="8">
        <v>8</v>
      </c>
      <c r="D121" s="5" t="str">
        <f>VLOOKUP($C121,SkillEnum!$D$2:$E$10,2,FALSE)</f>
        <v>ST_PASSIVE</v>
      </c>
      <c r="E121" s="8" t="str">
        <f>VLOOKUP($A121,SkillEnum!$A$2:$C$1020,3,FALSE)</f>
        <v>강인한 정신력</v>
      </c>
      <c r="F121" s="8" t="str">
        <f t="shared" si="21"/>
        <v>마법공격력의 10 % 만큼 물리공격력이 증가한다.</v>
      </c>
      <c r="G121" s="5">
        <v>10</v>
      </c>
      <c r="H121" s="5">
        <v>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2" t="s">
        <v>432</v>
      </c>
      <c r="Q121" s="2" t="str">
        <f t="shared" si="15"/>
        <v>SI_P_COMMON_POWERFUL_SOUL</v>
      </c>
      <c r="R121" s="5" t="b">
        <v>0</v>
      </c>
      <c r="S121" s="2" t="b">
        <v>1</v>
      </c>
      <c r="T121" s="2">
        <v>0</v>
      </c>
      <c r="U121" s="2"/>
      <c r="V121" s="5" t="s">
        <v>177</v>
      </c>
      <c r="W121" s="5">
        <v>0.1</v>
      </c>
    </row>
    <row r="122" spans="1:25" s="10" customFormat="1">
      <c r="A122" s="9">
        <v>13</v>
      </c>
      <c r="B122" s="11" t="str">
        <f>VLOOKUP($A122,SkillEnum!$A$2:$C$1020,2,FALSE)</f>
        <v>SI_P_COMMON_SUPPORT_AURA</v>
      </c>
      <c r="C122" s="11">
        <v>8</v>
      </c>
      <c r="D122" s="10" t="str">
        <f>VLOOKUP($C122,SkillEnum!$D$2:$E$10,2,FALSE)</f>
        <v>ST_PASSIVE</v>
      </c>
      <c r="E122" s="11" t="str">
        <f>VLOOKUP($A122,SkillEnum!$A$2:$C$1020,3,FALSE)</f>
        <v>격려의 기운</v>
      </c>
      <c r="F122" s="11" t="str">
        <f t="shared" ref="F122:F131" si="22">"오러 엑셀레이터 류의 지속시간이 "&amp;W122&amp;" 초 증가하고, 소비마나가 "&amp;ROUND((1-Y122)*100,0)&amp;" % 감소한다."</f>
        <v>오러 엑셀레이터 류의 지속시간이 2 초 증가하고, 소비마나가 6 % 감소한다.</v>
      </c>
      <c r="G122" s="10">
        <v>1</v>
      </c>
      <c r="H122" s="2">
        <v>1</v>
      </c>
      <c r="I122" s="10">
        <v>0</v>
      </c>
      <c r="J122" s="10">
        <v>0</v>
      </c>
      <c r="K122" s="10">
        <v>0</v>
      </c>
      <c r="L122" s="10">
        <v>0</v>
      </c>
      <c r="M122" s="10">
        <v>0</v>
      </c>
      <c r="N122" s="10">
        <v>0</v>
      </c>
      <c r="O122" s="10">
        <v>0</v>
      </c>
      <c r="P122" s="2" t="s">
        <v>432</v>
      </c>
      <c r="Q122" s="2" t="str">
        <f t="shared" si="15"/>
        <v>SI_P_COMMON_SUPPORT_AURA</v>
      </c>
      <c r="R122" s="10" t="b">
        <v>0</v>
      </c>
      <c r="S122" s="2" t="b">
        <v>1</v>
      </c>
      <c r="T122" s="2">
        <v>0</v>
      </c>
      <c r="U122" s="2"/>
      <c r="V122" s="1" t="s">
        <v>153</v>
      </c>
      <c r="W122" s="10">
        <v>2</v>
      </c>
      <c r="X122" s="1" t="s">
        <v>169</v>
      </c>
      <c r="Y122" s="10">
        <v>0.94</v>
      </c>
    </row>
    <row r="123" spans="1:25">
      <c r="A123" s="4">
        <v>13</v>
      </c>
      <c r="B123" s="7" t="str">
        <f>VLOOKUP($A123,SkillEnum!$A$2:$C$1020,2,FALSE)</f>
        <v>SI_P_COMMON_SUPPORT_AURA</v>
      </c>
      <c r="C123" s="7">
        <v>8</v>
      </c>
      <c r="D123" s="2" t="str">
        <f>VLOOKUP($C123,SkillEnum!$D$2:$E$10,2,FALSE)</f>
        <v>ST_PASSIVE</v>
      </c>
      <c r="E123" s="7" t="str">
        <f>VLOOKUP($A123,SkillEnum!$A$2:$C$1020,3,FALSE)</f>
        <v>격려의 기운</v>
      </c>
      <c r="F123" s="7" t="str">
        <f t="shared" si="22"/>
        <v>오러 엑셀레이터 류의 지속시간이 4 초 증가하고, 소비마나가 12 % 감소한다.</v>
      </c>
      <c r="G123" s="2">
        <v>2</v>
      </c>
      <c r="H123" s="2">
        <v>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 t="s">
        <v>432</v>
      </c>
      <c r="Q123" s="2" t="str">
        <f t="shared" si="15"/>
        <v>SI_P_COMMON_SUPPORT_AURA</v>
      </c>
      <c r="R123" s="2" t="b">
        <v>0</v>
      </c>
      <c r="S123" s="2" t="b">
        <v>1</v>
      </c>
      <c r="T123" s="2">
        <v>0</v>
      </c>
      <c r="V123" s="1" t="s">
        <v>153</v>
      </c>
      <c r="W123" s="2">
        <v>4</v>
      </c>
      <c r="X123" s="1" t="s">
        <v>169</v>
      </c>
      <c r="Y123" s="2">
        <v>0.87999999999999989</v>
      </c>
    </row>
    <row r="124" spans="1:25">
      <c r="A124" s="4">
        <v>13</v>
      </c>
      <c r="B124" s="7" t="str">
        <f>VLOOKUP($A124,SkillEnum!$A$2:$C$1020,2,FALSE)</f>
        <v>SI_P_COMMON_SUPPORT_AURA</v>
      </c>
      <c r="C124" s="7">
        <v>8</v>
      </c>
      <c r="D124" s="2" t="str">
        <f>VLOOKUP($C124,SkillEnum!$D$2:$E$10,2,FALSE)</f>
        <v>ST_PASSIVE</v>
      </c>
      <c r="E124" s="7" t="str">
        <f>VLOOKUP($A124,SkillEnum!$A$2:$C$1020,3,FALSE)</f>
        <v>격려의 기운</v>
      </c>
      <c r="F124" s="7" t="str">
        <f t="shared" si="22"/>
        <v>오러 엑셀레이터 류의 지속시간이 6 초 증가하고, 소비마나가 18 % 감소한다.</v>
      </c>
      <c r="G124" s="2">
        <v>3</v>
      </c>
      <c r="H124" s="2">
        <v>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 t="s">
        <v>432</v>
      </c>
      <c r="Q124" s="2" t="str">
        <f t="shared" si="15"/>
        <v>SI_P_COMMON_SUPPORT_AURA</v>
      </c>
      <c r="R124" s="2" t="b">
        <v>0</v>
      </c>
      <c r="S124" s="2" t="b">
        <v>1</v>
      </c>
      <c r="T124" s="2">
        <v>0</v>
      </c>
      <c r="V124" s="1" t="s">
        <v>153</v>
      </c>
      <c r="W124" s="2">
        <v>6</v>
      </c>
      <c r="X124" s="1" t="s">
        <v>169</v>
      </c>
      <c r="Y124" s="2">
        <v>0.81999999999999984</v>
      </c>
    </row>
    <row r="125" spans="1:25">
      <c r="A125" s="4">
        <v>13</v>
      </c>
      <c r="B125" s="7" t="str">
        <f>VLOOKUP($A125,SkillEnum!$A$2:$C$1020,2,FALSE)</f>
        <v>SI_P_COMMON_SUPPORT_AURA</v>
      </c>
      <c r="C125" s="7">
        <v>8</v>
      </c>
      <c r="D125" s="2" t="str">
        <f>VLOOKUP($C125,SkillEnum!$D$2:$E$10,2,FALSE)</f>
        <v>ST_PASSIVE</v>
      </c>
      <c r="E125" s="7" t="str">
        <f>VLOOKUP($A125,SkillEnum!$A$2:$C$1020,3,FALSE)</f>
        <v>격려의 기운</v>
      </c>
      <c r="F125" s="7" t="str">
        <f t="shared" si="22"/>
        <v>오러 엑셀레이터 류의 지속시간이 8 초 증가하고, 소비마나가 24 % 감소한다.</v>
      </c>
      <c r="G125" s="2">
        <v>4</v>
      </c>
      <c r="H125" s="2">
        <v>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 t="s">
        <v>432</v>
      </c>
      <c r="Q125" s="2" t="str">
        <f t="shared" si="15"/>
        <v>SI_P_COMMON_SUPPORT_AURA</v>
      </c>
      <c r="R125" s="2" t="b">
        <v>0</v>
      </c>
      <c r="S125" s="2" t="b">
        <v>1</v>
      </c>
      <c r="T125" s="2">
        <v>0</v>
      </c>
      <c r="V125" s="1" t="s">
        <v>153</v>
      </c>
      <c r="W125" s="2">
        <v>8</v>
      </c>
      <c r="X125" s="1" t="s">
        <v>169</v>
      </c>
      <c r="Y125" s="2">
        <v>0.75999999999999979</v>
      </c>
    </row>
    <row r="126" spans="1:25">
      <c r="A126" s="4">
        <v>13</v>
      </c>
      <c r="B126" s="7" t="str">
        <f>VLOOKUP($A126,SkillEnum!$A$2:$C$1020,2,FALSE)</f>
        <v>SI_P_COMMON_SUPPORT_AURA</v>
      </c>
      <c r="C126" s="7">
        <v>8</v>
      </c>
      <c r="D126" s="2" t="str">
        <f>VLOOKUP($C126,SkillEnum!$D$2:$E$10,2,FALSE)</f>
        <v>ST_PASSIVE</v>
      </c>
      <c r="E126" s="7" t="str">
        <f>VLOOKUP($A126,SkillEnum!$A$2:$C$1020,3,FALSE)</f>
        <v>격려의 기운</v>
      </c>
      <c r="F126" s="7" t="str">
        <f t="shared" si="22"/>
        <v>오러 엑셀레이터 류의 지속시간이 10 초 증가하고, 소비마나가 30 % 감소한다.</v>
      </c>
      <c r="G126" s="2">
        <v>5</v>
      </c>
      <c r="H126" s="2">
        <v>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 t="s">
        <v>432</v>
      </c>
      <c r="Q126" s="2" t="str">
        <f t="shared" si="15"/>
        <v>SI_P_COMMON_SUPPORT_AURA</v>
      </c>
      <c r="R126" s="2" t="b">
        <v>0</v>
      </c>
      <c r="S126" s="2" t="b">
        <v>1</v>
      </c>
      <c r="T126" s="2">
        <v>0</v>
      </c>
      <c r="V126" s="1" t="s">
        <v>153</v>
      </c>
      <c r="W126" s="2">
        <v>10</v>
      </c>
      <c r="X126" s="1" t="s">
        <v>169</v>
      </c>
      <c r="Y126" s="2">
        <v>0.69999999999999973</v>
      </c>
    </row>
    <row r="127" spans="1:25">
      <c r="A127" s="4">
        <v>13</v>
      </c>
      <c r="B127" s="7" t="str">
        <f>VLOOKUP($A127,SkillEnum!$A$2:$C$1020,2,FALSE)</f>
        <v>SI_P_COMMON_SUPPORT_AURA</v>
      </c>
      <c r="C127" s="7">
        <v>8</v>
      </c>
      <c r="D127" s="2" t="str">
        <f>VLOOKUP($C127,SkillEnum!$D$2:$E$10,2,FALSE)</f>
        <v>ST_PASSIVE</v>
      </c>
      <c r="E127" s="7" t="str">
        <f>VLOOKUP($A127,SkillEnum!$A$2:$C$1020,3,FALSE)</f>
        <v>격려의 기운</v>
      </c>
      <c r="F127" s="7" t="str">
        <f t="shared" si="22"/>
        <v>오러 엑셀레이터 류의 지속시간이 12 초 증가하고, 소비마나가 36 % 감소한다.</v>
      </c>
      <c r="G127" s="2">
        <v>6</v>
      </c>
      <c r="H127" s="2">
        <v>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 t="s">
        <v>432</v>
      </c>
      <c r="Q127" s="2" t="str">
        <f t="shared" si="15"/>
        <v>SI_P_COMMON_SUPPORT_AURA</v>
      </c>
      <c r="R127" s="2" t="b">
        <v>0</v>
      </c>
      <c r="S127" s="2" t="b">
        <v>1</v>
      </c>
      <c r="T127" s="2">
        <v>0</v>
      </c>
      <c r="V127" s="1" t="s">
        <v>153</v>
      </c>
      <c r="W127" s="2">
        <v>12</v>
      </c>
      <c r="X127" s="1" t="s">
        <v>169</v>
      </c>
      <c r="Y127" s="2">
        <v>0.63999999999999968</v>
      </c>
    </row>
    <row r="128" spans="1:25">
      <c r="A128" s="4">
        <v>13</v>
      </c>
      <c r="B128" s="7" t="str">
        <f>VLOOKUP($A128,SkillEnum!$A$2:$C$1020,2,FALSE)</f>
        <v>SI_P_COMMON_SUPPORT_AURA</v>
      </c>
      <c r="C128" s="7">
        <v>8</v>
      </c>
      <c r="D128" s="2" t="str">
        <f>VLOOKUP($C128,SkillEnum!$D$2:$E$10,2,FALSE)</f>
        <v>ST_PASSIVE</v>
      </c>
      <c r="E128" s="7" t="str">
        <f>VLOOKUP($A128,SkillEnum!$A$2:$C$1020,3,FALSE)</f>
        <v>격려의 기운</v>
      </c>
      <c r="F128" s="7" t="str">
        <f t="shared" si="22"/>
        <v>오러 엑셀레이터 류의 지속시간이 14 초 증가하고, 소비마나가 42 % 감소한다.</v>
      </c>
      <c r="G128" s="2">
        <v>7</v>
      </c>
      <c r="H128" s="2">
        <v>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 t="s">
        <v>432</v>
      </c>
      <c r="Q128" s="2" t="str">
        <f t="shared" si="15"/>
        <v>SI_P_COMMON_SUPPORT_AURA</v>
      </c>
      <c r="R128" s="2" t="b">
        <v>0</v>
      </c>
      <c r="S128" s="2" t="b">
        <v>1</v>
      </c>
      <c r="T128" s="2">
        <v>0</v>
      </c>
      <c r="V128" s="1" t="s">
        <v>153</v>
      </c>
      <c r="W128" s="2">
        <v>14</v>
      </c>
      <c r="X128" s="1" t="s">
        <v>169</v>
      </c>
      <c r="Y128" s="2">
        <v>0.57999999999999963</v>
      </c>
    </row>
    <row r="129" spans="1:25">
      <c r="A129" s="4">
        <v>13</v>
      </c>
      <c r="B129" s="7" t="str">
        <f>VLOOKUP($A129,SkillEnum!$A$2:$C$1020,2,FALSE)</f>
        <v>SI_P_COMMON_SUPPORT_AURA</v>
      </c>
      <c r="C129" s="7">
        <v>8</v>
      </c>
      <c r="D129" s="2" t="str">
        <f>VLOOKUP($C129,SkillEnum!$D$2:$E$10,2,FALSE)</f>
        <v>ST_PASSIVE</v>
      </c>
      <c r="E129" s="7" t="str">
        <f>VLOOKUP($A129,SkillEnum!$A$2:$C$1020,3,FALSE)</f>
        <v>격려의 기운</v>
      </c>
      <c r="F129" s="7" t="str">
        <f t="shared" si="22"/>
        <v>오러 엑셀레이터 류의 지속시간이 16 초 증가하고, 소비마나가 48 % 감소한다.</v>
      </c>
      <c r="G129" s="2">
        <v>8</v>
      </c>
      <c r="H129" s="2">
        <v>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 t="s">
        <v>432</v>
      </c>
      <c r="Q129" s="2" t="str">
        <f t="shared" si="15"/>
        <v>SI_P_COMMON_SUPPORT_AURA</v>
      </c>
      <c r="R129" s="2" t="b">
        <v>0</v>
      </c>
      <c r="S129" s="2" t="b">
        <v>1</v>
      </c>
      <c r="T129" s="2">
        <v>0</v>
      </c>
      <c r="V129" s="1" t="s">
        <v>153</v>
      </c>
      <c r="W129" s="2">
        <v>16</v>
      </c>
      <c r="X129" s="1" t="s">
        <v>169</v>
      </c>
      <c r="Y129" s="2">
        <v>0.51999999999999957</v>
      </c>
    </row>
    <row r="130" spans="1:25">
      <c r="A130" s="4">
        <v>13</v>
      </c>
      <c r="B130" s="7" t="str">
        <f>VLOOKUP($A130,SkillEnum!$A$2:$C$1020,2,FALSE)</f>
        <v>SI_P_COMMON_SUPPORT_AURA</v>
      </c>
      <c r="C130" s="7">
        <v>8</v>
      </c>
      <c r="D130" s="2" t="str">
        <f>VLOOKUP($C130,SkillEnum!$D$2:$E$10,2,FALSE)</f>
        <v>ST_PASSIVE</v>
      </c>
      <c r="E130" s="7" t="str">
        <f>VLOOKUP($A130,SkillEnum!$A$2:$C$1020,3,FALSE)</f>
        <v>격려의 기운</v>
      </c>
      <c r="F130" s="7" t="str">
        <f t="shared" si="22"/>
        <v>오러 엑셀레이터 류의 지속시간이 18 초 증가하고, 소비마나가 54 % 감소한다.</v>
      </c>
      <c r="G130" s="2">
        <v>9</v>
      </c>
      <c r="H130" s="2">
        <v>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 t="s">
        <v>432</v>
      </c>
      <c r="Q130" s="2" t="str">
        <f t="shared" si="15"/>
        <v>SI_P_COMMON_SUPPORT_AURA</v>
      </c>
      <c r="R130" s="2" t="b">
        <v>0</v>
      </c>
      <c r="S130" s="2" t="b">
        <v>1</v>
      </c>
      <c r="T130" s="2">
        <v>0</v>
      </c>
      <c r="V130" s="1" t="s">
        <v>153</v>
      </c>
      <c r="W130" s="2">
        <v>18</v>
      </c>
      <c r="X130" s="1" t="s">
        <v>169</v>
      </c>
      <c r="Y130" s="2">
        <v>0.45999999999999958</v>
      </c>
    </row>
    <row r="131" spans="1:25" s="5" customFormat="1">
      <c r="A131" s="6">
        <v>13</v>
      </c>
      <c r="B131" s="8" t="str">
        <f>VLOOKUP($A131,SkillEnum!$A$2:$C$1020,2,FALSE)</f>
        <v>SI_P_COMMON_SUPPORT_AURA</v>
      </c>
      <c r="C131" s="8">
        <v>8</v>
      </c>
      <c r="D131" s="5" t="str">
        <f>VLOOKUP($C131,SkillEnum!$D$2:$E$10,2,FALSE)</f>
        <v>ST_PASSIVE</v>
      </c>
      <c r="E131" s="8" t="str">
        <f>VLOOKUP($A131,SkillEnum!$A$2:$C$1020,3,FALSE)</f>
        <v>격려의 기운</v>
      </c>
      <c r="F131" s="8" t="str">
        <f t="shared" si="22"/>
        <v>오러 엑셀레이터 류의 지속시간이 20 초 증가하고, 소비마나가 60 % 감소한다.</v>
      </c>
      <c r="G131" s="5">
        <v>10</v>
      </c>
      <c r="H131" s="5">
        <v>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2" t="s">
        <v>432</v>
      </c>
      <c r="Q131" s="2" t="str">
        <f t="shared" ref="Q131:Q194" si="23">B131</f>
        <v>SI_P_COMMON_SUPPORT_AURA</v>
      </c>
      <c r="R131" s="5" t="b">
        <v>0</v>
      </c>
      <c r="S131" s="2" t="b">
        <v>1</v>
      </c>
      <c r="T131" s="2">
        <v>0</v>
      </c>
      <c r="U131" s="2"/>
      <c r="V131" s="1" t="s">
        <v>153</v>
      </c>
      <c r="W131" s="5">
        <v>20</v>
      </c>
      <c r="X131" s="1" t="s">
        <v>169</v>
      </c>
      <c r="Y131" s="2">
        <v>0.39999999999999958</v>
      </c>
    </row>
    <row r="132" spans="1:25" s="10" customFormat="1">
      <c r="A132" s="9">
        <v>14</v>
      </c>
      <c r="B132" s="11" t="str">
        <f>VLOOKUP($A132,SkillEnum!$A$2:$C$1020,2,FALSE)</f>
        <v>SI_P_COMMON_UNLIMIT_MANA</v>
      </c>
      <c r="C132" s="11">
        <v>8</v>
      </c>
      <c r="D132" s="10" t="str">
        <f>VLOOKUP($C132,SkillEnum!$D$2:$E$10,2,FALSE)</f>
        <v>ST_PASSIVE</v>
      </c>
      <c r="E132" s="11" t="str">
        <f>VLOOKUP($A132,SkillEnum!$A$2:$C$1020,3,FALSE)</f>
        <v>끝없는 마력</v>
      </c>
      <c r="F132" s="11" t="str">
        <f t="shared" ref="F132:F141" si="24">"최대 마나량이 "&amp;W132&amp;" 증가한다."</f>
        <v>최대 마나량이 20 증가한다.</v>
      </c>
      <c r="G132" s="10">
        <v>1</v>
      </c>
      <c r="H132" s="2">
        <v>1</v>
      </c>
      <c r="I132" s="10">
        <v>0</v>
      </c>
      <c r="J132" s="10">
        <v>0</v>
      </c>
      <c r="K132" s="10">
        <v>0</v>
      </c>
      <c r="L132" s="10">
        <v>0</v>
      </c>
      <c r="M132" s="10">
        <v>0</v>
      </c>
      <c r="N132" s="10">
        <v>0</v>
      </c>
      <c r="O132" s="10">
        <v>0</v>
      </c>
      <c r="P132" s="2" t="s">
        <v>432</v>
      </c>
      <c r="Q132" s="2" t="str">
        <f t="shared" si="23"/>
        <v>SI_P_COMMON_UNLIMIT_MANA</v>
      </c>
      <c r="R132" s="10" t="b">
        <v>0</v>
      </c>
      <c r="S132" s="2" t="b">
        <v>1</v>
      </c>
      <c r="T132" s="2">
        <v>0</v>
      </c>
      <c r="U132" s="2"/>
      <c r="V132" s="10" t="s">
        <v>235</v>
      </c>
      <c r="W132" s="10">
        <v>20</v>
      </c>
    </row>
    <row r="133" spans="1:25">
      <c r="A133" s="4">
        <v>14</v>
      </c>
      <c r="B133" s="7" t="str">
        <f>VLOOKUP($A133,SkillEnum!$A$2:$C$1020,2,FALSE)</f>
        <v>SI_P_COMMON_UNLIMIT_MANA</v>
      </c>
      <c r="C133" s="7">
        <v>8</v>
      </c>
      <c r="D133" s="2" t="str">
        <f>VLOOKUP($C133,SkillEnum!$D$2:$E$10,2,FALSE)</f>
        <v>ST_PASSIVE</v>
      </c>
      <c r="E133" s="7" t="str">
        <f>VLOOKUP($A133,SkillEnum!$A$2:$C$1020,3,FALSE)</f>
        <v>끝없는 마력</v>
      </c>
      <c r="F133" s="7" t="str">
        <f t="shared" si="24"/>
        <v>최대 마나량이 40 증가한다.</v>
      </c>
      <c r="G133" s="2">
        <v>2</v>
      </c>
      <c r="H133" s="2">
        <v>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 t="s">
        <v>432</v>
      </c>
      <c r="Q133" s="2" t="str">
        <f t="shared" si="23"/>
        <v>SI_P_COMMON_UNLIMIT_MANA</v>
      </c>
      <c r="R133" s="2" t="b">
        <v>0</v>
      </c>
      <c r="S133" s="2" t="b">
        <v>1</v>
      </c>
      <c r="T133" s="2">
        <v>0</v>
      </c>
      <c r="V133" s="2" t="s">
        <v>235</v>
      </c>
      <c r="W133" s="2">
        <v>40</v>
      </c>
    </row>
    <row r="134" spans="1:25">
      <c r="A134" s="4">
        <v>14</v>
      </c>
      <c r="B134" s="7" t="str">
        <f>VLOOKUP($A134,SkillEnum!$A$2:$C$1020,2,FALSE)</f>
        <v>SI_P_COMMON_UNLIMIT_MANA</v>
      </c>
      <c r="C134" s="7">
        <v>8</v>
      </c>
      <c r="D134" s="2" t="str">
        <f>VLOOKUP($C134,SkillEnum!$D$2:$E$10,2,FALSE)</f>
        <v>ST_PASSIVE</v>
      </c>
      <c r="E134" s="7" t="str">
        <f>VLOOKUP($A134,SkillEnum!$A$2:$C$1020,3,FALSE)</f>
        <v>끝없는 마력</v>
      </c>
      <c r="F134" s="7" t="str">
        <f t="shared" si="24"/>
        <v>최대 마나량이 60 증가한다.</v>
      </c>
      <c r="G134" s="2">
        <v>3</v>
      </c>
      <c r="H134" s="2">
        <v>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 t="s">
        <v>432</v>
      </c>
      <c r="Q134" s="2" t="str">
        <f t="shared" si="23"/>
        <v>SI_P_COMMON_UNLIMIT_MANA</v>
      </c>
      <c r="R134" s="2" t="b">
        <v>0</v>
      </c>
      <c r="S134" s="2" t="b">
        <v>1</v>
      </c>
      <c r="T134" s="2">
        <v>0</v>
      </c>
      <c r="V134" s="2" t="s">
        <v>235</v>
      </c>
      <c r="W134" s="2">
        <v>60</v>
      </c>
    </row>
    <row r="135" spans="1:25">
      <c r="A135" s="4">
        <v>14</v>
      </c>
      <c r="B135" s="7" t="str">
        <f>VLOOKUP($A135,SkillEnum!$A$2:$C$1020,2,FALSE)</f>
        <v>SI_P_COMMON_UNLIMIT_MANA</v>
      </c>
      <c r="C135" s="7">
        <v>8</v>
      </c>
      <c r="D135" s="2" t="str">
        <f>VLOOKUP($C135,SkillEnum!$D$2:$E$10,2,FALSE)</f>
        <v>ST_PASSIVE</v>
      </c>
      <c r="E135" s="7" t="str">
        <f>VLOOKUP($A135,SkillEnum!$A$2:$C$1020,3,FALSE)</f>
        <v>끝없는 마력</v>
      </c>
      <c r="F135" s="7" t="str">
        <f t="shared" si="24"/>
        <v>최대 마나량이 80 증가한다.</v>
      </c>
      <c r="G135" s="2">
        <v>4</v>
      </c>
      <c r="H135" s="2">
        <v>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 t="s">
        <v>432</v>
      </c>
      <c r="Q135" s="2" t="str">
        <f t="shared" si="23"/>
        <v>SI_P_COMMON_UNLIMIT_MANA</v>
      </c>
      <c r="R135" s="2" t="b">
        <v>0</v>
      </c>
      <c r="S135" s="2" t="b">
        <v>1</v>
      </c>
      <c r="T135" s="2">
        <v>0</v>
      </c>
      <c r="V135" s="2" t="s">
        <v>235</v>
      </c>
      <c r="W135" s="2">
        <v>80</v>
      </c>
    </row>
    <row r="136" spans="1:25">
      <c r="A136" s="4">
        <v>14</v>
      </c>
      <c r="B136" s="7" t="str">
        <f>VLOOKUP($A136,SkillEnum!$A$2:$C$1020,2,FALSE)</f>
        <v>SI_P_COMMON_UNLIMIT_MANA</v>
      </c>
      <c r="C136" s="7">
        <v>8</v>
      </c>
      <c r="D136" s="2" t="str">
        <f>VLOOKUP($C136,SkillEnum!$D$2:$E$10,2,FALSE)</f>
        <v>ST_PASSIVE</v>
      </c>
      <c r="E136" s="7" t="str">
        <f>VLOOKUP($A136,SkillEnum!$A$2:$C$1020,3,FALSE)</f>
        <v>끝없는 마력</v>
      </c>
      <c r="F136" s="7" t="str">
        <f t="shared" si="24"/>
        <v>최대 마나량이 100 증가한다.</v>
      </c>
      <c r="G136" s="2">
        <v>5</v>
      </c>
      <c r="H136" s="2">
        <v>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 t="s">
        <v>432</v>
      </c>
      <c r="Q136" s="2" t="str">
        <f t="shared" si="23"/>
        <v>SI_P_COMMON_UNLIMIT_MANA</v>
      </c>
      <c r="R136" s="2" t="b">
        <v>0</v>
      </c>
      <c r="S136" s="2" t="b">
        <v>1</v>
      </c>
      <c r="T136" s="2">
        <v>0</v>
      </c>
      <c r="V136" s="2" t="s">
        <v>235</v>
      </c>
      <c r="W136" s="2">
        <v>100</v>
      </c>
    </row>
    <row r="137" spans="1:25">
      <c r="A137" s="4">
        <v>14</v>
      </c>
      <c r="B137" s="7" t="str">
        <f>VLOOKUP($A137,SkillEnum!$A$2:$C$1020,2,FALSE)</f>
        <v>SI_P_COMMON_UNLIMIT_MANA</v>
      </c>
      <c r="C137" s="7">
        <v>8</v>
      </c>
      <c r="D137" s="2" t="str">
        <f>VLOOKUP($C137,SkillEnum!$D$2:$E$10,2,FALSE)</f>
        <v>ST_PASSIVE</v>
      </c>
      <c r="E137" s="7" t="str">
        <f>VLOOKUP($A137,SkillEnum!$A$2:$C$1020,3,FALSE)</f>
        <v>끝없는 마력</v>
      </c>
      <c r="F137" s="7" t="str">
        <f t="shared" si="24"/>
        <v>최대 마나량이 120 증가한다.</v>
      </c>
      <c r="G137" s="2">
        <v>6</v>
      </c>
      <c r="H137" s="2">
        <v>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 t="s">
        <v>432</v>
      </c>
      <c r="Q137" s="2" t="str">
        <f t="shared" si="23"/>
        <v>SI_P_COMMON_UNLIMIT_MANA</v>
      </c>
      <c r="R137" s="2" t="b">
        <v>0</v>
      </c>
      <c r="S137" s="2" t="b">
        <v>1</v>
      </c>
      <c r="T137" s="2">
        <v>0</v>
      </c>
      <c r="V137" s="2" t="s">
        <v>235</v>
      </c>
      <c r="W137" s="2">
        <v>120</v>
      </c>
    </row>
    <row r="138" spans="1:25">
      <c r="A138" s="4">
        <v>14</v>
      </c>
      <c r="B138" s="7" t="str">
        <f>VLOOKUP($A138,SkillEnum!$A$2:$C$1020,2,FALSE)</f>
        <v>SI_P_COMMON_UNLIMIT_MANA</v>
      </c>
      <c r="C138" s="7">
        <v>8</v>
      </c>
      <c r="D138" s="2" t="str">
        <f>VLOOKUP($C138,SkillEnum!$D$2:$E$10,2,FALSE)</f>
        <v>ST_PASSIVE</v>
      </c>
      <c r="E138" s="7" t="str">
        <f>VLOOKUP($A138,SkillEnum!$A$2:$C$1020,3,FALSE)</f>
        <v>끝없는 마력</v>
      </c>
      <c r="F138" s="7" t="str">
        <f t="shared" si="24"/>
        <v>최대 마나량이 140 증가한다.</v>
      </c>
      <c r="G138" s="2">
        <v>7</v>
      </c>
      <c r="H138" s="2">
        <v>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 t="s">
        <v>432</v>
      </c>
      <c r="Q138" s="2" t="str">
        <f t="shared" si="23"/>
        <v>SI_P_COMMON_UNLIMIT_MANA</v>
      </c>
      <c r="R138" s="2" t="b">
        <v>0</v>
      </c>
      <c r="S138" s="2" t="b">
        <v>1</v>
      </c>
      <c r="T138" s="2">
        <v>0</v>
      </c>
      <c r="V138" s="2" t="s">
        <v>235</v>
      </c>
      <c r="W138" s="2">
        <v>140</v>
      </c>
    </row>
    <row r="139" spans="1:25">
      <c r="A139" s="4">
        <v>14</v>
      </c>
      <c r="B139" s="7" t="str">
        <f>VLOOKUP($A139,SkillEnum!$A$2:$C$1020,2,FALSE)</f>
        <v>SI_P_COMMON_UNLIMIT_MANA</v>
      </c>
      <c r="C139" s="7">
        <v>8</v>
      </c>
      <c r="D139" s="2" t="str">
        <f>VLOOKUP($C139,SkillEnum!$D$2:$E$10,2,FALSE)</f>
        <v>ST_PASSIVE</v>
      </c>
      <c r="E139" s="7" t="str">
        <f>VLOOKUP($A139,SkillEnum!$A$2:$C$1020,3,FALSE)</f>
        <v>끝없는 마력</v>
      </c>
      <c r="F139" s="7" t="str">
        <f t="shared" si="24"/>
        <v>최대 마나량이 160 증가한다.</v>
      </c>
      <c r="G139" s="2">
        <v>8</v>
      </c>
      <c r="H139" s="2">
        <v>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 t="s">
        <v>432</v>
      </c>
      <c r="Q139" s="2" t="str">
        <f t="shared" si="23"/>
        <v>SI_P_COMMON_UNLIMIT_MANA</v>
      </c>
      <c r="R139" s="2" t="b">
        <v>0</v>
      </c>
      <c r="S139" s="2" t="b">
        <v>1</v>
      </c>
      <c r="T139" s="2">
        <v>0</v>
      </c>
      <c r="V139" s="2" t="s">
        <v>235</v>
      </c>
      <c r="W139" s="2">
        <v>160</v>
      </c>
    </row>
    <row r="140" spans="1:25">
      <c r="A140" s="4">
        <v>14</v>
      </c>
      <c r="B140" s="7" t="str">
        <f>VLOOKUP($A140,SkillEnum!$A$2:$C$1020,2,FALSE)</f>
        <v>SI_P_COMMON_UNLIMIT_MANA</v>
      </c>
      <c r="C140" s="7">
        <v>8</v>
      </c>
      <c r="D140" s="2" t="str">
        <f>VLOOKUP($C140,SkillEnum!$D$2:$E$10,2,FALSE)</f>
        <v>ST_PASSIVE</v>
      </c>
      <c r="E140" s="7" t="str">
        <f>VLOOKUP($A140,SkillEnum!$A$2:$C$1020,3,FALSE)</f>
        <v>끝없는 마력</v>
      </c>
      <c r="F140" s="7" t="str">
        <f t="shared" si="24"/>
        <v>최대 마나량이 180 증가한다.</v>
      </c>
      <c r="G140" s="2">
        <v>9</v>
      </c>
      <c r="H140" s="2">
        <v>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 t="s">
        <v>432</v>
      </c>
      <c r="Q140" s="2" t="str">
        <f t="shared" si="23"/>
        <v>SI_P_COMMON_UNLIMIT_MANA</v>
      </c>
      <c r="R140" s="2" t="b">
        <v>0</v>
      </c>
      <c r="S140" s="2" t="b">
        <v>1</v>
      </c>
      <c r="T140" s="2">
        <v>0</v>
      </c>
      <c r="V140" s="2" t="s">
        <v>235</v>
      </c>
      <c r="W140" s="2">
        <v>180</v>
      </c>
    </row>
    <row r="141" spans="1:25" s="5" customFormat="1">
      <c r="A141" s="6">
        <v>14</v>
      </c>
      <c r="B141" s="8" t="str">
        <f>VLOOKUP($A141,SkillEnum!$A$2:$C$1020,2,FALSE)</f>
        <v>SI_P_COMMON_UNLIMIT_MANA</v>
      </c>
      <c r="C141" s="8">
        <v>8</v>
      </c>
      <c r="D141" s="5" t="str">
        <f>VLOOKUP($C141,SkillEnum!$D$2:$E$10,2,FALSE)</f>
        <v>ST_PASSIVE</v>
      </c>
      <c r="E141" s="8" t="str">
        <f>VLOOKUP($A141,SkillEnum!$A$2:$C$1020,3,FALSE)</f>
        <v>끝없는 마력</v>
      </c>
      <c r="F141" s="8" t="str">
        <f t="shared" si="24"/>
        <v>최대 마나량이 200 증가한다.</v>
      </c>
      <c r="G141" s="5">
        <v>10</v>
      </c>
      <c r="H141" s="5">
        <v>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 s="5">
        <v>0</v>
      </c>
      <c r="O141" s="5">
        <v>0</v>
      </c>
      <c r="P141" s="2" t="s">
        <v>432</v>
      </c>
      <c r="Q141" s="2" t="str">
        <f t="shared" si="23"/>
        <v>SI_P_COMMON_UNLIMIT_MANA</v>
      </c>
      <c r="R141" s="5" t="b">
        <v>0</v>
      </c>
      <c r="S141" s="2" t="b">
        <v>1</v>
      </c>
      <c r="T141" s="2">
        <v>0</v>
      </c>
      <c r="U141" s="2"/>
      <c r="V141" s="5" t="s">
        <v>235</v>
      </c>
      <c r="W141" s="5">
        <v>200</v>
      </c>
    </row>
    <row r="142" spans="1:25" s="10" customFormat="1">
      <c r="A142" s="9">
        <v>15</v>
      </c>
      <c r="B142" s="11" t="str">
        <f>VLOOKUP($A142,SkillEnum!$A$2:$C$1020,2,FALSE)</f>
        <v>SI_P_COMMON_SHADOW_DATH</v>
      </c>
      <c r="C142" s="11">
        <v>8</v>
      </c>
      <c r="D142" s="10" t="str">
        <f>VLOOKUP($C142,SkillEnum!$D$2:$E$10,2,FALSE)</f>
        <v>ST_PASSIVE</v>
      </c>
      <c r="E142" s="11" t="str">
        <f>VLOOKUP($A142,SkillEnum!$A$2:$C$1020,3,FALSE)</f>
        <v>죽음의 그림자</v>
      </c>
      <c r="F142" s="11" t="str">
        <f t="shared" ref="F142:F151" si="25">"상대의 방어도를 "&amp;ROUND((1-W142)*100,0)&amp;" % 무시한다."</f>
        <v>상대의 방어도를 1 % 무시한다.</v>
      </c>
      <c r="G142" s="10">
        <v>1</v>
      </c>
      <c r="H142" s="2">
        <v>1</v>
      </c>
      <c r="I142" s="10">
        <v>0</v>
      </c>
      <c r="J142" s="10">
        <v>0</v>
      </c>
      <c r="K142" s="10">
        <v>0</v>
      </c>
      <c r="L142" s="10">
        <v>0</v>
      </c>
      <c r="M142" s="10">
        <v>0</v>
      </c>
      <c r="N142" s="10">
        <v>0</v>
      </c>
      <c r="O142" s="10">
        <v>0</v>
      </c>
      <c r="P142" s="2" t="s">
        <v>432</v>
      </c>
      <c r="Q142" s="2" t="str">
        <f t="shared" si="23"/>
        <v>SI_P_COMMON_SHADOW_DATH</v>
      </c>
      <c r="R142" s="10" t="b">
        <v>0</v>
      </c>
      <c r="S142" s="2" t="b">
        <v>1</v>
      </c>
      <c r="T142" s="2">
        <v>0</v>
      </c>
      <c r="U142" s="2"/>
      <c r="V142" s="10" t="s">
        <v>245</v>
      </c>
      <c r="W142" s="10">
        <v>0.99</v>
      </c>
    </row>
    <row r="143" spans="1:25">
      <c r="A143" s="4">
        <v>15</v>
      </c>
      <c r="B143" s="7" t="str">
        <f>VLOOKUP($A143,SkillEnum!$A$2:$C$1020,2,FALSE)</f>
        <v>SI_P_COMMON_SHADOW_DATH</v>
      </c>
      <c r="C143" s="7">
        <v>8</v>
      </c>
      <c r="D143" s="2" t="str">
        <f>VLOOKUP($C143,SkillEnum!$D$2:$E$10,2,FALSE)</f>
        <v>ST_PASSIVE</v>
      </c>
      <c r="E143" s="7" t="str">
        <f>VLOOKUP($A143,SkillEnum!$A$2:$C$1020,3,FALSE)</f>
        <v>죽음의 그림자</v>
      </c>
      <c r="F143" s="7" t="str">
        <f t="shared" si="25"/>
        <v>상대의 방어도를 2 % 무시한다.</v>
      </c>
      <c r="G143" s="2">
        <v>2</v>
      </c>
      <c r="H143" s="2">
        <v>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 t="s">
        <v>432</v>
      </c>
      <c r="Q143" s="2" t="str">
        <f t="shared" si="23"/>
        <v>SI_P_COMMON_SHADOW_DATH</v>
      </c>
      <c r="R143" s="2" t="b">
        <v>0</v>
      </c>
      <c r="S143" s="2" t="b">
        <v>1</v>
      </c>
      <c r="T143" s="2">
        <v>0</v>
      </c>
      <c r="V143" s="2" t="s">
        <v>245</v>
      </c>
      <c r="W143" s="2">
        <v>0.98</v>
      </c>
    </row>
    <row r="144" spans="1:25">
      <c r="A144" s="4">
        <v>15</v>
      </c>
      <c r="B144" s="7" t="str">
        <f>VLOOKUP($A144,SkillEnum!$A$2:$C$1020,2,FALSE)</f>
        <v>SI_P_COMMON_SHADOW_DATH</v>
      </c>
      <c r="C144" s="7">
        <v>8</v>
      </c>
      <c r="D144" s="2" t="str">
        <f>VLOOKUP($C144,SkillEnum!$D$2:$E$10,2,FALSE)</f>
        <v>ST_PASSIVE</v>
      </c>
      <c r="E144" s="7" t="str">
        <f>VLOOKUP($A144,SkillEnum!$A$2:$C$1020,3,FALSE)</f>
        <v>죽음의 그림자</v>
      </c>
      <c r="F144" s="7" t="str">
        <f t="shared" si="25"/>
        <v>상대의 방어도를 3 % 무시한다.</v>
      </c>
      <c r="G144" s="2">
        <v>3</v>
      </c>
      <c r="H144" s="2">
        <v>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 t="s">
        <v>432</v>
      </c>
      <c r="Q144" s="2" t="str">
        <f t="shared" si="23"/>
        <v>SI_P_COMMON_SHADOW_DATH</v>
      </c>
      <c r="R144" s="2" t="b">
        <v>0</v>
      </c>
      <c r="S144" s="2" t="b">
        <v>1</v>
      </c>
      <c r="T144" s="2">
        <v>0</v>
      </c>
      <c r="V144" s="2" t="s">
        <v>245</v>
      </c>
      <c r="W144" s="2">
        <v>0.97</v>
      </c>
    </row>
    <row r="145" spans="1:23">
      <c r="A145" s="4">
        <v>15</v>
      </c>
      <c r="B145" s="7" t="str">
        <f>VLOOKUP($A145,SkillEnum!$A$2:$C$1020,2,FALSE)</f>
        <v>SI_P_COMMON_SHADOW_DATH</v>
      </c>
      <c r="C145" s="7">
        <v>8</v>
      </c>
      <c r="D145" s="2" t="str">
        <f>VLOOKUP($C145,SkillEnum!$D$2:$E$10,2,FALSE)</f>
        <v>ST_PASSIVE</v>
      </c>
      <c r="E145" s="7" t="str">
        <f>VLOOKUP($A145,SkillEnum!$A$2:$C$1020,3,FALSE)</f>
        <v>죽음의 그림자</v>
      </c>
      <c r="F145" s="7" t="str">
        <f t="shared" si="25"/>
        <v>상대의 방어도를 4 % 무시한다.</v>
      </c>
      <c r="G145" s="2">
        <v>4</v>
      </c>
      <c r="H145" s="2">
        <v>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 t="s">
        <v>432</v>
      </c>
      <c r="Q145" s="2" t="str">
        <f t="shared" si="23"/>
        <v>SI_P_COMMON_SHADOW_DATH</v>
      </c>
      <c r="R145" s="2" t="b">
        <v>0</v>
      </c>
      <c r="S145" s="2" t="b">
        <v>1</v>
      </c>
      <c r="T145" s="2">
        <v>0</v>
      </c>
      <c r="V145" s="2" t="s">
        <v>245</v>
      </c>
      <c r="W145" s="2">
        <v>0.96</v>
      </c>
    </row>
    <row r="146" spans="1:23">
      <c r="A146" s="4">
        <v>15</v>
      </c>
      <c r="B146" s="7" t="str">
        <f>VLOOKUP($A146,SkillEnum!$A$2:$C$1020,2,FALSE)</f>
        <v>SI_P_COMMON_SHADOW_DATH</v>
      </c>
      <c r="C146" s="7">
        <v>8</v>
      </c>
      <c r="D146" s="2" t="str">
        <f>VLOOKUP($C146,SkillEnum!$D$2:$E$10,2,FALSE)</f>
        <v>ST_PASSIVE</v>
      </c>
      <c r="E146" s="7" t="str">
        <f>VLOOKUP($A146,SkillEnum!$A$2:$C$1020,3,FALSE)</f>
        <v>죽음의 그림자</v>
      </c>
      <c r="F146" s="7" t="str">
        <f t="shared" si="25"/>
        <v>상대의 방어도를 5 % 무시한다.</v>
      </c>
      <c r="G146" s="2">
        <v>5</v>
      </c>
      <c r="H146" s="2">
        <v>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 t="s">
        <v>432</v>
      </c>
      <c r="Q146" s="2" t="str">
        <f t="shared" si="23"/>
        <v>SI_P_COMMON_SHADOW_DATH</v>
      </c>
      <c r="R146" s="2" t="b">
        <v>0</v>
      </c>
      <c r="S146" s="2" t="b">
        <v>1</v>
      </c>
      <c r="T146" s="2">
        <v>0</v>
      </c>
      <c r="V146" s="2" t="s">
        <v>245</v>
      </c>
      <c r="W146" s="2">
        <v>0.95</v>
      </c>
    </row>
    <row r="147" spans="1:23">
      <c r="A147" s="4">
        <v>15</v>
      </c>
      <c r="B147" s="7" t="str">
        <f>VLOOKUP($A147,SkillEnum!$A$2:$C$1020,2,FALSE)</f>
        <v>SI_P_COMMON_SHADOW_DATH</v>
      </c>
      <c r="C147" s="7">
        <v>8</v>
      </c>
      <c r="D147" s="2" t="str">
        <f>VLOOKUP($C147,SkillEnum!$D$2:$E$10,2,FALSE)</f>
        <v>ST_PASSIVE</v>
      </c>
      <c r="E147" s="7" t="str">
        <f>VLOOKUP($A147,SkillEnum!$A$2:$C$1020,3,FALSE)</f>
        <v>죽음의 그림자</v>
      </c>
      <c r="F147" s="7" t="str">
        <f t="shared" si="25"/>
        <v>상대의 방어도를 6 % 무시한다.</v>
      </c>
      <c r="G147" s="2">
        <v>6</v>
      </c>
      <c r="H147" s="2">
        <v>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 t="s">
        <v>432</v>
      </c>
      <c r="Q147" s="2" t="str">
        <f t="shared" si="23"/>
        <v>SI_P_COMMON_SHADOW_DATH</v>
      </c>
      <c r="R147" s="2" t="b">
        <v>0</v>
      </c>
      <c r="S147" s="2" t="b">
        <v>1</v>
      </c>
      <c r="T147" s="2">
        <v>0</v>
      </c>
      <c r="V147" s="2" t="s">
        <v>245</v>
      </c>
      <c r="W147" s="2">
        <v>0.94</v>
      </c>
    </row>
    <row r="148" spans="1:23">
      <c r="A148" s="4">
        <v>15</v>
      </c>
      <c r="B148" s="7" t="str">
        <f>VLOOKUP($A148,SkillEnum!$A$2:$C$1020,2,FALSE)</f>
        <v>SI_P_COMMON_SHADOW_DATH</v>
      </c>
      <c r="C148" s="7">
        <v>8</v>
      </c>
      <c r="D148" s="2" t="str">
        <f>VLOOKUP($C148,SkillEnum!$D$2:$E$10,2,FALSE)</f>
        <v>ST_PASSIVE</v>
      </c>
      <c r="E148" s="7" t="str">
        <f>VLOOKUP($A148,SkillEnum!$A$2:$C$1020,3,FALSE)</f>
        <v>죽음의 그림자</v>
      </c>
      <c r="F148" s="7" t="str">
        <f t="shared" si="25"/>
        <v>상대의 방어도를 7 % 무시한다.</v>
      </c>
      <c r="G148" s="2">
        <v>7</v>
      </c>
      <c r="H148" s="2">
        <v>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 t="s">
        <v>432</v>
      </c>
      <c r="Q148" s="2" t="str">
        <f t="shared" si="23"/>
        <v>SI_P_COMMON_SHADOW_DATH</v>
      </c>
      <c r="R148" s="2" t="b">
        <v>0</v>
      </c>
      <c r="S148" s="2" t="b">
        <v>1</v>
      </c>
      <c r="T148" s="2">
        <v>0</v>
      </c>
      <c r="V148" s="2" t="s">
        <v>245</v>
      </c>
      <c r="W148" s="2">
        <v>0.93</v>
      </c>
    </row>
    <row r="149" spans="1:23">
      <c r="A149" s="4">
        <v>15</v>
      </c>
      <c r="B149" s="7" t="str">
        <f>VLOOKUP($A149,SkillEnum!$A$2:$C$1020,2,FALSE)</f>
        <v>SI_P_COMMON_SHADOW_DATH</v>
      </c>
      <c r="C149" s="7">
        <v>8</v>
      </c>
      <c r="D149" s="2" t="str">
        <f>VLOOKUP($C149,SkillEnum!$D$2:$E$10,2,FALSE)</f>
        <v>ST_PASSIVE</v>
      </c>
      <c r="E149" s="7" t="str">
        <f>VLOOKUP($A149,SkillEnum!$A$2:$C$1020,3,FALSE)</f>
        <v>죽음의 그림자</v>
      </c>
      <c r="F149" s="7" t="str">
        <f t="shared" si="25"/>
        <v>상대의 방어도를 8 % 무시한다.</v>
      </c>
      <c r="G149" s="2">
        <v>8</v>
      </c>
      <c r="H149" s="2">
        <v>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 t="s">
        <v>432</v>
      </c>
      <c r="Q149" s="2" t="str">
        <f t="shared" si="23"/>
        <v>SI_P_COMMON_SHADOW_DATH</v>
      </c>
      <c r="R149" s="2" t="b">
        <v>0</v>
      </c>
      <c r="S149" s="2" t="b">
        <v>1</v>
      </c>
      <c r="T149" s="2">
        <v>0</v>
      </c>
      <c r="V149" s="2" t="s">
        <v>245</v>
      </c>
      <c r="W149" s="2">
        <v>0.92</v>
      </c>
    </row>
    <row r="150" spans="1:23">
      <c r="A150" s="4">
        <v>15</v>
      </c>
      <c r="B150" s="7" t="str">
        <f>VLOOKUP($A150,SkillEnum!$A$2:$C$1020,2,FALSE)</f>
        <v>SI_P_COMMON_SHADOW_DATH</v>
      </c>
      <c r="C150" s="7">
        <v>8</v>
      </c>
      <c r="D150" s="2" t="str">
        <f>VLOOKUP($C150,SkillEnum!$D$2:$E$10,2,FALSE)</f>
        <v>ST_PASSIVE</v>
      </c>
      <c r="E150" s="7" t="str">
        <f>VLOOKUP($A150,SkillEnum!$A$2:$C$1020,3,FALSE)</f>
        <v>죽음의 그림자</v>
      </c>
      <c r="F150" s="7" t="str">
        <f t="shared" si="25"/>
        <v>상대의 방어도를 9 % 무시한다.</v>
      </c>
      <c r="G150" s="2">
        <v>9</v>
      </c>
      <c r="H150" s="2">
        <v>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 t="s">
        <v>432</v>
      </c>
      <c r="Q150" s="2" t="str">
        <f t="shared" si="23"/>
        <v>SI_P_COMMON_SHADOW_DATH</v>
      </c>
      <c r="R150" s="2" t="b">
        <v>0</v>
      </c>
      <c r="S150" s="2" t="b">
        <v>1</v>
      </c>
      <c r="T150" s="2">
        <v>0</v>
      </c>
      <c r="V150" s="2" t="s">
        <v>245</v>
      </c>
      <c r="W150" s="2">
        <v>0.91</v>
      </c>
    </row>
    <row r="151" spans="1:23" s="5" customFormat="1">
      <c r="A151" s="6">
        <v>15</v>
      </c>
      <c r="B151" s="8" t="str">
        <f>VLOOKUP($A151,SkillEnum!$A$2:$C$1020,2,FALSE)</f>
        <v>SI_P_COMMON_SHADOW_DATH</v>
      </c>
      <c r="C151" s="8">
        <v>8</v>
      </c>
      <c r="D151" s="5" t="str">
        <f>VLOOKUP($C151,SkillEnum!$D$2:$E$10,2,FALSE)</f>
        <v>ST_PASSIVE</v>
      </c>
      <c r="E151" s="8" t="str">
        <f>VLOOKUP($A151,SkillEnum!$A$2:$C$1020,3,FALSE)</f>
        <v>죽음의 그림자</v>
      </c>
      <c r="F151" s="8" t="str">
        <f t="shared" si="25"/>
        <v>상대의 방어도를 10 % 무시한다.</v>
      </c>
      <c r="G151" s="5">
        <v>10</v>
      </c>
      <c r="H151" s="5">
        <v>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2" t="s">
        <v>432</v>
      </c>
      <c r="Q151" s="2" t="str">
        <f t="shared" si="23"/>
        <v>SI_P_COMMON_SHADOW_DATH</v>
      </c>
      <c r="R151" s="5" t="b">
        <v>0</v>
      </c>
      <c r="S151" s="2" t="b">
        <v>1</v>
      </c>
      <c r="T151" s="2">
        <v>0</v>
      </c>
      <c r="U151" s="2"/>
      <c r="V151" s="5" t="s">
        <v>245</v>
      </c>
      <c r="W151" s="5">
        <v>0.9</v>
      </c>
    </row>
    <row r="152" spans="1:23">
      <c r="A152" s="4">
        <v>16</v>
      </c>
      <c r="B152" s="7" t="str">
        <f>VLOOKUP($A152,SkillEnum!$A$2:$C$1020,2,FALSE)</f>
        <v>SI_P_COMMON_PHYSIC_HARMONY</v>
      </c>
      <c r="C152" s="7">
        <v>8</v>
      </c>
      <c r="D152" s="2" t="str">
        <f>VLOOKUP($C152,SkillEnum!$D$2:$E$10,2,FALSE)</f>
        <v>ST_PASSIVE</v>
      </c>
      <c r="E152" s="11" t="str">
        <f>VLOOKUP($A152,SkillEnum!$A$2:$C$1020,3,FALSE)</f>
        <v>육체와 정신의 조화</v>
      </c>
      <c r="F152" s="11" t="str">
        <f t="shared" ref="F152:F161" si="26">"물리공격력의 "&amp;ROUND(W152*100,0)&amp;" % 만큼 마법공격력이 증가한다."</f>
        <v>물리공격력의 1 % 만큼 마법공격력이 증가한다.</v>
      </c>
      <c r="G152" s="10">
        <v>1</v>
      </c>
      <c r="H152" s="2">
        <v>1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 t="s">
        <v>432</v>
      </c>
      <c r="Q152" s="2" t="str">
        <f t="shared" si="23"/>
        <v>SI_P_COMMON_PHYSIC_HARMONY</v>
      </c>
      <c r="R152" s="2" t="b">
        <v>0</v>
      </c>
      <c r="S152" s="2" t="b">
        <v>1</v>
      </c>
      <c r="T152" s="2">
        <v>0</v>
      </c>
      <c r="V152" s="10" t="s">
        <v>238</v>
      </c>
      <c r="W152" s="10">
        <v>0.01</v>
      </c>
    </row>
    <row r="153" spans="1:23">
      <c r="A153" s="4">
        <v>16</v>
      </c>
      <c r="B153" s="7" t="str">
        <f>VLOOKUP($A153,SkillEnum!$A$2:$C$1020,2,FALSE)</f>
        <v>SI_P_COMMON_PHYSIC_HARMONY</v>
      </c>
      <c r="C153" s="7">
        <v>8</v>
      </c>
      <c r="D153" s="2" t="str">
        <f>VLOOKUP($C153,SkillEnum!$D$2:$E$10,2,FALSE)</f>
        <v>ST_PASSIVE</v>
      </c>
      <c r="E153" s="7" t="str">
        <f>VLOOKUP($A153,SkillEnum!$A$2:$C$1020,3,FALSE)</f>
        <v>육체와 정신의 조화</v>
      </c>
      <c r="F153" s="7" t="str">
        <f t="shared" si="26"/>
        <v>물리공격력의 2 % 만큼 마법공격력이 증가한다.</v>
      </c>
      <c r="G153" s="2">
        <v>2</v>
      </c>
      <c r="H153" s="2">
        <v>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 t="s">
        <v>432</v>
      </c>
      <c r="Q153" s="2" t="str">
        <f t="shared" si="23"/>
        <v>SI_P_COMMON_PHYSIC_HARMONY</v>
      </c>
      <c r="R153" s="2" t="b">
        <v>0</v>
      </c>
      <c r="S153" s="2" t="b">
        <v>1</v>
      </c>
      <c r="T153" s="2">
        <v>0</v>
      </c>
      <c r="V153" s="2" t="s">
        <v>238</v>
      </c>
      <c r="W153" s="2">
        <v>0.02</v>
      </c>
    </row>
    <row r="154" spans="1:23">
      <c r="A154" s="4">
        <v>16</v>
      </c>
      <c r="B154" s="7" t="str">
        <f>VLOOKUP($A154,SkillEnum!$A$2:$C$1020,2,FALSE)</f>
        <v>SI_P_COMMON_PHYSIC_HARMONY</v>
      </c>
      <c r="C154" s="7">
        <v>8</v>
      </c>
      <c r="D154" s="2" t="str">
        <f>VLOOKUP($C154,SkillEnum!$D$2:$E$10,2,FALSE)</f>
        <v>ST_PASSIVE</v>
      </c>
      <c r="E154" s="7" t="str">
        <f>VLOOKUP($A154,SkillEnum!$A$2:$C$1020,3,FALSE)</f>
        <v>육체와 정신의 조화</v>
      </c>
      <c r="F154" s="7" t="str">
        <f t="shared" si="26"/>
        <v>물리공격력의 3 % 만큼 마법공격력이 증가한다.</v>
      </c>
      <c r="G154" s="2">
        <v>3</v>
      </c>
      <c r="H154" s="2">
        <v>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 t="s">
        <v>432</v>
      </c>
      <c r="Q154" s="2" t="str">
        <f t="shared" si="23"/>
        <v>SI_P_COMMON_PHYSIC_HARMONY</v>
      </c>
      <c r="R154" s="2" t="b">
        <v>0</v>
      </c>
      <c r="S154" s="2" t="b">
        <v>1</v>
      </c>
      <c r="T154" s="2">
        <v>0</v>
      </c>
      <c r="V154" s="2" t="s">
        <v>238</v>
      </c>
      <c r="W154" s="2">
        <v>0.03</v>
      </c>
    </row>
    <row r="155" spans="1:23">
      <c r="A155" s="4">
        <v>16</v>
      </c>
      <c r="B155" s="7" t="str">
        <f>VLOOKUP($A155,SkillEnum!$A$2:$C$1020,2,FALSE)</f>
        <v>SI_P_COMMON_PHYSIC_HARMONY</v>
      </c>
      <c r="C155" s="7">
        <v>8</v>
      </c>
      <c r="D155" s="2" t="str">
        <f>VLOOKUP($C155,SkillEnum!$D$2:$E$10,2,FALSE)</f>
        <v>ST_PASSIVE</v>
      </c>
      <c r="E155" s="7" t="str">
        <f>VLOOKUP($A155,SkillEnum!$A$2:$C$1020,3,FALSE)</f>
        <v>육체와 정신의 조화</v>
      </c>
      <c r="F155" s="7" t="str">
        <f t="shared" si="26"/>
        <v>물리공격력의 4 % 만큼 마법공격력이 증가한다.</v>
      </c>
      <c r="G155" s="2">
        <v>4</v>
      </c>
      <c r="H155" s="2">
        <v>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 t="s">
        <v>432</v>
      </c>
      <c r="Q155" s="2" t="str">
        <f t="shared" si="23"/>
        <v>SI_P_COMMON_PHYSIC_HARMONY</v>
      </c>
      <c r="R155" s="2" t="b">
        <v>0</v>
      </c>
      <c r="S155" s="2" t="b">
        <v>1</v>
      </c>
      <c r="T155" s="2">
        <v>0</v>
      </c>
      <c r="V155" s="2" t="s">
        <v>238</v>
      </c>
      <c r="W155" s="2">
        <v>0.04</v>
      </c>
    </row>
    <row r="156" spans="1:23">
      <c r="A156" s="4">
        <v>16</v>
      </c>
      <c r="B156" s="7" t="str">
        <f>VLOOKUP($A156,SkillEnum!$A$2:$C$1020,2,FALSE)</f>
        <v>SI_P_COMMON_PHYSIC_HARMONY</v>
      </c>
      <c r="C156" s="7">
        <v>8</v>
      </c>
      <c r="D156" s="2" t="str">
        <f>VLOOKUP($C156,SkillEnum!$D$2:$E$10,2,FALSE)</f>
        <v>ST_PASSIVE</v>
      </c>
      <c r="E156" s="7" t="str">
        <f>VLOOKUP($A156,SkillEnum!$A$2:$C$1020,3,FALSE)</f>
        <v>육체와 정신의 조화</v>
      </c>
      <c r="F156" s="7" t="str">
        <f t="shared" si="26"/>
        <v>물리공격력의 5 % 만큼 마법공격력이 증가한다.</v>
      </c>
      <c r="G156" s="2">
        <v>5</v>
      </c>
      <c r="H156" s="2">
        <v>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 t="s">
        <v>432</v>
      </c>
      <c r="Q156" s="2" t="str">
        <f t="shared" si="23"/>
        <v>SI_P_COMMON_PHYSIC_HARMONY</v>
      </c>
      <c r="R156" s="2" t="b">
        <v>0</v>
      </c>
      <c r="S156" s="2" t="b">
        <v>1</v>
      </c>
      <c r="T156" s="2">
        <v>0</v>
      </c>
      <c r="V156" s="2" t="s">
        <v>238</v>
      </c>
      <c r="W156" s="2">
        <v>0.05</v>
      </c>
    </row>
    <row r="157" spans="1:23">
      <c r="A157" s="4">
        <v>16</v>
      </c>
      <c r="B157" s="7" t="str">
        <f>VLOOKUP($A157,SkillEnum!$A$2:$C$1020,2,FALSE)</f>
        <v>SI_P_COMMON_PHYSIC_HARMONY</v>
      </c>
      <c r="C157" s="7">
        <v>8</v>
      </c>
      <c r="D157" s="2" t="str">
        <f>VLOOKUP($C157,SkillEnum!$D$2:$E$10,2,FALSE)</f>
        <v>ST_PASSIVE</v>
      </c>
      <c r="E157" s="7" t="str">
        <f>VLOOKUP($A157,SkillEnum!$A$2:$C$1020,3,FALSE)</f>
        <v>육체와 정신의 조화</v>
      </c>
      <c r="F157" s="7" t="str">
        <f t="shared" si="26"/>
        <v>물리공격력의 6 % 만큼 마법공격력이 증가한다.</v>
      </c>
      <c r="G157" s="2">
        <v>6</v>
      </c>
      <c r="H157" s="2">
        <v>1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 t="s">
        <v>432</v>
      </c>
      <c r="Q157" s="2" t="str">
        <f t="shared" si="23"/>
        <v>SI_P_COMMON_PHYSIC_HARMONY</v>
      </c>
      <c r="R157" s="2" t="b">
        <v>0</v>
      </c>
      <c r="S157" s="2" t="b">
        <v>1</v>
      </c>
      <c r="T157" s="2">
        <v>0</v>
      </c>
      <c r="V157" s="2" t="s">
        <v>238</v>
      </c>
      <c r="W157" s="2">
        <v>0.06</v>
      </c>
    </row>
    <row r="158" spans="1:23">
      <c r="A158" s="4">
        <v>16</v>
      </c>
      <c r="B158" s="7" t="str">
        <f>VLOOKUP($A158,SkillEnum!$A$2:$C$1020,2,FALSE)</f>
        <v>SI_P_COMMON_PHYSIC_HARMONY</v>
      </c>
      <c r="C158" s="7">
        <v>8</v>
      </c>
      <c r="D158" s="2" t="str">
        <f>VLOOKUP($C158,SkillEnum!$D$2:$E$10,2,FALSE)</f>
        <v>ST_PASSIVE</v>
      </c>
      <c r="E158" s="7" t="str">
        <f>VLOOKUP($A158,SkillEnum!$A$2:$C$1020,3,FALSE)</f>
        <v>육체와 정신의 조화</v>
      </c>
      <c r="F158" s="7" t="str">
        <f t="shared" si="26"/>
        <v>물리공격력의 7 % 만큼 마법공격력이 증가한다.</v>
      </c>
      <c r="G158" s="2">
        <v>7</v>
      </c>
      <c r="H158" s="2">
        <v>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 t="s">
        <v>432</v>
      </c>
      <c r="Q158" s="2" t="str">
        <f t="shared" si="23"/>
        <v>SI_P_COMMON_PHYSIC_HARMONY</v>
      </c>
      <c r="R158" s="2" t="b">
        <v>0</v>
      </c>
      <c r="S158" s="2" t="b">
        <v>1</v>
      </c>
      <c r="T158" s="2">
        <v>0</v>
      </c>
      <c r="V158" s="2" t="s">
        <v>238</v>
      </c>
      <c r="W158" s="2">
        <v>7.0000000000000007E-2</v>
      </c>
    </row>
    <row r="159" spans="1:23">
      <c r="A159" s="4">
        <v>16</v>
      </c>
      <c r="B159" s="7" t="str">
        <f>VLOOKUP($A159,SkillEnum!$A$2:$C$1020,2,FALSE)</f>
        <v>SI_P_COMMON_PHYSIC_HARMONY</v>
      </c>
      <c r="C159" s="7">
        <v>8</v>
      </c>
      <c r="D159" s="2" t="str">
        <f>VLOOKUP($C159,SkillEnum!$D$2:$E$10,2,FALSE)</f>
        <v>ST_PASSIVE</v>
      </c>
      <c r="E159" s="7" t="str">
        <f>VLOOKUP($A159,SkillEnum!$A$2:$C$1020,3,FALSE)</f>
        <v>육체와 정신의 조화</v>
      </c>
      <c r="F159" s="7" t="str">
        <f t="shared" si="26"/>
        <v>물리공격력의 8 % 만큼 마법공격력이 증가한다.</v>
      </c>
      <c r="G159" s="2">
        <v>8</v>
      </c>
      <c r="H159" s="2">
        <v>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 t="s">
        <v>432</v>
      </c>
      <c r="Q159" s="2" t="str">
        <f t="shared" si="23"/>
        <v>SI_P_COMMON_PHYSIC_HARMONY</v>
      </c>
      <c r="R159" s="2" t="b">
        <v>0</v>
      </c>
      <c r="S159" s="2" t="b">
        <v>1</v>
      </c>
      <c r="T159" s="2">
        <v>0</v>
      </c>
      <c r="V159" s="2" t="s">
        <v>238</v>
      </c>
      <c r="W159" s="2">
        <v>0.08</v>
      </c>
    </row>
    <row r="160" spans="1:23">
      <c r="A160" s="4">
        <v>16</v>
      </c>
      <c r="B160" s="7" t="str">
        <f>VLOOKUP($A160,SkillEnum!$A$2:$C$1020,2,FALSE)</f>
        <v>SI_P_COMMON_PHYSIC_HARMONY</v>
      </c>
      <c r="C160" s="7">
        <v>8</v>
      </c>
      <c r="D160" s="2" t="str">
        <f>VLOOKUP($C160,SkillEnum!$D$2:$E$10,2,FALSE)</f>
        <v>ST_PASSIVE</v>
      </c>
      <c r="E160" s="7" t="str">
        <f>VLOOKUP($A160,SkillEnum!$A$2:$C$1020,3,FALSE)</f>
        <v>육체와 정신의 조화</v>
      </c>
      <c r="F160" s="7" t="str">
        <f t="shared" si="26"/>
        <v>물리공격력의 9 % 만큼 마법공격력이 증가한다.</v>
      </c>
      <c r="G160" s="2">
        <v>9</v>
      </c>
      <c r="H160" s="2">
        <v>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 t="s">
        <v>432</v>
      </c>
      <c r="Q160" s="2" t="str">
        <f t="shared" si="23"/>
        <v>SI_P_COMMON_PHYSIC_HARMONY</v>
      </c>
      <c r="R160" s="2" t="b">
        <v>0</v>
      </c>
      <c r="S160" s="2" t="b">
        <v>1</v>
      </c>
      <c r="T160" s="2">
        <v>0</v>
      </c>
      <c r="V160" s="2" t="s">
        <v>238</v>
      </c>
      <c r="W160" s="2">
        <v>0.09</v>
      </c>
    </row>
    <row r="161" spans="1:23" s="5" customFormat="1">
      <c r="A161" s="6">
        <v>16</v>
      </c>
      <c r="B161" s="8" t="str">
        <f>VLOOKUP($A161,SkillEnum!$A$2:$C$1020,2,FALSE)</f>
        <v>SI_P_COMMON_PHYSIC_HARMONY</v>
      </c>
      <c r="C161" s="8">
        <v>8</v>
      </c>
      <c r="D161" s="5" t="str">
        <f>VLOOKUP($C161,SkillEnum!$D$2:$E$10,2,FALSE)</f>
        <v>ST_PASSIVE</v>
      </c>
      <c r="E161" s="8" t="str">
        <f>VLOOKUP($A161,SkillEnum!$A$2:$C$1020,3,FALSE)</f>
        <v>육체와 정신의 조화</v>
      </c>
      <c r="F161" s="8" t="str">
        <f t="shared" si="26"/>
        <v>물리공격력의 10 % 만큼 마법공격력이 증가한다.</v>
      </c>
      <c r="G161" s="5">
        <v>10</v>
      </c>
      <c r="H161" s="5">
        <v>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2" t="s">
        <v>432</v>
      </c>
      <c r="Q161" s="2" t="str">
        <f t="shared" si="23"/>
        <v>SI_P_COMMON_PHYSIC_HARMONY</v>
      </c>
      <c r="R161" s="5" t="b">
        <v>0</v>
      </c>
      <c r="S161" s="2" t="b">
        <v>1</v>
      </c>
      <c r="T161" s="2">
        <v>0</v>
      </c>
      <c r="U161" s="2"/>
      <c r="V161" s="5" t="s">
        <v>238</v>
      </c>
      <c r="W161" s="5">
        <v>0.1</v>
      </c>
    </row>
    <row r="162" spans="1:23">
      <c r="A162" s="4">
        <v>17</v>
      </c>
      <c r="B162" s="7" t="str">
        <f>VLOOKUP($A162,SkillEnum!$A$2:$C$1020,2,FALSE)</f>
        <v>SI_P_COMMON_SPRINTER</v>
      </c>
      <c r="C162" s="7">
        <v>8</v>
      </c>
      <c r="D162" s="2" t="str">
        <f>VLOOKUP($C162,SkillEnum!$D$2:$E$10,2,FALSE)</f>
        <v>ST_PASSIVE</v>
      </c>
      <c r="E162" s="11" t="str">
        <f>VLOOKUP($A162,SkillEnum!$A$2:$C$1020,3,FALSE)</f>
        <v>스프린터</v>
      </c>
      <c r="F162" s="7" t="str">
        <f t="shared" ref="F162:F171" si="27">"캐릭터의 기본 이동속도가 "&amp;ROUND((W162-1)*100,0)&amp;" % 증가한다. (아이템 효과와 별개)"</f>
        <v>캐릭터의 기본 이동속도가 2 % 증가한다. (아이템 효과와 별개)</v>
      </c>
      <c r="G162" s="10">
        <v>1</v>
      </c>
      <c r="H162" s="2">
        <v>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">
        <v>0</v>
      </c>
      <c r="P162" s="2" t="s">
        <v>433</v>
      </c>
      <c r="Q162" s="2" t="str">
        <f t="shared" si="23"/>
        <v>SI_P_COMMON_SPRINTER</v>
      </c>
      <c r="R162" s="2" t="b">
        <v>0</v>
      </c>
      <c r="S162" s="2" t="b">
        <v>1</v>
      </c>
      <c r="T162" s="2">
        <v>0</v>
      </c>
      <c r="V162" s="10" t="s">
        <v>174</v>
      </c>
      <c r="W162" s="2">
        <v>1.02</v>
      </c>
    </row>
    <row r="163" spans="1:23">
      <c r="A163" s="4">
        <v>17</v>
      </c>
      <c r="B163" s="7" t="str">
        <f>VLOOKUP($A163,SkillEnum!$A$2:$C$1020,2,FALSE)</f>
        <v>SI_P_COMMON_SPRINTER</v>
      </c>
      <c r="C163" s="7">
        <v>8</v>
      </c>
      <c r="D163" s="2" t="str">
        <f>VLOOKUP($C163,SkillEnum!$D$2:$E$10,2,FALSE)</f>
        <v>ST_PASSIVE</v>
      </c>
      <c r="E163" s="7" t="str">
        <f>VLOOKUP($A163,SkillEnum!$A$2:$C$1020,3,FALSE)</f>
        <v>스프린터</v>
      </c>
      <c r="F163" s="7" t="str">
        <f t="shared" si="27"/>
        <v>캐릭터의 기본 이동속도가 4 % 증가한다. (아이템 효과와 별개)</v>
      </c>
      <c r="G163" s="2">
        <v>2</v>
      </c>
      <c r="H163" s="2">
        <v>1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">
        <v>0</v>
      </c>
      <c r="P163" s="2" t="s">
        <v>433</v>
      </c>
      <c r="Q163" s="2" t="str">
        <f t="shared" si="23"/>
        <v>SI_P_COMMON_SPRINTER</v>
      </c>
      <c r="R163" s="2" t="b">
        <v>0</v>
      </c>
      <c r="S163" s="2" t="b">
        <v>1</v>
      </c>
      <c r="T163" s="2">
        <v>0</v>
      </c>
      <c r="V163" s="2" t="s">
        <v>174</v>
      </c>
      <c r="W163" s="2">
        <v>1.04</v>
      </c>
    </row>
    <row r="164" spans="1:23">
      <c r="A164" s="4">
        <v>17</v>
      </c>
      <c r="B164" s="7" t="str">
        <f>VLOOKUP($A164,SkillEnum!$A$2:$C$1020,2,FALSE)</f>
        <v>SI_P_COMMON_SPRINTER</v>
      </c>
      <c r="C164" s="7">
        <v>8</v>
      </c>
      <c r="D164" s="2" t="str">
        <f>VLOOKUP($C164,SkillEnum!$D$2:$E$10,2,FALSE)</f>
        <v>ST_PASSIVE</v>
      </c>
      <c r="E164" s="7" t="str">
        <f>VLOOKUP($A164,SkillEnum!$A$2:$C$1020,3,FALSE)</f>
        <v>스프린터</v>
      </c>
      <c r="F164" s="7" t="str">
        <f t="shared" si="27"/>
        <v>캐릭터의 기본 이동속도가 6 % 증가한다. (아이템 효과와 별개)</v>
      </c>
      <c r="G164" s="2">
        <v>3</v>
      </c>
      <c r="H164" s="2">
        <v>1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 t="s">
        <v>433</v>
      </c>
      <c r="Q164" s="2" t="str">
        <f t="shared" si="23"/>
        <v>SI_P_COMMON_SPRINTER</v>
      </c>
      <c r="R164" s="2" t="b">
        <v>0</v>
      </c>
      <c r="S164" s="2" t="b">
        <v>1</v>
      </c>
      <c r="T164" s="2">
        <v>0</v>
      </c>
      <c r="V164" s="2" t="s">
        <v>174</v>
      </c>
      <c r="W164" s="2">
        <v>1.06</v>
      </c>
    </row>
    <row r="165" spans="1:23">
      <c r="A165" s="4">
        <v>17</v>
      </c>
      <c r="B165" s="7" t="str">
        <f>VLOOKUP($A165,SkillEnum!$A$2:$C$1020,2,FALSE)</f>
        <v>SI_P_COMMON_SPRINTER</v>
      </c>
      <c r="C165" s="7">
        <v>8</v>
      </c>
      <c r="D165" s="2" t="str">
        <f>VLOOKUP($C165,SkillEnum!$D$2:$E$10,2,FALSE)</f>
        <v>ST_PASSIVE</v>
      </c>
      <c r="E165" s="7" t="str">
        <f>VLOOKUP($A165,SkillEnum!$A$2:$C$1020,3,FALSE)</f>
        <v>스프린터</v>
      </c>
      <c r="F165" s="7" t="str">
        <f t="shared" si="27"/>
        <v>캐릭터의 기본 이동속도가 8 % 증가한다. (아이템 효과와 별개)</v>
      </c>
      <c r="G165" s="2">
        <v>4</v>
      </c>
      <c r="H165" s="2">
        <v>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 t="s">
        <v>433</v>
      </c>
      <c r="Q165" s="2" t="str">
        <f t="shared" si="23"/>
        <v>SI_P_COMMON_SPRINTER</v>
      </c>
      <c r="R165" s="2" t="b">
        <v>0</v>
      </c>
      <c r="S165" s="2" t="b">
        <v>1</v>
      </c>
      <c r="T165" s="2">
        <v>0</v>
      </c>
      <c r="V165" s="2" t="s">
        <v>174</v>
      </c>
      <c r="W165" s="2">
        <v>1.08</v>
      </c>
    </row>
    <row r="166" spans="1:23">
      <c r="A166" s="4">
        <v>17</v>
      </c>
      <c r="B166" s="7" t="str">
        <f>VLOOKUP($A166,SkillEnum!$A$2:$C$1020,2,FALSE)</f>
        <v>SI_P_COMMON_SPRINTER</v>
      </c>
      <c r="C166" s="7">
        <v>8</v>
      </c>
      <c r="D166" s="2" t="str">
        <f>VLOOKUP($C166,SkillEnum!$D$2:$E$10,2,FALSE)</f>
        <v>ST_PASSIVE</v>
      </c>
      <c r="E166" s="7" t="str">
        <f>VLOOKUP($A166,SkillEnum!$A$2:$C$1020,3,FALSE)</f>
        <v>스프린터</v>
      </c>
      <c r="F166" s="7" t="str">
        <f t="shared" si="27"/>
        <v>캐릭터의 기본 이동속도가 10 % 증가한다. (아이템 효과와 별개)</v>
      </c>
      <c r="G166" s="2">
        <v>5</v>
      </c>
      <c r="H166" s="2">
        <v>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 t="s">
        <v>433</v>
      </c>
      <c r="Q166" s="2" t="str">
        <f t="shared" si="23"/>
        <v>SI_P_COMMON_SPRINTER</v>
      </c>
      <c r="R166" s="2" t="b">
        <v>0</v>
      </c>
      <c r="S166" s="2" t="b">
        <v>1</v>
      </c>
      <c r="T166" s="2">
        <v>0</v>
      </c>
      <c r="V166" s="2" t="s">
        <v>174</v>
      </c>
      <c r="W166" s="2">
        <v>1.1000000000000001</v>
      </c>
    </row>
    <row r="167" spans="1:23">
      <c r="A167" s="4">
        <v>17</v>
      </c>
      <c r="B167" s="7" t="str">
        <f>VLOOKUP($A167,SkillEnum!$A$2:$C$1020,2,FALSE)</f>
        <v>SI_P_COMMON_SPRINTER</v>
      </c>
      <c r="C167" s="7">
        <v>8</v>
      </c>
      <c r="D167" s="2" t="str">
        <f>VLOOKUP($C167,SkillEnum!$D$2:$E$10,2,FALSE)</f>
        <v>ST_PASSIVE</v>
      </c>
      <c r="E167" s="7" t="str">
        <f>VLOOKUP($A167,SkillEnum!$A$2:$C$1020,3,FALSE)</f>
        <v>스프린터</v>
      </c>
      <c r="F167" s="7" t="str">
        <f t="shared" si="27"/>
        <v>캐릭터의 기본 이동속도가 12 % 증가한다. (아이템 효과와 별개)</v>
      </c>
      <c r="G167" s="2">
        <v>6</v>
      </c>
      <c r="H167" s="2">
        <v>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 t="s">
        <v>433</v>
      </c>
      <c r="Q167" s="2" t="str">
        <f t="shared" si="23"/>
        <v>SI_P_COMMON_SPRINTER</v>
      </c>
      <c r="R167" s="2" t="b">
        <v>0</v>
      </c>
      <c r="S167" s="2" t="b">
        <v>1</v>
      </c>
      <c r="T167" s="2">
        <v>0</v>
      </c>
      <c r="V167" s="2" t="s">
        <v>174</v>
      </c>
      <c r="W167" s="2">
        <v>1.1200000000000001</v>
      </c>
    </row>
    <row r="168" spans="1:23">
      <c r="A168" s="4">
        <v>17</v>
      </c>
      <c r="B168" s="7" t="str">
        <f>VLOOKUP($A168,SkillEnum!$A$2:$C$1020,2,FALSE)</f>
        <v>SI_P_COMMON_SPRINTER</v>
      </c>
      <c r="C168" s="7">
        <v>8</v>
      </c>
      <c r="D168" s="2" t="str">
        <f>VLOOKUP($C168,SkillEnum!$D$2:$E$10,2,FALSE)</f>
        <v>ST_PASSIVE</v>
      </c>
      <c r="E168" s="7" t="str">
        <f>VLOOKUP($A168,SkillEnum!$A$2:$C$1020,3,FALSE)</f>
        <v>스프린터</v>
      </c>
      <c r="F168" s="7" t="str">
        <f t="shared" si="27"/>
        <v>캐릭터의 기본 이동속도가 14 % 증가한다. (아이템 효과와 별개)</v>
      </c>
      <c r="G168" s="2">
        <v>7</v>
      </c>
      <c r="H168" s="2">
        <v>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 t="s">
        <v>433</v>
      </c>
      <c r="Q168" s="2" t="str">
        <f t="shared" si="23"/>
        <v>SI_P_COMMON_SPRINTER</v>
      </c>
      <c r="R168" s="2" t="b">
        <v>0</v>
      </c>
      <c r="S168" s="2" t="b">
        <v>1</v>
      </c>
      <c r="T168" s="2">
        <v>0</v>
      </c>
      <c r="V168" s="2" t="s">
        <v>174</v>
      </c>
      <c r="W168" s="2">
        <v>1.1399999999999999</v>
      </c>
    </row>
    <row r="169" spans="1:23">
      <c r="A169" s="4">
        <v>17</v>
      </c>
      <c r="B169" s="7" t="str">
        <f>VLOOKUP($A169,SkillEnum!$A$2:$C$1020,2,FALSE)</f>
        <v>SI_P_COMMON_SPRINTER</v>
      </c>
      <c r="C169" s="7">
        <v>8</v>
      </c>
      <c r="D169" s="2" t="str">
        <f>VLOOKUP($C169,SkillEnum!$D$2:$E$10,2,FALSE)</f>
        <v>ST_PASSIVE</v>
      </c>
      <c r="E169" s="7" t="str">
        <f>VLOOKUP($A169,SkillEnum!$A$2:$C$1020,3,FALSE)</f>
        <v>스프린터</v>
      </c>
      <c r="F169" s="7" t="str">
        <f t="shared" si="27"/>
        <v>캐릭터의 기본 이동속도가 16 % 증가한다. (아이템 효과와 별개)</v>
      </c>
      <c r="G169" s="2">
        <v>8</v>
      </c>
      <c r="H169" s="2">
        <v>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 t="s">
        <v>433</v>
      </c>
      <c r="Q169" s="2" t="str">
        <f t="shared" si="23"/>
        <v>SI_P_COMMON_SPRINTER</v>
      </c>
      <c r="R169" s="2" t="b">
        <v>0</v>
      </c>
      <c r="S169" s="2" t="b">
        <v>1</v>
      </c>
      <c r="T169" s="2">
        <v>0</v>
      </c>
      <c r="V169" s="2" t="s">
        <v>174</v>
      </c>
      <c r="W169" s="2">
        <v>1.1599999999999999</v>
      </c>
    </row>
    <row r="170" spans="1:23">
      <c r="A170" s="4">
        <v>17</v>
      </c>
      <c r="B170" s="7" t="str">
        <f>VLOOKUP($A170,SkillEnum!$A$2:$C$1020,2,FALSE)</f>
        <v>SI_P_COMMON_SPRINTER</v>
      </c>
      <c r="C170" s="7">
        <v>8</v>
      </c>
      <c r="D170" s="2" t="str">
        <f>VLOOKUP($C170,SkillEnum!$D$2:$E$10,2,FALSE)</f>
        <v>ST_PASSIVE</v>
      </c>
      <c r="E170" s="7" t="str">
        <f>VLOOKUP($A170,SkillEnum!$A$2:$C$1020,3,FALSE)</f>
        <v>스프린터</v>
      </c>
      <c r="F170" s="7" t="str">
        <f t="shared" si="27"/>
        <v>캐릭터의 기본 이동속도가 18 % 증가한다. (아이템 효과와 별개)</v>
      </c>
      <c r="G170" s="2">
        <v>9</v>
      </c>
      <c r="H170" s="2">
        <v>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 t="s">
        <v>433</v>
      </c>
      <c r="Q170" s="2" t="str">
        <f t="shared" si="23"/>
        <v>SI_P_COMMON_SPRINTER</v>
      </c>
      <c r="R170" s="2" t="b">
        <v>0</v>
      </c>
      <c r="S170" s="2" t="b">
        <v>1</v>
      </c>
      <c r="T170" s="2">
        <v>0</v>
      </c>
      <c r="V170" s="2" t="s">
        <v>174</v>
      </c>
      <c r="W170" s="2">
        <v>1.18</v>
      </c>
    </row>
    <row r="171" spans="1:23" s="5" customFormat="1">
      <c r="A171" s="6">
        <v>17</v>
      </c>
      <c r="B171" s="8" t="str">
        <f>VLOOKUP($A171,SkillEnum!$A$2:$C$1020,2,FALSE)</f>
        <v>SI_P_COMMON_SPRINTER</v>
      </c>
      <c r="C171" s="8">
        <v>8</v>
      </c>
      <c r="D171" s="5" t="str">
        <f>VLOOKUP($C171,SkillEnum!$D$2:$E$10,2,FALSE)</f>
        <v>ST_PASSIVE</v>
      </c>
      <c r="E171" s="8" t="str">
        <f>VLOOKUP($A171,SkillEnum!$A$2:$C$1020,3,FALSE)</f>
        <v>스프린터</v>
      </c>
      <c r="F171" s="7" t="str">
        <f t="shared" si="27"/>
        <v>캐릭터의 기본 이동속도가 20 % 증가한다. (아이템 효과와 별개)</v>
      </c>
      <c r="G171" s="5">
        <v>10</v>
      </c>
      <c r="H171" s="5">
        <v>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5">
        <v>0</v>
      </c>
      <c r="P171" s="2" t="s">
        <v>433</v>
      </c>
      <c r="Q171" s="2" t="str">
        <f t="shared" si="23"/>
        <v>SI_P_COMMON_SPRINTER</v>
      </c>
      <c r="R171" s="5" t="b">
        <v>0</v>
      </c>
      <c r="S171" s="2" t="b">
        <v>1</v>
      </c>
      <c r="T171" s="2">
        <v>0</v>
      </c>
      <c r="U171" s="2"/>
      <c r="V171" s="5" t="s">
        <v>174</v>
      </c>
      <c r="W171" s="5">
        <v>1.2</v>
      </c>
    </row>
    <row r="172" spans="1:23">
      <c r="A172" s="4">
        <v>18</v>
      </c>
      <c r="B172" s="7" t="str">
        <f>VLOOKUP($A172,SkillEnum!$A$2:$C$1020,2,FALSE)</f>
        <v>SI_P_COMMON_SOFTBODY</v>
      </c>
      <c r="C172" s="7">
        <v>8</v>
      </c>
      <c r="D172" s="2" t="str">
        <f>VLOOKUP($C172,SkillEnum!$D$2:$E$10,2,FALSE)</f>
        <v>ST_PASSIVE</v>
      </c>
      <c r="E172" s="11" t="str">
        <f>VLOOKUP($A172,SkillEnum!$A$2:$C$1020,3,FALSE)</f>
        <v>유연한 몸놀림</v>
      </c>
      <c r="F172" s="11" t="str">
        <f t="shared" ref="F172:F181" si="28">"HP를 0으로 만드는 공격을 받으면 "&amp;W172&amp;" % 확률로 HP가 1이 되면서 넘어진다. ("&amp;I172&amp;" 초에 한번씩 만 발휘 된다)"</f>
        <v>HP를 0으로 만드는 공격을 받으면 20 % 확률로 HP가 1이 되면서 넘어진다. (30 초에 한번씩 만 발휘 된다)</v>
      </c>
      <c r="G172" s="10">
        <v>1</v>
      </c>
      <c r="H172" s="2">
        <v>1</v>
      </c>
      <c r="I172" s="2">
        <v>30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 t="s">
        <v>433</v>
      </c>
      <c r="Q172" s="2" t="str">
        <f t="shared" si="23"/>
        <v>SI_P_COMMON_SOFTBODY</v>
      </c>
      <c r="R172" s="2" t="b">
        <v>0</v>
      </c>
      <c r="S172" s="2" t="b">
        <v>1</v>
      </c>
      <c r="T172" s="2">
        <v>0</v>
      </c>
      <c r="V172" s="1" t="s">
        <v>158</v>
      </c>
      <c r="W172" s="2">
        <v>20</v>
      </c>
    </row>
    <row r="173" spans="1:23">
      <c r="A173" s="4">
        <v>18</v>
      </c>
      <c r="B173" s="7" t="str">
        <f>VLOOKUP($A173,SkillEnum!$A$2:$C$1020,2,FALSE)</f>
        <v>SI_P_COMMON_SOFTBODY</v>
      </c>
      <c r="C173" s="7">
        <v>8</v>
      </c>
      <c r="D173" s="2" t="str">
        <f>VLOOKUP($C173,SkillEnum!$D$2:$E$10,2,FALSE)</f>
        <v>ST_PASSIVE</v>
      </c>
      <c r="E173" s="7" t="str">
        <f>VLOOKUP($A173,SkillEnum!$A$2:$C$1020,3,FALSE)</f>
        <v>유연한 몸놀림</v>
      </c>
      <c r="F173" s="7" t="str">
        <f t="shared" si="28"/>
        <v>HP를 0으로 만드는 공격을 받으면 40 % 확률로 HP가 1이 되면서 넘어진다. (30 초에 한번씩 만 발휘 된다)</v>
      </c>
      <c r="G173" s="2">
        <v>2</v>
      </c>
      <c r="H173" s="2">
        <v>1</v>
      </c>
      <c r="I173" s="2">
        <v>30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 t="s">
        <v>433</v>
      </c>
      <c r="Q173" s="2" t="str">
        <f t="shared" si="23"/>
        <v>SI_P_COMMON_SOFTBODY</v>
      </c>
      <c r="R173" s="2" t="b">
        <v>0</v>
      </c>
      <c r="S173" s="2" t="b">
        <v>1</v>
      </c>
      <c r="T173" s="2">
        <v>0</v>
      </c>
      <c r="V173" s="1" t="s">
        <v>158</v>
      </c>
      <c r="W173" s="2">
        <v>40</v>
      </c>
    </row>
    <row r="174" spans="1:23">
      <c r="A174" s="4">
        <v>18</v>
      </c>
      <c r="B174" s="7" t="str">
        <f>VLOOKUP($A174,SkillEnum!$A$2:$C$1020,2,FALSE)</f>
        <v>SI_P_COMMON_SOFTBODY</v>
      </c>
      <c r="C174" s="7">
        <v>8</v>
      </c>
      <c r="D174" s="2" t="str">
        <f>VLOOKUP($C174,SkillEnum!$D$2:$E$10,2,FALSE)</f>
        <v>ST_PASSIVE</v>
      </c>
      <c r="E174" s="7" t="str">
        <f>VLOOKUP($A174,SkillEnum!$A$2:$C$1020,3,FALSE)</f>
        <v>유연한 몸놀림</v>
      </c>
      <c r="F174" s="7" t="str">
        <f t="shared" si="28"/>
        <v>HP를 0으로 만드는 공격을 받으면 60 % 확률로 HP가 1이 되면서 넘어진다. (30 초에 한번씩 만 발휘 된다)</v>
      </c>
      <c r="G174" s="2">
        <v>3</v>
      </c>
      <c r="H174" s="2">
        <v>1</v>
      </c>
      <c r="I174" s="2">
        <v>30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 t="s">
        <v>433</v>
      </c>
      <c r="Q174" s="2" t="str">
        <f t="shared" si="23"/>
        <v>SI_P_COMMON_SOFTBODY</v>
      </c>
      <c r="R174" s="2" t="b">
        <v>0</v>
      </c>
      <c r="S174" s="2" t="b">
        <v>1</v>
      </c>
      <c r="T174" s="2">
        <v>0</v>
      </c>
      <c r="V174" s="1" t="s">
        <v>158</v>
      </c>
      <c r="W174" s="2">
        <v>60</v>
      </c>
    </row>
    <row r="175" spans="1:23">
      <c r="A175" s="4">
        <v>18</v>
      </c>
      <c r="B175" s="7" t="str">
        <f>VLOOKUP($A175,SkillEnum!$A$2:$C$1020,2,FALSE)</f>
        <v>SI_P_COMMON_SOFTBODY</v>
      </c>
      <c r="C175" s="7">
        <v>8</v>
      </c>
      <c r="D175" s="2" t="str">
        <f>VLOOKUP($C175,SkillEnum!$D$2:$E$10,2,FALSE)</f>
        <v>ST_PASSIVE</v>
      </c>
      <c r="E175" s="7" t="str">
        <f>VLOOKUP($A175,SkillEnum!$A$2:$C$1020,3,FALSE)</f>
        <v>유연한 몸놀림</v>
      </c>
      <c r="F175" s="7" t="str">
        <f t="shared" si="28"/>
        <v>HP를 0으로 만드는 공격을 받으면 80 % 확률로 HP가 1이 되면서 넘어진다. (30 초에 한번씩 만 발휘 된다)</v>
      </c>
      <c r="G175" s="2">
        <v>4</v>
      </c>
      <c r="H175" s="2">
        <v>1</v>
      </c>
      <c r="I175" s="2">
        <v>30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 t="s">
        <v>433</v>
      </c>
      <c r="Q175" s="2" t="str">
        <f t="shared" si="23"/>
        <v>SI_P_COMMON_SOFTBODY</v>
      </c>
      <c r="R175" s="2" t="b">
        <v>0</v>
      </c>
      <c r="S175" s="2" t="b">
        <v>1</v>
      </c>
      <c r="T175" s="2">
        <v>0</v>
      </c>
      <c r="V175" s="1" t="s">
        <v>158</v>
      </c>
      <c r="W175" s="2">
        <v>80</v>
      </c>
    </row>
    <row r="176" spans="1:23">
      <c r="A176" s="4">
        <v>18</v>
      </c>
      <c r="B176" s="7" t="str">
        <f>VLOOKUP($A176,SkillEnum!$A$2:$C$1020,2,FALSE)</f>
        <v>SI_P_COMMON_SOFTBODY</v>
      </c>
      <c r="C176" s="7">
        <v>8</v>
      </c>
      <c r="D176" s="2" t="str">
        <f>VLOOKUP($C176,SkillEnum!$D$2:$E$10,2,FALSE)</f>
        <v>ST_PASSIVE</v>
      </c>
      <c r="E176" s="7" t="str">
        <f>VLOOKUP($A176,SkillEnum!$A$2:$C$1020,3,FALSE)</f>
        <v>유연한 몸놀림</v>
      </c>
      <c r="F176" s="7" t="str">
        <f t="shared" si="28"/>
        <v>HP를 0으로 만드는 공격을 받으면 100 % 확률로 HP가 1이 되면서 넘어진다. (30 초에 한번씩 만 발휘 된다)</v>
      </c>
      <c r="G176" s="2">
        <v>5</v>
      </c>
      <c r="H176" s="2">
        <v>1</v>
      </c>
      <c r="I176" s="2">
        <v>30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 t="s">
        <v>433</v>
      </c>
      <c r="Q176" s="2" t="str">
        <f t="shared" si="23"/>
        <v>SI_P_COMMON_SOFTBODY</v>
      </c>
      <c r="R176" s="2" t="b">
        <v>0</v>
      </c>
      <c r="S176" s="2" t="b">
        <v>1</v>
      </c>
      <c r="T176" s="2">
        <v>0</v>
      </c>
      <c r="V176" s="1" t="s">
        <v>158</v>
      </c>
      <c r="W176" s="2">
        <v>100</v>
      </c>
    </row>
    <row r="177" spans="1:23">
      <c r="A177" s="4">
        <v>18</v>
      </c>
      <c r="B177" s="7" t="str">
        <f>VLOOKUP($A177,SkillEnum!$A$2:$C$1020,2,FALSE)</f>
        <v>SI_P_COMMON_SOFTBODY</v>
      </c>
      <c r="C177" s="7">
        <v>8</v>
      </c>
      <c r="D177" s="2" t="str">
        <f>VLOOKUP($C177,SkillEnum!$D$2:$E$10,2,FALSE)</f>
        <v>ST_PASSIVE</v>
      </c>
      <c r="E177" s="7" t="str">
        <f>VLOOKUP($A177,SkillEnum!$A$2:$C$1020,3,FALSE)</f>
        <v>유연한 몸놀림</v>
      </c>
      <c r="F177" s="7" t="str">
        <f t="shared" si="28"/>
        <v>HP를 0으로 만드는 공격을 받으면 100 % 확률로 HP가 1이 되면서 넘어진다. (28 초에 한번씩 만 발휘 된다)</v>
      </c>
      <c r="G177" s="2">
        <v>6</v>
      </c>
      <c r="H177" s="2">
        <v>1</v>
      </c>
      <c r="I177" s="2">
        <v>28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 t="s">
        <v>433</v>
      </c>
      <c r="Q177" s="2" t="str">
        <f t="shared" si="23"/>
        <v>SI_P_COMMON_SOFTBODY</v>
      </c>
      <c r="R177" s="2" t="b">
        <v>0</v>
      </c>
      <c r="S177" s="2" t="b">
        <v>1</v>
      </c>
      <c r="T177" s="2">
        <v>0</v>
      </c>
      <c r="V177" s="1" t="s">
        <v>158</v>
      </c>
      <c r="W177" s="2">
        <v>100</v>
      </c>
    </row>
    <row r="178" spans="1:23">
      <c r="A178" s="4">
        <v>18</v>
      </c>
      <c r="B178" s="7" t="str">
        <f>VLOOKUP($A178,SkillEnum!$A$2:$C$1020,2,FALSE)</f>
        <v>SI_P_COMMON_SOFTBODY</v>
      </c>
      <c r="C178" s="7">
        <v>8</v>
      </c>
      <c r="D178" s="2" t="str">
        <f>VLOOKUP($C178,SkillEnum!$D$2:$E$10,2,FALSE)</f>
        <v>ST_PASSIVE</v>
      </c>
      <c r="E178" s="7" t="str">
        <f>VLOOKUP($A178,SkillEnum!$A$2:$C$1020,3,FALSE)</f>
        <v>유연한 몸놀림</v>
      </c>
      <c r="F178" s="7" t="str">
        <f t="shared" si="28"/>
        <v>HP를 0으로 만드는 공격을 받으면 100 % 확률로 HP가 1이 되면서 넘어진다. (26 초에 한번씩 만 발휘 된다)</v>
      </c>
      <c r="G178" s="2">
        <v>7</v>
      </c>
      <c r="H178" s="2">
        <v>1</v>
      </c>
      <c r="I178" s="2">
        <v>26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 t="s">
        <v>433</v>
      </c>
      <c r="Q178" s="2" t="str">
        <f t="shared" si="23"/>
        <v>SI_P_COMMON_SOFTBODY</v>
      </c>
      <c r="R178" s="2" t="b">
        <v>0</v>
      </c>
      <c r="S178" s="2" t="b">
        <v>1</v>
      </c>
      <c r="T178" s="2">
        <v>0</v>
      </c>
      <c r="V178" s="1" t="s">
        <v>158</v>
      </c>
      <c r="W178" s="2">
        <v>100</v>
      </c>
    </row>
    <row r="179" spans="1:23">
      <c r="A179" s="4">
        <v>18</v>
      </c>
      <c r="B179" s="7" t="str">
        <f>VLOOKUP($A179,SkillEnum!$A$2:$C$1020,2,FALSE)</f>
        <v>SI_P_COMMON_SOFTBODY</v>
      </c>
      <c r="C179" s="7">
        <v>8</v>
      </c>
      <c r="D179" s="2" t="str">
        <f>VLOOKUP($C179,SkillEnum!$D$2:$E$10,2,FALSE)</f>
        <v>ST_PASSIVE</v>
      </c>
      <c r="E179" s="7" t="str">
        <f>VLOOKUP($A179,SkillEnum!$A$2:$C$1020,3,FALSE)</f>
        <v>유연한 몸놀림</v>
      </c>
      <c r="F179" s="7" t="str">
        <f t="shared" si="28"/>
        <v>HP를 0으로 만드는 공격을 받으면 100 % 확률로 HP가 1이 되면서 넘어진다. (24 초에 한번씩 만 발휘 된다)</v>
      </c>
      <c r="G179" s="2">
        <v>8</v>
      </c>
      <c r="H179" s="2">
        <v>1</v>
      </c>
      <c r="I179" s="2">
        <v>24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 t="s">
        <v>433</v>
      </c>
      <c r="Q179" s="2" t="str">
        <f t="shared" si="23"/>
        <v>SI_P_COMMON_SOFTBODY</v>
      </c>
      <c r="R179" s="2" t="b">
        <v>0</v>
      </c>
      <c r="S179" s="2" t="b">
        <v>1</v>
      </c>
      <c r="T179" s="2">
        <v>0</v>
      </c>
      <c r="V179" s="1" t="s">
        <v>158</v>
      </c>
      <c r="W179" s="2">
        <v>100</v>
      </c>
    </row>
    <row r="180" spans="1:23">
      <c r="A180" s="4">
        <v>18</v>
      </c>
      <c r="B180" s="7" t="str">
        <f>VLOOKUP($A180,SkillEnum!$A$2:$C$1020,2,FALSE)</f>
        <v>SI_P_COMMON_SOFTBODY</v>
      </c>
      <c r="C180" s="7">
        <v>8</v>
      </c>
      <c r="D180" s="2" t="str">
        <f>VLOOKUP($C180,SkillEnum!$D$2:$E$10,2,FALSE)</f>
        <v>ST_PASSIVE</v>
      </c>
      <c r="E180" s="7" t="str">
        <f>VLOOKUP($A180,SkillEnum!$A$2:$C$1020,3,FALSE)</f>
        <v>유연한 몸놀림</v>
      </c>
      <c r="F180" s="7" t="str">
        <f t="shared" si="28"/>
        <v>HP를 0으로 만드는 공격을 받으면 100 % 확률로 HP가 1이 되면서 넘어진다. (22 초에 한번씩 만 발휘 된다)</v>
      </c>
      <c r="G180" s="2">
        <v>9</v>
      </c>
      <c r="H180" s="2">
        <v>1</v>
      </c>
      <c r="I180" s="2">
        <v>22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 t="s">
        <v>433</v>
      </c>
      <c r="Q180" s="2" t="str">
        <f t="shared" si="23"/>
        <v>SI_P_COMMON_SOFTBODY</v>
      </c>
      <c r="R180" s="2" t="b">
        <v>0</v>
      </c>
      <c r="S180" s="2" t="b">
        <v>1</v>
      </c>
      <c r="T180" s="2">
        <v>0</v>
      </c>
      <c r="V180" s="1" t="s">
        <v>158</v>
      </c>
      <c r="W180" s="2">
        <v>100</v>
      </c>
    </row>
    <row r="181" spans="1:23" s="5" customFormat="1">
      <c r="A181" s="6">
        <v>18</v>
      </c>
      <c r="B181" s="8" t="str">
        <f>VLOOKUP($A181,SkillEnum!$A$2:$C$1020,2,FALSE)</f>
        <v>SI_P_COMMON_SOFTBODY</v>
      </c>
      <c r="C181" s="8">
        <v>8</v>
      </c>
      <c r="D181" s="5" t="str">
        <f>VLOOKUP($C181,SkillEnum!$D$2:$E$10,2,FALSE)</f>
        <v>ST_PASSIVE</v>
      </c>
      <c r="E181" s="8" t="str">
        <f>VLOOKUP($A181,SkillEnum!$A$2:$C$1020,3,FALSE)</f>
        <v>유연한 몸놀림</v>
      </c>
      <c r="F181" s="8" t="str">
        <f t="shared" si="28"/>
        <v>HP를 0으로 만드는 공격을 받으면 100 % 확률로 HP가 1이 되면서 넘어진다. (20 초에 한번씩 만 발휘 된다)</v>
      </c>
      <c r="G181" s="5">
        <v>10</v>
      </c>
      <c r="H181" s="5">
        <v>1</v>
      </c>
      <c r="I181" s="5">
        <v>20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2" t="s">
        <v>433</v>
      </c>
      <c r="Q181" s="2" t="str">
        <f t="shared" si="23"/>
        <v>SI_P_COMMON_SOFTBODY</v>
      </c>
      <c r="R181" s="5" t="b">
        <v>0</v>
      </c>
      <c r="S181" s="2" t="b">
        <v>1</v>
      </c>
      <c r="T181" s="2">
        <v>0</v>
      </c>
      <c r="U181" s="2"/>
      <c r="V181" s="5" t="s">
        <v>158</v>
      </c>
      <c r="W181" s="5">
        <v>100</v>
      </c>
    </row>
    <row r="182" spans="1:23">
      <c r="A182" s="4">
        <v>19</v>
      </c>
      <c r="B182" s="7" t="str">
        <f>VLOOKUP($A182,SkillEnum!$A$2:$C$1020,2,FALSE)</f>
        <v>SI_P_COMMON_FIGHTER_SOUL</v>
      </c>
      <c r="C182" s="7">
        <v>8</v>
      </c>
      <c r="D182" s="2" t="str">
        <f>VLOOKUP($C182,SkillEnum!$D$2:$E$10,2,FALSE)</f>
        <v>ST_PASSIVE</v>
      </c>
      <c r="E182" s="11" t="str">
        <f>VLOOKUP($A182,SkillEnum!$A$2:$C$1020,3,FALSE)</f>
        <v>격투가의 혼</v>
      </c>
      <c r="F182" s="11" t="str">
        <f>"물리공격력의 "&amp;ROUND(W182*100,0)&amp;" % 만큼 마법공격력이 증가한다."</f>
        <v>물리공격력의 2 % 만큼 마법공격력이 증가한다.</v>
      </c>
      <c r="G182" s="10">
        <v>1</v>
      </c>
      <c r="H182" s="2">
        <v>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 t="s">
        <v>433</v>
      </c>
      <c r="Q182" s="2" t="str">
        <f t="shared" si="23"/>
        <v>SI_P_COMMON_FIGHTER_SOUL</v>
      </c>
      <c r="R182" s="2" t="b">
        <v>0</v>
      </c>
      <c r="S182" s="2" t="b">
        <v>1</v>
      </c>
      <c r="T182" s="2">
        <v>0</v>
      </c>
      <c r="V182" s="1" t="s">
        <v>239</v>
      </c>
      <c r="W182" s="1">
        <v>0.02</v>
      </c>
    </row>
    <row r="183" spans="1:23">
      <c r="A183" s="4">
        <v>19</v>
      </c>
      <c r="B183" s="7" t="str">
        <f>VLOOKUP($A183,SkillEnum!$A$2:$C$1020,2,FALSE)</f>
        <v>SI_P_COMMON_FIGHTER_SOUL</v>
      </c>
      <c r="C183" s="7">
        <v>8</v>
      </c>
      <c r="D183" s="2" t="str">
        <f>VLOOKUP($C183,SkillEnum!$D$2:$E$10,2,FALSE)</f>
        <v>ST_PASSIVE</v>
      </c>
      <c r="E183" s="7" t="str">
        <f>VLOOKUP($A183,SkillEnum!$A$2:$C$1020,3,FALSE)</f>
        <v>격투가의 혼</v>
      </c>
      <c r="F183" s="7" t="str">
        <f t="shared" ref="F183:F191" si="29">"물리공격력의 "&amp;ROUND(W183*100,0)&amp;" % 만큼 마법공격력이 증가한다."</f>
        <v>물리공격력의 4 % 만큼 마법공격력이 증가한다.</v>
      </c>
      <c r="G183" s="2">
        <v>2</v>
      </c>
      <c r="H183" s="2">
        <v>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 t="s">
        <v>433</v>
      </c>
      <c r="Q183" s="2" t="str">
        <f t="shared" si="23"/>
        <v>SI_P_COMMON_FIGHTER_SOUL</v>
      </c>
      <c r="R183" s="2" t="b">
        <v>0</v>
      </c>
      <c r="S183" s="2" t="b">
        <v>1</v>
      </c>
      <c r="T183" s="2">
        <v>0</v>
      </c>
      <c r="V183" s="1" t="s">
        <v>239</v>
      </c>
      <c r="W183" s="1">
        <v>0.04</v>
      </c>
    </row>
    <row r="184" spans="1:23">
      <c r="A184" s="4">
        <v>19</v>
      </c>
      <c r="B184" s="7" t="str">
        <f>VLOOKUP($A184,SkillEnum!$A$2:$C$1020,2,FALSE)</f>
        <v>SI_P_COMMON_FIGHTER_SOUL</v>
      </c>
      <c r="C184" s="7">
        <v>8</v>
      </c>
      <c r="D184" s="2" t="str">
        <f>VLOOKUP($C184,SkillEnum!$D$2:$E$10,2,FALSE)</f>
        <v>ST_PASSIVE</v>
      </c>
      <c r="E184" s="7" t="str">
        <f>VLOOKUP($A184,SkillEnum!$A$2:$C$1020,3,FALSE)</f>
        <v>격투가의 혼</v>
      </c>
      <c r="F184" s="7" t="str">
        <f t="shared" si="29"/>
        <v>물리공격력의 6 % 만큼 마법공격력이 증가한다.</v>
      </c>
      <c r="G184" s="2">
        <v>3</v>
      </c>
      <c r="H184" s="2">
        <v>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 t="s">
        <v>433</v>
      </c>
      <c r="Q184" s="2" t="str">
        <f t="shared" si="23"/>
        <v>SI_P_COMMON_FIGHTER_SOUL</v>
      </c>
      <c r="R184" s="2" t="b">
        <v>0</v>
      </c>
      <c r="S184" s="2" t="b">
        <v>1</v>
      </c>
      <c r="T184" s="2">
        <v>0</v>
      </c>
      <c r="V184" s="1" t="s">
        <v>239</v>
      </c>
      <c r="W184" s="1">
        <v>0.06</v>
      </c>
    </row>
    <row r="185" spans="1:23">
      <c r="A185" s="4">
        <v>19</v>
      </c>
      <c r="B185" s="7" t="str">
        <f>VLOOKUP($A185,SkillEnum!$A$2:$C$1020,2,FALSE)</f>
        <v>SI_P_COMMON_FIGHTER_SOUL</v>
      </c>
      <c r="C185" s="7">
        <v>8</v>
      </c>
      <c r="D185" s="2" t="str">
        <f>VLOOKUP($C185,SkillEnum!$D$2:$E$10,2,FALSE)</f>
        <v>ST_PASSIVE</v>
      </c>
      <c r="E185" s="7" t="str">
        <f>VLOOKUP($A185,SkillEnum!$A$2:$C$1020,3,FALSE)</f>
        <v>격투가의 혼</v>
      </c>
      <c r="F185" s="7" t="str">
        <f t="shared" si="29"/>
        <v>물리공격력의 8 % 만큼 마법공격력이 증가한다.</v>
      </c>
      <c r="G185" s="2">
        <v>4</v>
      </c>
      <c r="H185" s="2">
        <v>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 t="s">
        <v>433</v>
      </c>
      <c r="Q185" s="2" t="str">
        <f t="shared" si="23"/>
        <v>SI_P_COMMON_FIGHTER_SOUL</v>
      </c>
      <c r="R185" s="2" t="b">
        <v>0</v>
      </c>
      <c r="S185" s="2" t="b">
        <v>1</v>
      </c>
      <c r="T185" s="2">
        <v>0</v>
      </c>
      <c r="V185" s="1" t="s">
        <v>239</v>
      </c>
      <c r="W185" s="1">
        <v>0.08</v>
      </c>
    </row>
    <row r="186" spans="1:23">
      <c r="A186" s="4">
        <v>19</v>
      </c>
      <c r="B186" s="7" t="str">
        <f>VLOOKUP($A186,SkillEnum!$A$2:$C$1020,2,FALSE)</f>
        <v>SI_P_COMMON_FIGHTER_SOUL</v>
      </c>
      <c r="C186" s="7">
        <v>8</v>
      </c>
      <c r="D186" s="2" t="str">
        <f>VLOOKUP($C186,SkillEnum!$D$2:$E$10,2,FALSE)</f>
        <v>ST_PASSIVE</v>
      </c>
      <c r="E186" s="7" t="str">
        <f>VLOOKUP($A186,SkillEnum!$A$2:$C$1020,3,FALSE)</f>
        <v>격투가의 혼</v>
      </c>
      <c r="F186" s="7" t="str">
        <f t="shared" si="29"/>
        <v>물리공격력의 10 % 만큼 마법공격력이 증가한다.</v>
      </c>
      <c r="G186" s="2">
        <v>5</v>
      </c>
      <c r="H186" s="2">
        <v>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 t="s">
        <v>433</v>
      </c>
      <c r="Q186" s="2" t="str">
        <f t="shared" si="23"/>
        <v>SI_P_COMMON_FIGHTER_SOUL</v>
      </c>
      <c r="R186" s="2" t="b">
        <v>0</v>
      </c>
      <c r="S186" s="2" t="b">
        <v>1</v>
      </c>
      <c r="T186" s="2">
        <v>0</v>
      </c>
      <c r="V186" s="1" t="s">
        <v>239</v>
      </c>
      <c r="W186" s="1">
        <v>0.1</v>
      </c>
    </row>
    <row r="187" spans="1:23">
      <c r="A187" s="4">
        <v>19</v>
      </c>
      <c r="B187" s="7" t="str">
        <f>VLOOKUP($A187,SkillEnum!$A$2:$C$1020,2,FALSE)</f>
        <v>SI_P_COMMON_FIGHTER_SOUL</v>
      </c>
      <c r="C187" s="7">
        <v>8</v>
      </c>
      <c r="D187" s="2" t="str">
        <f>VLOOKUP($C187,SkillEnum!$D$2:$E$10,2,FALSE)</f>
        <v>ST_PASSIVE</v>
      </c>
      <c r="E187" s="7" t="str">
        <f>VLOOKUP($A187,SkillEnum!$A$2:$C$1020,3,FALSE)</f>
        <v>격투가의 혼</v>
      </c>
      <c r="F187" s="7" t="str">
        <f t="shared" si="29"/>
        <v>물리공격력의 12 % 만큼 마법공격력이 증가한다.</v>
      </c>
      <c r="G187" s="2">
        <v>6</v>
      </c>
      <c r="H187" s="2">
        <v>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 t="s">
        <v>433</v>
      </c>
      <c r="Q187" s="2" t="str">
        <f t="shared" si="23"/>
        <v>SI_P_COMMON_FIGHTER_SOUL</v>
      </c>
      <c r="R187" s="2" t="b">
        <v>0</v>
      </c>
      <c r="S187" s="2" t="b">
        <v>1</v>
      </c>
      <c r="T187" s="2">
        <v>0</v>
      </c>
      <c r="V187" s="1" t="s">
        <v>239</v>
      </c>
      <c r="W187" s="1">
        <v>0.12</v>
      </c>
    </row>
    <row r="188" spans="1:23">
      <c r="A188" s="4">
        <v>19</v>
      </c>
      <c r="B188" s="7" t="str">
        <f>VLOOKUP($A188,SkillEnum!$A$2:$C$1020,2,FALSE)</f>
        <v>SI_P_COMMON_FIGHTER_SOUL</v>
      </c>
      <c r="C188" s="7">
        <v>8</v>
      </c>
      <c r="D188" s="2" t="str">
        <f>VLOOKUP($C188,SkillEnum!$D$2:$E$10,2,FALSE)</f>
        <v>ST_PASSIVE</v>
      </c>
      <c r="E188" s="7" t="str">
        <f>VLOOKUP($A188,SkillEnum!$A$2:$C$1020,3,FALSE)</f>
        <v>격투가의 혼</v>
      </c>
      <c r="F188" s="7" t="str">
        <f t="shared" si="29"/>
        <v>물리공격력의 14 % 만큼 마법공격력이 증가한다.</v>
      </c>
      <c r="G188" s="2">
        <v>7</v>
      </c>
      <c r="H188" s="2">
        <v>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 t="s">
        <v>433</v>
      </c>
      <c r="Q188" s="2" t="str">
        <f t="shared" si="23"/>
        <v>SI_P_COMMON_FIGHTER_SOUL</v>
      </c>
      <c r="R188" s="2" t="b">
        <v>0</v>
      </c>
      <c r="S188" s="2" t="b">
        <v>1</v>
      </c>
      <c r="T188" s="2">
        <v>0</v>
      </c>
      <c r="V188" s="1" t="s">
        <v>239</v>
      </c>
      <c r="W188" s="1">
        <v>0.14000000000000001</v>
      </c>
    </row>
    <row r="189" spans="1:23">
      <c r="A189" s="4">
        <v>19</v>
      </c>
      <c r="B189" s="7" t="str">
        <f>VLOOKUP($A189,SkillEnum!$A$2:$C$1020,2,FALSE)</f>
        <v>SI_P_COMMON_FIGHTER_SOUL</v>
      </c>
      <c r="C189" s="7">
        <v>8</v>
      </c>
      <c r="D189" s="2" t="str">
        <f>VLOOKUP($C189,SkillEnum!$D$2:$E$10,2,FALSE)</f>
        <v>ST_PASSIVE</v>
      </c>
      <c r="E189" s="7" t="str">
        <f>VLOOKUP($A189,SkillEnum!$A$2:$C$1020,3,FALSE)</f>
        <v>격투가의 혼</v>
      </c>
      <c r="F189" s="7" t="str">
        <f t="shared" si="29"/>
        <v>물리공격력의 16 % 만큼 마법공격력이 증가한다.</v>
      </c>
      <c r="G189" s="2">
        <v>8</v>
      </c>
      <c r="H189" s="2">
        <v>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 t="s">
        <v>433</v>
      </c>
      <c r="Q189" s="2" t="str">
        <f t="shared" si="23"/>
        <v>SI_P_COMMON_FIGHTER_SOUL</v>
      </c>
      <c r="R189" s="2" t="b">
        <v>0</v>
      </c>
      <c r="S189" s="2" t="b">
        <v>1</v>
      </c>
      <c r="T189" s="2">
        <v>0</v>
      </c>
      <c r="V189" s="1" t="s">
        <v>239</v>
      </c>
      <c r="W189" s="1">
        <v>0.16</v>
      </c>
    </row>
    <row r="190" spans="1:23">
      <c r="A190" s="4">
        <v>19</v>
      </c>
      <c r="B190" s="7" t="str">
        <f>VLOOKUP($A190,SkillEnum!$A$2:$C$1020,2,FALSE)</f>
        <v>SI_P_COMMON_FIGHTER_SOUL</v>
      </c>
      <c r="C190" s="7">
        <v>8</v>
      </c>
      <c r="D190" s="2" t="str">
        <f>VLOOKUP($C190,SkillEnum!$D$2:$E$10,2,FALSE)</f>
        <v>ST_PASSIVE</v>
      </c>
      <c r="E190" s="7" t="str">
        <f>VLOOKUP($A190,SkillEnum!$A$2:$C$1020,3,FALSE)</f>
        <v>격투가의 혼</v>
      </c>
      <c r="F190" s="7" t="str">
        <f t="shared" si="29"/>
        <v>물리공격력의 18 % 만큼 마법공격력이 증가한다.</v>
      </c>
      <c r="G190" s="2">
        <v>9</v>
      </c>
      <c r="H190" s="2">
        <v>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 t="s">
        <v>433</v>
      </c>
      <c r="Q190" s="2" t="str">
        <f t="shared" si="23"/>
        <v>SI_P_COMMON_FIGHTER_SOUL</v>
      </c>
      <c r="R190" s="2" t="b">
        <v>0</v>
      </c>
      <c r="S190" s="2" t="b">
        <v>1</v>
      </c>
      <c r="T190" s="2">
        <v>0</v>
      </c>
      <c r="V190" s="1" t="s">
        <v>239</v>
      </c>
      <c r="W190" s="1">
        <v>0.18</v>
      </c>
    </row>
    <row r="191" spans="1:23" s="5" customFormat="1">
      <c r="A191" s="6">
        <v>19</v>
      </c>
      <c r="B191" s="8" t="str">
        <f>VLOOKUP($A191,SkillEnum!$A$2:$C$1020,2,FALSE)</f>
        <v>SI_P_COMMON_FIGHTER_SOUL</v>
      </c>
      <c r="C191" s="8">
        <v>8</v>
      </c>
      <c r="D191" s="5" t="str">
        <f>VLOOKUP($C191,SkillEnum!$D$2:$E$10,2,FALSE)</f>
        <v>ST_PASSIVE</v>
      </c>
      <c r="E191" s="8" t="str">
        <f>VLOOKUP($A191,SkillEnum!$A$2:$C$1020,3,FALSE)</f>
        <v>격투가의 혼</v>
      </c>
      <c r="F191" s="8" t="str">
        <f t="shared" si="29"/>
        <v>물리공격력의 20 % 만큼 마법공격력이 증가한다.</v>
      </c>
      <c r="G191" s="5">
        <v>10</v>
      </c>
      <c r="H191" s="5">
        <v>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0</v>
      </c>
      <c r="O191" s="5">
        <v>0</v>
      </c>
      <c r="P191" s="2" t="s">
        <v>433</v>
      </c>
      <c r="Q191" s="2" t="str">
        <f t="shared" si="23"/>
        <v>SI_P_COMMON_FIGHTER_SOUL</v>
      </c>
      <c r="R191" s="5" t="b">
        <v>0</v>
      </c>
      <c r="S191" s="2" t="b">
        <v>1</v>
      </c>
      <c r="T191" s="2">
        <v>0</v>
      </c>
      <c r="U191" s="2"/>
      <c r="V191" s="5" t="s">
        <v>239</v>
      </c>
      <c r="W191" s="5">
        <v>0.2</v>
      </c>
    </row>
    <row r="192" spans="1:23">
      <c r="A192" s="4">
        <v>20</v>
      </c>
      <c r="B192" s="7" t="str">
        <f>VLOOKUP($A192,SkillEnum!$A$2:$C$1020,2,FALSE)</f>
        <v>SI_P_COMMON_CONFIDENCE_VICTORY</v>
      </c>
      <c r="C192" s="7">
        <v>8</v>
      </c>
      <c r="D192" s="2" t="str">
        <f>VLOOKUP($C192,SkillEnum!$D$2:$E$10,2,FALSE)</f>
        <v>ST_PASSIVE</v>
      </c>
      <c r="E192" s="11" t="str">
        <f>VLOOKUP($A192,SkillEnum!$A$2:$C$1020,3,FALSE)</f>
        <v>승리의 자신감</v>
      </c>
      <c r="F192" s="11" t="str">
        <f t="shared" ref="F192:F201" si="30">"자신의 HP가 90 % 이상일 경우 공격력이 "&amp;ROUND((W192-1)*100,0)&amp;" % 증가한다."</f>
        <v>자신의 HP가 90 % 이상일 경우 공격력이 4 % 증가한다.</v>
      </c>
      <c r="G192" s="10">
        <v>1</v>
      </c>
      <c r="H192" s="2">
        <v>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 t="s">
        <v>433</v>
      </c>
      <c r="Q192" s="2" t="str">
        <f t="shared" si="23"/>
        <v>SI_P_COMMON_CONFIDENCE_VICTORY</v>
      </c>
      <c r="R192" s="2" t="b">
        <v>0</v>
      </c>
      <c r="S192" s="2" t="b">
        <v>1</v>
      </c>
      <c r="T192" s="2">
        <v>0</v>
      </c>
      <c r="V192" s="1" t="s">
        <v>160</v>
      </c>
      <c r="W192" s="2">
        <v>1.04</v>
      </c>
    </row>
    <row r="193" spans="1:23">
      <c r="A193" s="4">
        <v>20</v>
      </c>
      <c r="B193" s="7" t="str">
        <f>VLOOKUP($A193,SkillEnum!$A$2:$C$1020,2,FALSE)</f>
        <v>SI_P_COMMON_CONFIDENCE_VICTORY</v>
      </c>
      <c r="C193" s="7">
        <v>8</v>
      </c>
      <c r="D193" s="2" t="str">
        <f>VLOOKUP($C193,SkillEnum!$D$2:$E$10,2,FALSE)</f>
        <v>ST_PASSIVE</v>
      </c>
      <c r="E193" s="7" t="str">
        <f>VLOOKUP($A193,SkillEnum!$A$2:$C$1020,3,FALSE)</f>
        <v>승리의 자신감</v>
      </c>
      <c r="F193" s="7" t="str">
        <f t="shared" si="30"/>
        <v>자신의 HP가 90 % 이상일 경우 공격력이 8 % 증가한다.</v>
      </c>
      <c r="G193" s="2">
        <v>2</v>
      </c>
      <c r="H193" s="2">
        <v>1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 t="s">
        <v>433</v>
      </c>
      <c r="Q193" s="2" t="str">
        <f t="shared" si="23"/>
        <v>SI_P_COMMON_CONFIDENCE_VICTORY</v>
      </c>
      <c r="R193" s="2" t="b">
        <v>0</v>
      </c>
      <c r="S193" s="2" t="b">
        <v>1</v>
      </c>
      <c r="T193" s="2">
        <v>0</v>
      </c>
      <c r="V193" s="1" t="s">
        <v>160</v>
      </c>
      <c r="W193" s="2">
        <v>1.08</v>
      </c>
    </row>
    <row r="194" spans="1:23">
      <c r="A194" s="4">
        <v>20</v>
      </c>
      <c r="B194" s="7" t="str">
        <f>VLOOKUP($A194,SkillEnum!$A$2:$C$1020,2,FALSE)</f>
        <v>SI_P_COMMON_CONFIDENCE_VICTORY</v>
      </c>
      <c r="C194" s="7">
        <v>8</v>
      </c>
      <c r="D194" s="2" t="str">
        <f>VLOOKUP($C194,SkillEnum!$D$2:$E$10,2,FALSE)</f>
        <v>ST_PASSIVE</v>
      </c>
      <c r="E194" s="7" t="str">
        <f>VLOOKUP($A194,SkillEnum!$A$2:$C$1020,3,FALSE)</f>
        <v>승리의 자신감</v>
      </c>
      <c r="F194" s="7" t="str">
        <f t="shared" si="30"/>
        <v>자신의 HP가 90 % 이상일 경우 공격력이 12 % 증가한다.</v>
      </c>
      <c r="G194" s="2">
        <v>3</v>
      </c>
      <c r="H194" s="2">
        <v>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 t="s">
        <v>433</v>
      </c>
      <c r="Q194" s="2" t="str">
        <f t="shared" si="23"/>
        <v>SI_P_COMMON_CONFIDENCE_VICTORY</v>
      </c>
      <c r="R194" s="2" t="b">
        <v>0</v>
      </c>
      <c r="S194" s="2" t="b">
        <v>1</v>
      </c>
      <c r="T194" s="2">
        <v>0</v>
      </c>
      <c r="V194" s="1" t="s">
        <v>160</v>
      </c>
      <c r="W194" s="2">
        <v>1.1200000000000001</v>
      </c>
    </row>
    <row r="195" spans="1:23">
      <c r="A195" s="4">
        <v>20</v>
      </c>
      <c r="B195" s="7" t="str">
        <f>VLOOKUP($A195,SkillEnum!$A$2:$C$1020,2,FALSE)</f>
        <v>SI_P_COMMON_CONFIDENCE_VICTORY</v>
      </c>
      <c r="C195" s="7">
        <v>8</v>
      </c>
      <c r="D195" s="2" t="str">
        <f>VLOOKUP($C195,SkillEnum!$D$2:$E$10,2,FALSE)</f>
        <v>ST_PASSIVE</v>
      </c>
      <c r="E195" s="7" t="str">
        <f>VLOOKUP($A195,SkillEnum!$A$2:$C$1020,3,FALSE)</f>
        <v>승리의 자신감</v>
      </c>
      <c r="F195" s="7" t="str">
        <f t="shared" si="30"/>
        <v>자신의 HP가 90 % 이상일 경우 공격력이 16 % 증가한다.</v>
      </c>
      <c r="G195" s="2">
        <v>4</v>
      </c>
      <c r="H195" s="2">
        <v>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 t="s">
        <v>433</v>
      </c>
      <c r="Q195" s="2" t="str">
        <f t="shared" ref="Q195:Q258" si="31">B195</f>
        <v>SI_P_COMMON_CONFIDENCE_VICTORY</v>
      </c>
      <c r="R195" s="2" t="b">
        <v>0</v>
      </c>
      <c r="S195" s="2" t="b">
        <v>1</v>
      </c>
      <c r="T195" s="2">
        <v>0</v>
      </c>
      <c r="V195" s="1" t="s">
        <v>160</v>
      </c>
      <c r="W195" s="2">
        <v>1.1599999999999999</v>
      </c>
    </row>
    <row r="196" spans="1:23">
      <c r="A196" s="4">
        <v>20</v>
      </c>
      <c r="B196" s="7" t="str">
        <f>VLOOKUP($A196,SkillEnum!$A$2:$C$1020,2,FALSE)</f>
        <v>SI_P_COMMON_CONFIDENCE_VICTORY</v>
      </c>
      <c r="C196" s="7">
        <v>8</v>
      </c>
      <c r="D196" s="2" t="str">
        <f>VLOOKUP($C196,SkillEnum!$D$2:$E$10,2,FALSE)</f>
        <v>ST_PASSIVE</v>
      </c>
      <c r="E196" s="7" t="str">
        <f>VLOOKUP($A196,SkillEnum!$A$2:$C$1020,3,FALSE)</f>
        <v>승리의 자신감</v>
      </c>
      <c r="F196" s="7" t="str">
        <f t="shared" si="30"/>
        <v>자신의 HP가 90 % 이상일 경우 공격력이 20 % 증가한다.</v>
      </c>
      <c r="G196" s="2">
        <v>5</v>
      </c>
      <c r="H196" s="2">
        <v>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 t="s">
        <v>433</v>
      </c>
      <c r="Q196" s="2" t="str">
        <f t="shared" si="31"/>
        <v>SI_P_COMMON_CONFIDENCE_VICTORY</v>
      </c>
      <c r="R196" s="2" t="b">
        <v>0</v>
      </c>
      <c r="S196" s="2" t="b">
        <v>1</v>
      </c>
      <c r="T196" s="2">
        <v>0</v>
      </c>
      <c r="V196" s="1" t="s">
        <v>160</v>
      </c>
      <c r="W196" s="2">
        <v>1.2</v>
      </c>
    </row>
    <row r="197" spans="1:23">
      <c r="A197" s="4">
        <v>20</v>
      </c>
      <c r="B197" s="7" t="str">
        <f>VLOOKUP($A197,SkillEnum!$A$2:$C$1020,2,FALSE)</f>
        <v>SI_P_COMMON_CONFIDENCE_VICTORY</v>
      </c>
      <c r="C197" s="7">
        <v>8</v>
      </c>
      <c r="D197" s="2" t="str">
        <f>VLOOKUP($C197,SkillEnum!$D$2:$E$10,2,FALSE)</f>
        <v>ST_PASSIVE</v>
      </c>
      <c r="E197" s="7" t="str">
        <f>VLOOKUP($A197,SkillEnum!$A$2:$C$1020,3,FALSE)</f>
        <v>승리의 자신감</v>
      </c>
      <c r="F197" s="7" t="str">
        <f t="shared" si="30"/>
        <v>자신의 HP가 90 % 이상일 경우 공격력이 24 % 증가한다.</v>
      </c>
      <c r="G197" s="2">
        <v>6</v>
      </c>
      <c r="H197" s="2">
        <v>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 t="s">
        <v>433</v>
      </c>
      <c r="Q197" s="2" t="str">
        <f t="shared" si="31"/>
        <v>SI_P_COMMON_CONFIDENCE_VICTORY</v>
      </c>
      <c r="R197" s="2" t="b">
        <v>0</v>
      </c>
      <c r="S197" s="2" t="b">
        <v>1</v>
      </c>
      <c r="T197" s="2">
        <v>0</v>
      </c>
      <c r="V197" s="1" t="s">
        <v>160</v>
      </c>
      <c r="W197" s="2">
        <v>1.24</v>
      </c>
    </row>
    <row r="198" spans="1:23">
      <c r="A198" s="4">
        <v>20</v>
      </c>
      <c r="B198" s="7" t="str">
        <f>VLOOKUP($A198,SkillEnum!$A$2:$C$1020,2,FALSE)</f>
        <v>SI_P_COMMON_CONFIDENCE_VICTORY</v>
      </c>
      <c r="C198" s="7">
        <v>8</v>
      </c>
      <c r="D198" s="2" t="str">
        <f>VLOOKUP($C198,SkillEnum!$D$2:$E$10,2,FALSE)</f>
        <v>ST_PASSIVE</v>
      </c>
      <c r="E198" s="7" t="str">
        <f>VLOOKUP($A198,SkillEnum!$A$2:$C$1020,3,FALSE)</f>
        <v>승리의 자신감</v>
      </c>
      <c r="F198" s="7" t="str">
        <f t="shared" si="30"/>
        <v>자신의 HP가 90 % 이상일 경우 공격력이 28 % 증가한다.</v>
      </c>
      <c r="G198" s="2">
        <v>7</v>
      </c>
      <c r="H198" s="2">
        <v>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 t="s">
        <v>433</v>
      </c>
      <c r="Q198" s="2" t="str">
        <f t="shared" si="31"/>
        <v>SI_P_COMMON_CONFIDENCE_VICTORY</v>
      </c>
      <c r="R198" s="2" t="b">
        <v>0</v>
      </c>
      <c r="S198" s="2" t="b">
        <v>1</v>
      </c>
      <c r="T198" s="2">
        <v>0</v>
      </c>
      <c r="V198" s="1" t="s">
        <v>160</v>
      </c>
      <c r="W198" s="2">
        <v>1.28</v>
      </c>
    </row>
    <row r="199" spans="1:23">
      <c r="A199" s="4">
        <v>20</v>
      </c>
      <c r="B199" s="7" t="str">
        <f>VLOOKUP($A199,SkillEnum!$A$2:$C$1020,2,FALSE)</f>
        <v>SI_P_COMMON_CONFIDENCE_VICTORY</v>
      </c>
      <c r="C199" s="7">
        <v>8</v>
      </c>
      <c r="D199" s="2" t="str">
        <f>VLOOKUP($C199,SkillEnum!$D$2:$E$10,2,FALSE)</f>
        <v>ST_PASSIVE</v>
      </c>
      <c r="E199" s="7" t="str">
        <f>VLOOKUP($A199,SkillEnum!$A$2:$C$1020,3,FALSE)</f>
        <v>승리의 자신감</v>
      </c>
      <c r="F199" s="7" t="str">
        <f t="shared" si="30"/>
        <v>자신의 HP가 90 % 이상일 경우 공격력이 32 % 증가한다.</v>
      </c>
      <c r="G199" s="2">
        <v>8</v>
      </c>
      <c r="H199" s="2">
        <v>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 t="s">
        <v>433</v>
      </c>
      <c r="Q199" s="2" t="str">
        <f t="shared" si="31"/>
        <v>SI_P_COMMON_CONFIDENCE_VICTORY</v>
      </c>
      <c r="R199" s="2" t="b">
        <v>0</v>
      </c>
      <c r="S199" s="2" t="b">
        <v>1</v>
      </c>
      <c r="T199" s="2">
        <v>0</v>
      </c>
      <c r="V199" s="1" t="s">
        <v>160</v>
      </c>
      <c r="W199" s="2">
        <v>1.32</v>
      </c>
    </row>
    <row r="200" spans="1:23">
      <c r="A200" s="4">
        <v>20</v>
      </c>
      <c r="B200" s="7" t="str">
        <f>VLOOKUP($A200,SkillEnum!$A$2:$C$1020,2,FALSE)</f>
        <v>SI_P_COMMON_CONFIDENCE_VICTORY</v>
      </c>
      <c r="C200" s="7">
        <v>8</v>
      </c>
      <c r="D200" s="2" t="str">
        <f>VLOOKUP($C200,SkillEnum!$D$2:$E$10,2,FALSE)</f>
        <v>ST_PASSIVE</v>
      </c>
      <c r="E200" s="7" t="str">
        <f>VLOOKUP($A200,SkillEnum!$A$2:$C$1020,3,FALSE)</f>
        <v>승리의 자신감</v>
      </c>
      <c r="F200" s="7" t="str">
        <f t="shared" si="30"/>
        <v>자신의 HP가 90 % 이상일 경우 공격력이 36 % 증가한다.</v>
      </c>
      <c r="G200" s="2">
        <v>9</v>
      </c>
      <c r="H200" s="2">
        <v>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 t="s">
        <v>433</v>
      </c>
      <c r="Q200" s="2" t="str">
        <f t="shared" si="31"/>
        <v>SI_P_COMMON_CONFIDENCE_VICTORY</v>
      </c>
      <c r="R200" s="2" t="b">
        <v>0</v>
      </c>
      <c r="S200" s="2" t="b">
        <v>1</v>
      </c>
      <c r="T200" s="2">
        <v>0</v>
      </c>
      <c r="V200" s="1" t="s">
        <v>160</v>
      </c>
      <c r="W200" s="2">
        <v>1.36</v>
      </c>
    </row>
    <row r="201" spans="1:23" s="5" customFormat="1">
      <c r="A201" s="6">
        <v>20</v>
      </c>
      <c r="B201" s="8" t="str">
        <f>VLOOKUP($A201,SkillEnum!$A$2:$C$1020,2,FALSE)</f>
        <v>SI_P_COMMON_CONFIDENCE_VICTORY</v>
      </c>
      <c r="C201" s="8">
        <v>8</v>
      </c>
      <c r="D201" s="5" t="str">
        <f>VLOOKUP($C201,SkillEnum!$D$2:$E$10,2,FALSE)</f>
        <v>ST_PASSIVE</v>
      </c>
      <c r="E201" s="8" t="str">
        <f>VLOOKUP($A201,SkillEnum!$A$2:$C$1020,3,FALSE)</f>
        <v>승리의 자신감</v>
      </c>
      <c r="F201" s="8" t="str">
        <f t="shared" si="30"/>
        <v>자신의 HP가 90 % 이상일 경우 공격력이 40 % 증가한다.</v>
      </c>
      <c r="G201" s="5">
        <v>10</v>
      </c>
      <c r="H201" s="5">
        <v>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0</v>
      </c>
      <c r="O201" s="5">
        <v>0</v>
      </c>
      <c r="P201" s="2" t="s">
        <v>433</v>
      </c>
      <c r="Q201" s="2" t="str">
        <f t="shared" si="31"/>
        <v>SI_P_COMMON_CONFIDENCE_VICTORY</v>
      </c>
      <c r="R201" s="5" t="b">
        <v>0</v>
      </c>
      <c r="S201" s="2" t="b">
        <v>1</v>
      </c>
      <c r="T201" s="2">
        <v>0</v>
      </c>
      <c r="U201" s="2"/>
      <c r="V201" s="5" t="s">
        <v>160</v>
      </c>
      <c r="W201" s="5">
        <v>1.4</v>
      </c>
    </row>
    <row r="202" spans="1:23">
      <c r="A202" s="4">
        <v>21</v>
      </c>
      <c r="B202" s="7" t="str">
        <f>VLOOKUP($A202,SkillEnum!$A$2:$C$1020,2,FALSE)</f>
        <v>SI_P_COMMON_HARDEN_BODY</v>
      </c>
      <c r="C202" s="7">
        <v>8</v>
      </c>
      <c r="D202" s="2" t="str">
        <f>VLOOKUP($C202,SkillEnum!$D$2:$E$10,2,FALSE)</f>
        <v>ST_PASSIVE</v>
      </c>
      <c r="E202" s="11" t="str">
        <f>VLOOKUP($A202,SkillEnum!$A$2:$C$1020,3,FALSE)</f>
        <v>단련된 신체</v>
      </c>
      <c r="F202" s="11" t="str">
        <f t="shared" ref="F202:F211" si="32">"받게 되는 모든 피해량이 "&amp;ROUND((1-W202)*100,0)&amp;" % 감소한다."</f>
        <v>받게 되는 모든 피해량이 2 % 감소한다.</v>
      </c>
      <c r="G202" s="10">
        <v>1</v>
      </c>
      <c r="H202" s="2">
        <v>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 t="s">
        <v>433</v>
      </c>
      <c r="Q202" s="2" t="str">
        <f t="shared" si="31"/>
        <v>SI_P_COMMON_HARDEN_BODY</v>
      </c>
      <c r="R202" s="2" t="b">
        <v>0</v>
      </c>
      <c r="S202" s="2" t="b">
        <v>1</v>
      </c>
      <c r="T202" s="2">
        <v>0</v>
      </c>
      <c r="V202" s="10" t="s">
        <v>243</v>
      </c>
      <c r="W202" s="2">
        <v>0.98</v>
      </c>
    </row>
    <row r="203" spans="1:23">
      <c r="A203" s="4">
        <v>21</v>
      </c>
      <c r="B203" s="7" t="str">
        <f>VLOOKUP($A203,SkillEnum!$A$2:$C$1020,2,FALSE)</f>
        <v>SI_P_COMMON_HARDEN_BODY</v>
      </c>
      <c r="C203" s="7">
        <v>8</v>
      </c>
      <c r="D203" s="2" t="str">
        <f>VLOOKUP($C203,SkillEnum!$D$2:$E$10,2,FALSE)</f>
        <v>ST_PASSIVE</v>
      </c>
      <c r="E203" s="7" t="str">
        <f>VLOOKUP($A203,SkillEnum!$A$2:$C$1020,3,FALSE)</f>
        <v>단련된 신체</v>
      </c>
      <c r="F203" s="7" t="str">
        <f t="shared" si="32"/>
        <v>받게 되는 모든 피해량이 4 % 감소한다.</v>
      </c>
      <c r="G203" s="2">
        <v>2</v>
      </c>
      <c r="H203" s="2">
        <v>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 t="s">
        <v>433</v>
      </c>
      <c r="Q203" s="2" t="str">
        <f t="shared" si="31"/>
        <v>SI_P_COMMON_HARDEN_BODY</v>
      </c>
      <c r="R203" s="2" t="b">
        <v>0</v>
      </c>
      <c r="S203" s="2" t="b">
        <v>1</v>
      </c>
      <c r="T203" s="2">
        <v>0</v>
      </c>
      <c r="V203" s="2" t="s">
        <v>243</v>
      </c>
      <c r="W203" s="2">
        <v>0.96</v>
      </c>
    </row>
    <row r="204" spans="1:23">
      <c r="A204" s="4">
        <v>21</v>
      </c>
      <c r="B204" s="7" t="str">
        <f>VLOOKUP($A204,SkillEnum!$A$2:$C$1020,2,FALSE)</f>
        <v>SI_P_COMMON_HARDEN_BODY</v>
      </c>
      <c r="C204" s="7">
        <v>8</v>
      </c>
      <c r="D204" s="2" t="str">
        <f>VLOOKUP($C204,SkillEnum!$D$2:$E$10,2,FALSE)</f>
        <v>ST_PASSIVE</v>
      </c>
      <c r="E204" s="7" t="str">
        <f>VLOOKUP($A204,SkillEnum!$A$2:$C$1020,3,FALSE)</f>
        <v>단련된 신체</v>
      </c>
      <c r="F204" s="7" t="str">
        <f t="shared" si="32"/>
        <v>받게 되는 모든 피해량이 6 % 감소한다.</v>
      </c>
      <c r="G204" s="2">
        <v>3</v>
      </c>
      <c r="H204" s="2">
        <v>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 t="s">
        <v>433</v>
      </c>
      <c r="Q204" s="2" t="str">
        <f t="shared" si="31"/>
        <v>SI_P_COMMON_HARDEN_BODY</v>
      </c>
      <c r="R204" s="2" t="b">
        <v>0</v>
      </c>
      <c r="S204" s="2" t="b">
        <v>1</v>
      </c>
      <c r="T204" s="2">
        <v>0</v>
      </c>
      <c r="V204" s="2" t="s">
        <v>243</v>
      </c>
      <c r="W204" s="2">
        <v>0.94</v>
      </c>
    </row>
    <row r="205" spans="1:23">
      <c r="A205" s="4">
        <v>21</v>
      </c>
      <c r="B205" s="7" t="str">
        <f>VLOOKUP($A205,SkillEnum!$A$2:$C$1020,2,FALSE)</f>
        <v>SI_P_COMMON_HARDEN_BODY</v>
      </c>
      <c r="C205" s="7">
        <v>8</v>
      </c>
      <c r="D205" s="2" t="str">
        <f>VLOOKUP($C205,SkillEnum!$D$2:$E$10,2,FALSE)</f>
        <v>ST_PASSIVE</v>
      </c>
      <c r="E205" s="7" t="str">
        <f>VLOOKUP($A205,SkillEnum!$A$2:$C$1020,3,FALSE)</f>
        <v>단련된 신체</v>
      </c>
      <c r="F205" s="7" t="str">
        <f t="shared" si="32"/>
        <v>받게 되는 모든 피해량이 8 % 감소한다.</v>
      </c>
      <c r="G205" s="2">
        <v>4</v>
      </c>
      <c r="H205" s="2">
        <v>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 t="s">
        <v>433</v>
      </c>
      <c r="Q205" s="2" t="str">
        <f t="shared" si="31"/>
        <v>SI_P_COMMON_HARDEN_BODY</v>
      </c>
      <c r="R205" s="2" t="b">
        <v>0</v>
      </c>
      <c r="S205" s="2" t="b">
        <v>1</v>
      </c>
      <c r="T205" s="2">
        <v>0</v>
      </c>
      <c r="V205" s="2" t="s">
        <v>243</v>
      </c>
      <c r="W205" s="2">
        <v>0.92</v>
      </c>
    </row>
    <row r="206" spans="1:23">
      <c r="A206" s="4">
        <v>21</v>
      </c>
      <c r="B206" s="7" t="str">
        <f>VLOOKUP($A206,SkillEnum!$A$2:$C$1020,2,FALSE)</f>
        <v>SI_P_COMMON_HARDEN_BODY</v>
      </c>
      <c r="C206" s="7">
        <v>8</v>
      </c>
      <c r="D206" s="2" t="str">
        <f>VLOOKUP($C206,SkillEnum!$D$2:$E$10,2,FALSE)</f>
        <v>ST_PASSIVE</v>
      </c>
      <c r="E206" s="7" t="str">
        <f>VLOOKUP($A206,SkillEnum!$A$2:$C$1020,3,FALSE)</f>
        <v>단련된 신체</v>
      </c>
      <c r="F206" s="7" t="str">
        <f t="shared" si="32"/>
        <v>받게 되는 모든 피해량이 10 % 감소한다.</v>
      </c>
      <c r="G206" s="2">
        <v>5</v>
      </c>
      <c r="H206" s="2">
        <v>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 t="s">
        <v>433</v>
      </c>
      <c r="Q206" s="2" t="str">
        <f t="shared" si="31"/>
        <v>SI_P_COMMON_HARDEN_BODY</v>
      </c>
      <c r="R206" s="2" t="b">
        <v>0</v>
      </c>
      <c r="S206" s="2" t="b">
        <v>1</v>
      </c>
      <c r="T206" s="2">
        <v>0</v>
      </c>
      <c r="V206" s="2" t="s">
        <v>243</v>
      </c>
      <c r="W206" s="2">
        <v>0.9</v>
      </c>
    </row>
    <row r="207" spans="1:23">
      <c r="A207" s="4">
        <v>21</v>
      </c>
      <c r="B207" s="7" t="str">
        <f>VLOOKUP($A207,SkillEnum!$A$2:$C$1020,2,FALSE)</f>
        <v>SI_P_COMMON_HARDEN_BODY</v>
      </c>
      <c r="C207" s="7">
        <v>8</v>
      </c>
      <c r="D207" s="2" t="str">
        <f>VLOOKUP($C207,SkillEnum!$D$2:$E$10,2,FALSE)</f>
        <v>ST_PASSIVE</v>
      </c>
      <c r="E207" s="7" t="str">
        <f>VLOOKUP($A207,SkillEnum!$A$2:$C$1020,3,FALSE)</f>
        <v>단련된 신체</v>
      </c>
      <c r="F207" s="7" t="str">
        <f t="shared" si="32"/>
        <v>받게 되는 모든 피해량이 12 % 감소한다.</v>
      </c>
      <c r="G207" s="2">
        <v>6</v>
      </c>
      <c r="H207" s="2">
        <v>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 t="s">
        <v>433</v>
      </c>
      <c r="Q207" s="2" t="str">
        <f t="shared" si="31"/>
        <v>SI_P_COMMON_HARDEN_BODY</v>
      </c>
      <c r="R207" s="2" t="b">
        <v>0</v>
      </c>
      <c r="S207" s="2" t="b">
        <v>1</v>
      </c>
      <c r="T207" s="2">
        <v>0</v>
      </c>
      <c r="V207" s="2" t="s">
        <v>243</v>
      </c>
      <c r="W207" s="2">
        <v>0.88</v>
      </c>
    </row>
    <row r="208" spans="1:23">
      <c r="A208" s="4">
        <v>21</v>
      </c>
      <c r="B208" s="7" t="str">
        <f>VLOOKUP($A208,SkillEnum!$A$2:$C$1020,2,FALSE)</f>
        <v>SI_P_COMMON_HARDEN_BODY</v>
      </c>
      <c r="C208" s="7">
        <v>8</v>
      </c>
      <c r="D208" s="2" t="str">
        <f>VLOOKUP($C208,SkillEnum!$D$2:$E$10,2,FALSE)</f>
        <v>ST_PASSIVE</v>
      </c>
      <c r="E208" s="7" t="str">
        <f>VLOOKUP($A208,SkillEnum!$A$2:$C$1020,3,FALSE)</f>
        <v>단련된 신체</v>
      </c>
      <c r="F208" s="7" t="str">
        <f t="shared" si="32"/>
        <v>받게 되는 모든 피해량이 14 % 감소한다.</v>
      </c>
      <c r="G208" s="2">
        <v>7</v>
      </c>
      <c r="H208" s="2">
        <v>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 t="s">
        <v>433</v>
      </c>
      <c r="Q208" s="2" t="str">
        <f t="shared" si="31"/>
        <v>SI_P_COMMON_HARDEN_BODY</v>
      </c>
      <c r="R208" s="2" t="b">
        <v>0</v>
      </c>
      <c r="S208" s="2" t="b">
        <v>1</v>
      </c>
      <c r="T208" s="2">
        <v>0</v>
      </c>
      <c r="V208" s="2" t="s">
        <v>243</v>
      </c>
      <c r="W208" s="2">
        <v>0.86</v>
      </c>
    </row>
    <row r="209" spans="1:23">
      <c r="A209" s="4">
        <v>21</v>
      </c>
      <c r="B209" s="7" t="str">
        <f>VLOOKUP($A209,SkillEnum!$A$2:$C$1020,2,FALSE)</f>
        <v>SI_P_COMMON_HARDEN_BODY</v>
      </c>
      <c r="C209" s="7">
        <v>8</v>
      </c>
      <c r="D209" s="2" t="str">
        <f>VLOOKUP($C209,SkillEnum!$D$2:$E$10,2,FALSE)</f>
        <v>ST_PASSIVE</v>
      </c>
      <c r="E209" s="7" t="str">
        <f>VLOOKUP($A209,SkillEnum!$A$2:$C$1020,3,FALSE)</f>
        <v>단련된 신체</v>
      </c>
      <c r="F209" s="7" t="str">
        <f t="shared" si="32"/>
        <v>받게 되는 모든 피해량이 16 % 감소한다.</v>
      </c>
      <c r="G209" s="2">
        <v>8</v>
      </c>
      <c r="H209" s="2">
        <v>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 t="s">
        <v>433</v>
      </c>
      <c r="Q209" s="2" t="str">
        <f t="shared" si="31"/>
        <v>SI_P_COMMON_HARDEN_BODY</v>
      </c>
      <c r="R209" s="2" t="b">
        <v>0</v>
      </c>
      <c r="S209" s="2" t="b">
        <v>1</v>
      </c>
      <c r="T209" s="2">
        <v>0</v>
      </c>
      <c r="V209" s="2" t="s">
        <v>243</v>
      </c>
      <c r="W209" s="2">
        <v>0.84</v>
      </c>
    </row>
    <row r="210" spans="1:23">
      <c r="A210" s="4">
        <v>21</v>
      </c>
      <c r="B210" s="7" t="str">
        <f>VLOOKUP($A210,SkillEnum!$A$2:$C$1020,2,FALSE)</f>
        <v>SI_P_COMMON_HARDEN_BODY</v>
      </c>
      <c r="C210" s="7">
        <v>8</v>
      </c>
      <c r="D210" s="2" t="str">
        <f>VLOOKUP($C210,SkillEnum!$D$2:$E$10,2,FALSE)</f>
        <v>ST_PASSIVE</v>
      </c>
      <c r="E210" s="7" t="str">
        <f>VLOOKUP($A210,SkillEnum!$A$2:$C$1020,3,FALSE)</f>
        <v>단련된 신체</v>
      </c>
      <c r="F210" s="7" t="str">
        <f t="shared" si="32"/>
        <v>받게 되는 모든 피해량이 18 % 감소한다.</v>
      </c>
      <c r="G210" s="2">
        <v>9</v>
      </c>
      <c r="H210" s="2">
        <v>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 t="s">
        <v>433</v>
      </c>
      <c r="Q210" s="2" t="str">
        <f t="shared" si="31"/>
        <v>SI_P_COMMON_HARDEN_BODY</v>
      </c>
      <c r="R210" s="2" t="b">
        <v>0</v>
      </c>
      <c r="S210" s="2" t="b">
        <v>1</v>
      </c>
      <c r="T210" s="2">
        <v>0</v>
      </c>
      <c r="V210" s="2" t="s">
        <v>243</v>
      </c>
      <c r="W210" s="2">
        <v>0.82</v>
      </c>
    </row>
    <row r="211" spans="1:23" s="5" customFormat="1">
      <c r="A211" s="6">
        <v>21</v>
      </c>
      <c r="B211" s="8" t="str">
        <f>VLOOKUP($A211,SkillEnum!$A$2:$C$1020,2,FALSE)</f>
        <v>SI_P_COMMON_HARDEN_BODY</v>
      </c>
      <c r="C211" s="8">
        <v>8</v>
      </c>
      <c r="D211" s="5" t="str">
        <f>VLOOKUP($C211,SkillEnum!$D$2:$E$10,2,FALSE)</f>
        <v>ST_PASSIVE</v>
      </c>
      <c r="E211" s="8" t="str">
        <f>VLOOKUP($A211,SkillEnum!$A$2:$C$1020,3,FALSE)</f>
        <v>단련된 신체</v>
      </c>
      <c r="F211" s="8" t="str">
        <f t="shared" si="32"/>
        <v>받게 되는 모든 피해량이 20 % 감소한다.</v>
      </c>
      <c r="G211" s="5">
        <v>10</v>
      </c>
      <c r="H211" s="5">
        <v>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2" t="s">
        <v>433</v>
      </c>
      <c r="Q211" s="2" t="str">
        <f t="shared" si="31"/>
        <v>SI_P_COMMON_HARDEN_BODY</v>
      </c>
      <c r="R211" s="5" t="b">
        <v>0</v>
      </c>
      <c r="S211" s="2" t="b">
        <v>1</v>
      </c>
      <c r="T211" s="2">
        <v>0</v>
      </c>
      <c r="U211" s="2"/>
      <c r="V211" s="5" t="s">
        <v>243</v>
      </c>
      <c r="W211" s="5">
        <v>0.8</v>
      </c>
    </row>
    <row r="212" spans="1:23">
      <c r="A212" s="4">
        <v>22</v>
      </c>
      <c r="B212" s="7" t="str">
        <f>VLOOKUP($A212,SkillEnum!$A$2:$C$1020,2,FALSE)</f>
        <v>SI_P_COMMON_REVERSAL_SOLDIER</v>
      </c>
      <c r="C212" s="7">
        <v>8</v>
      </c>
      <c r="D212" s="2" t="str">
        <f>VLOOKUP($C212,SkillEnum!$D$2:$E$10,2,FALSE)</f>
        <v>ST_PASSIVE</v>
      </c>
      <c r="E212" s="11" t="str">
        <f>VLOOKUP($A212,SkillEnum!$A$2:$C$1020,3,FALSE)</f>
        <v>역전의 용사</v>
      </c>
      <c r="F212" s="11" t="str">
        <f t="shared" ref="F212:F221" si="33">"자신의 HP가 20 % 미만일 경우 공격력이 "&amp;ROUND((W212-1)*100,0)&amp;" % 증가한다."</f>
        <v>자신의 HP가 20 % 미만일 경우 공격력이 4 % 증가한다.</v>
      </c>
      <c r="G212" s="10">
        <v>1</v>
      </c>
      <c r="H212" s="2">
        <v>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 t="s">
        <v>433</v>
      </c>
      <c r="Q212" s="2" t="str">
        <f t="shared" si="31"/>
        <v>SI_P_COMMON_REVERSAL_SOLDIER</v>
      </c>
      <c r="R212" s="2" t="b">
        <v>0</v>
      </c>
      <c r="S212" s="2" t="b">
        <v>1</v>
      </c>
      <c r="T212" s="2">
        <v>0</v>
      </c>
      <c r="V212" s="1" t="s">
        <v>160</v>
      </c>
      <c r="W212" s="2">
        <v>1.04</v>
      </c>
    </row>
    <row r="213" spans="1:23">
      <c r="A213" s="4">
        <v>22</v>
      </c>
      <c r="B213" s="7" t="str">
        <f>VLOOKUP($A213,SkillEnum!$A$2:$C$1020,2,FALSE)</f>
        <v>SI_P_COMMON_REVERSAL_SOLDIER</v>
      </c>
      <c r="C213" s="7">
        <v>8</v>
      </c>
      <c r="D213" s="2" t="str">
        <f>VLOOKUP($C213,SkillEnum!$D$2:$E$10,2,FALSE)</f>
        <v>ST_PASSIVE</v>
      </c>
      <c r="E213" s="7" t="str">
        <f>VLOOKUP($A213,SkillEnum!$A$2:$C$1020,3,FALSE)</f>
        <v>역전의 용사</v>
      </c>
      <c r="F213" s="7" t="str">
        <f t="shared" si="33"/>
        <v>자신의 HP가 20 % 미만일 경우 공격력이 8 % 증가한다.</v>
      </c>
      <c r="G213" s="2">
        <v>2</v>
      </c>
      <c r="H213" s="2">
        <v>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 t="s">
        <v>433</v>
      </c>
      <c r="Q213" s="2" t="str">
        <f t="shared" si="31"/>
        <v>SI_P_COMMON_REVERSAL_SOLDIER</v>
      </c>
      <c r="R213" s="2" t="b">
        <v>0</v>
      </c>
      <c r="S213" s="2" t="b">
        <v>1</v>
      </c>
      <c r="T213" s="2">
        <v>0</v>
      </c>
      <c r="V213" s="1" t="s">
        <v>160</v>
      </c>
      <c r="W213" s="2">
        <v>1.08</v>
      </c>
    </row>
    <row r="214" spans="1:23">
      <c r="A214" s="4">
        <v>22</v>
      </c>
      <c r="B214" s="7" t="str">
        <f>VLOOKUP($A214,SkillEnum!$A$2:$C$1020,2,FALSE)</f>
        <v>SI_P_COMMON_REVERSAL_SOLDIER</v>
      </c>
      <c r="C214" s="7">
        <v>8</v>
      </c>
      <c r="D214" s="2" t="str">
        <f>VLOOKUP($C214,SkillEnum!$D$2:$E$10,2,FALSE)</f>
        <v>ST_PASSIVE</v>
      </c>
      <c r="E214" s="7" t="str">
        <f>VLOOKUP($A214,SkillEnum!$A$2:$C$1020,3,FALSE)</f>
        <v>역전의 용사</v>
      </c>
      <c r="F214" s="7" t="str">
        <f t="shared" si="33"/>
        <v>자신의 HP가 20 % 미만일 경우 공격력이 12 % 증가한다.</v>
      </c>
      <c r="G214" s="2">
        <v>3</v>
      </c>
      <c r="H214" s="2">
        <v>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 t="s">
        <v>433</v>
      </c>
      <c r="Q214" s="2" t="str">
        <f t="shared" si="31"/>
        <v>SI_P_COMMON_REVERSAL_SOLDIER</v>
      </c>
      <c r="R214" s="2" t="b">
        <v>0</v>
      </c>
      <c r="S214" s="2" t="b">
        <v>1</v>
      </c>
      <c r="T214" s="2">
        <v>0</v>
      </c>
      <c r="V214" s="1" t="s">
        <v>160</v>
      </c>
      <c r="W214" s="2">
        <v>1.1200000000000001</v>
      </c>
    </row>
    <row r="215" spans="1:23">
      <c r="A215" s="4">
        <v>22</v>
      </c>
      <c r="B215" s="7" t="str">
        <f>VLOOKUP($A215,SkillEnum!$A$2:$C$1020,2,FALSE)</f>
        <v>SI_P_COMMON_REVERSAL_SOLDIER</v>
      </c>
      <c r="C215" s="7">
        <v>8</v>
      </c>
      <c r="D215" s="2" t="str">
        <f>VLOOKUP($C215,SkillEnum!$D$2:$E$10,2,FALSE)</f>
        <v>ST_PASSIVE</v>
      </c>
      <c r="E215" s="7" t="str">
        <f>VLOOKUP($A215,SkillEnum!$A$2:$C$1020,3,FALSE)</f>
        <v>역전의 용사</v>
      </c>
      <c r="F215" s="7" t="str">
        <f t="shared" si="33"/>
        <v>자신의 HP가 20 % 미만일 경우 공격력이 16 % 증가한다.</v>
      </c>
      <c r="G215" s="2">
        <v>4</v>
      </c>
      <c r="H215" s="2">
        <v>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 t="s">
        <v>433</v>
      </c>
      <c r="Q215" s="2" t="str">
        <f t="shared" si="31"/>
        <v>SI_P_COMMON_REVERSAL_SOLDIER</v>
      </c>
      <c r="R215" s="2" t="b">
        <v>0</v>
      </c>
      <c r="S215" s="2" t="b">
        <v>1</v>
      </c>
      <c r="T215" s="2">
        <v>0</v>
      </c>
      <c r="V215" s="1" t="s">
        <v>160</v>
      </c>
      <c r="W215" s="2">
        <v>1.1599999999999999</v>
      </c>
    </row>
    <row r="216" spans="1:23">
      <c r="A216" s="4">
        <v>22</v>
      </c>
      <c r="B216" s="7" t="str">
        <f>VLOOKUP($A216,SkillEnum!$A$2:$C$1020,2,FALSE)</f>
        <v>SI_P_COMMON_REVERSAL_SOLDIER</v>
      </c>
      <c r="C216" s="7">
        <v>8</v>
      </c>
      <c r="D216" s="2" t="str">
        <f>VLOOKUP($C216,SkillEnum!$D$2:$E$10,2,FALSE)</f>
        <v>ST_PASSIVE</v>
      </c>
      <c r="E216" s="7" t="str">
        <f>VLOOKUP($A216,SkillEnum!$A$2:$C$1020,3,FALSE)</f>
        <v>역전의 용사</v>
      </c>
      <c r="F216" s="7" t="str">
        <f t="shared" si="33"/>
        <v>자신의 HP가 20 % 미만일 경우 공격력이 20 % 증가한다.</v>
      </c>
      <c r="G216" s="2">
        <v>5</v>
      </c>
      <c r="H216" s="2">
        <v>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 t="s">
        <v>433</v>
      </c>
      <c r="Q216" s="2" t="str">
        <f t="shared" si="31"/>
        <v>SI_P_COMMON_REVERSAL_SOLDIER</v>
      </c>
      <c r="R216" s="2" t="b">
        <v>0</v>
      </c>
      <c r="S216" s="2" t="b">
        <v>1</v>
      </c>
      <c r="T216" s="2">
        <v>0</v>
      </c>
      <c r="V216" s="1" t="s">
        <v>160</v>
      </c>
      <c r="W216" s="2">
        <v>1.2</v>
      </c>
    </row>
    <row r="217" spans="1:23">
      <c r="A217" s="4">
        <v>22</v>
      </c>
      <c r="B217" s="7" t="str">
        <f>VLOOKUP($A217,SkillEnum!$A$2:$C$1020,2,FALSE)</f>
        <v>SI_P_COMMON_REVERSAL_SOLDIER</v>
      </c>
      <c r="C217" s="7">
        <v>8</v>
      </c>
      <c r="D217" s="2" t="str">
        <f>VLOOKUP($C217,SkillEnum!$D$2:$E$10,2,FALSE)</f>
        <v>ST_PASSIVE</v>
      </c>
      <c r="E217" s="7" t="str">
        <f>VLOOKUP($A217,SkillEnum!$A$2:$C$1020,3,FALSE)</f>
        <v>역전의 용사</v>
      </c>
      <c r="F217" s="7" t="str">
        <f t="shared" si="33"/>
        <v>자신의 HP가 20 % 미만일 경우 공격력이 24 % 증가한다.</v>
      </c>
      <c r="G217" s="2">
        <v>6</v>
      </c>
      <c r="H217" s="2">
        <v>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 t="s">
        <v>433</v>
      </c>
      <c r="Q217" s="2" t="str">
        <f t="shared" si="31"/>
        <v>SI_P_COMMON_REVERSAL_SOLDIER</v>
      </c>
      <c r="R217" s="2" t="b">
        <v>0</v>
      </c>
      <c r="S217" s="2" t="b">
        <v>1</v>
      </c>
      <c r="T217" s="2">
        <v>0</v>
      </c>
      <c r="V217" s="1" t="s">
        <v>160</v>
      </c>
      <c r="W217" s="2">
        <v>1.24</v>
      </c>
    </row>
    <row r="218" spans="1:23">
      <c r="A218" s="4">
        <v>22</v>
      </c>
      <c r="B218" s="7" t="str">
        <f>VLOOKUP($A218,SkillEnum!$A$2:$C$1020,2,FALSE)</f>
        <v>SI_P_COMMON_REVERSAL_SOLDIER</v>
      </c>
      <c r="C218" s="7">
        <v>8</v>
      </c>
      <c r="D218" s="2" t="str">
        <f>VLOOKUP($C218,SkillEnum!$D$2:$E$10,2,FALSE)</f>
        <v>ST_PASSIVE</v>
      </c>
      <c r="E218" s="7" t="str">
        <f>VLOOKUP($A218,SkillEnum!$A$2:$C$1020,3,FALSE)</f>
        <v>역전의 용사</v>
      </c>
      <c r="F218" s="7" t="str">
        <f t="shared" si="33"/>
        <v>자신의 HP가 20 % 미만일 경우 공격력이 28 % 증가한다.</v>
      </c>
      <c r="G218" s="2">
        <v>7</v>
      </c>
      <c r="H218" s="2">
        <v>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 t="s">
        <v>433</v>
      </c>
      <c r="Q218" s="2" t="str">
        <f t="shared" si="31"/>
        <v>SI_P_COMMON_REVERSAL_SOLDIER</v>
      </c>
      <c r="R218" s="2" t="b">
        <v>0</v>
      </c>
      <c r="S218" s="2" t="b">
        <v>1</v>
      </c>
      <c r="T218" s="2">
        <v>0</v>
      </c>
      <c r="V218" s="1" t="s">
        <v>160</v>
      </c>
      <c r="W218" s="2">
        <v>1.28</v>
      </c>
    </row>
    <row r="219" spans="1:23">
      <c r="A219" s="4">
        <v>22</v>
      </c>
      <c r="B219" s="7" t="str">
        <f>VLOOKUP($A219,SkillEnum!$A$2:$C$1020,2,FALSE)</f>
        <v>SI_P_COMMON_REVERSAL_SOLDIER</v>
      </c>
      <c r="C219" s="7">
        <v>8</v>
      </c>
      <c r="D219" s="2" t="str">
        <f>VLOOKUP($C219,SkillEnum!$D$2:$E$10,2,FALSE)</f>
        <v>ST_PASSIVE</v>
      </c>
      <c r="E219" s="7" t="str">
        <f>VLOOKUP($A219,SkillEnum!$A$2:$C$1020,3,FALSE)</f>
        <v>역전의 용사</v>
      </c>
      <c r="F219" s="7" t="str">
        <f t="shared" si="33"/>
        <v>자신의 HP가 20 % 미만일 경우 공격력이 32 % 증가한다.</v>
      </c>
      <c r="G219" s="2">
        <v>8</v>
      </c>
      <c r="H219" s="2">
        <v>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 t="s">
        <v>433</v>
      </c>
      <c r="Q219" s="2" t="str">
        <f t="shared" si="31"/>
        <v>SI_P_COMMON_REVERSAL_SOLDIER</v>
      </c>
      <c r="R219" s="2" t="b">
        <v>0</v>
      </c>
      <c r="S219" s="2" t="b">
        <v>1</v>
      </c>
      <c r="T219" s="2">
        <v>0</v>
      </c>
      <c r="V219" s="1" t="s">
        <v>160</v>
      </c>
      <c r="W219" s="2">
        <v>1.32</v>
      </c>
    </row>
    <row r="220" spans="1:23">
      <c r="A220" s="4">
        <v>22</v>
      </c>
      <c r="B220" s="7" t="str">
        <f>VLOOKUP($A220,SkillEnum!$A$2:$C$1020,2,FALSE)</f>
        <v>SI_P_COMMON_REVERSAL_SOLDIER</v>
      </c>
      <c r="C220" s="7">
        <v>8</v>
      </c>
      <c r="D220" s="2" t="str">
        <f>VLOOKUP($C220,SkillEnum!$D$2:$E$10,2,FALSE)</f>
        <v>ST_PASSIVE</v>
      </c>
      <c r="E220" s="7" t="str">
        <f>VLOOKUP($A220,SkillEnum!$A$2:$C$1020,3,FALSE)</f>
        <v>역전의 용사</v>
      </c>
      <c r="F220" s="7" t="str">
        <f t="shared" si="33"/>
        <v>자신의 HP가 20 % 미만일 경우 공격력이 36 % 증가한다.</v>
      </c>
      <c r="G220" s="2">
        <v>9</v>
      </c>
      <c r="H220" s="2">
        <v>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 t="s">
        <v>433</v>
      </c>
      <c r="Q220" s="2" t="str">
        <f t="shared" si="31"/>
        <v>SI_P_COMMON_REVERSAL_SOLDIER</v>
      </c>
      <c r="R220" s="2" t="b">
        <v>0</v>
      </c>
      <c r="S220" s="2" t="b">
        <v>1</v>
      </c>
      <c r="T220" s="2">
        <v>0</v>
      </c>
      <c r="V220" s="1" t="s">
        <v>160</v>
      </c>
      <c r="W220" s="2">
        <v>1.36</v>
      </c>
    </row>
    <row r="221" spans="1:23" s="5" customFormat="1">
      <c r="A221" s="6">
        <v>22</v>
      </c>
      <c r="B221" s="8" t="str">
        <f>VLOOKUP($A221,SkillEnum!$A$2:$C$1020,2,FALSE)</f>
        <v>SI_P_COMMON_REVERSAL_SOLDIER</v>
      </c>
      <c r="C221" s="8">
        <v>8</v>
      </c>
      <c r="D221" s="5" t="str">
        <f>VLOOKUP($C221,SkillEnum!$D$2:$E$10,2,FALSE)</f>
        <v>ST_PASSIVE</v>
      </c>
      <c r="E221" s="8" t="str">
        <f>VLOOKUP($A221,SkillEnum!$A$2:$C$1020,3,FALSE)</f>
        <v>역전의 용사</v>
      </c>
      <c r="F221" s="8" t="str">
        <f t="shared" si="33"/>
        <v>자신의 HP가 20 % 미만일 경우 공격력이 40 % 증가한다.</v>
      </c>
      <c r="G221" s="5">
        <v>10</v>
      </c>
      <c r="H221" s="5">
        <v>1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0</v>
      </c>
      <c r="O221" s="5">
        <v>0</v>
      </c>
      <c r="P221" s="2" t="s">
        <v>433</v>
      </c>
      <c r="Q221" s="2" t="str">
        <f t="shared" si="31"/>
        <v>SI_P_COMMON_REVERSAL_SOLDIER</v>
      </c>
      <c r="R221" s="5" t="b">
        <v>0</v>
      </c>
      <c r="S221" s="2" t="b">
        <v>1</v>
      </c>
      <c r="T221" s="2">
        <v>0</v>
      </c>
      <c r="U221" s="2"/>
      <c r="V221" s="5" t="s">
        <v>160</v>
      </c>
      <c r="W221" s="5">
        <v>1.4</v>
      </c>
    </row>
    <row r="222" spans="1:23">
      <c r="A222" s="4">
        <v>23</v>
      </c>
      <c r="B222" s="7" t="str">
        <f>VLOOKUP($A222,SkillEnum!$A$2:$C$1020,2,FALSE)</f>
        <v>SI_P_COMMON_INDUCE_DESIRE_WINNING</v>
      </c>
      <c r="C222" s="7">
        <v>8</v>
      </c>
      <c r="D222" s="2" t="str">
        <f>VLOOKUP($C222,SkillEnum!$D$2:$E$10,2,FALSE)</f>
        <v>ST_PASSIVE</v>
      </c>
      <c r="E222" s="11" t="str">
        <f>VLOOKUP($A222,SkillEnum!$A$2:$C$1020,3,FALSE)</f>
        <v>호승심 유발</v>
      </c>
      <c r="F222" s="11" t="str">
        <f t="shared" ref="F222:F231" si="34">"모든 공격의 다운 수치가 "&amp;ROUND((1-W222)*100,0)&amp;" % 감소한다."</f>
        <v>모든 공격의 다운 수치가 4 % 감소한다.</v>
      </c>
      <c r="G222" s="10">
        <v>1</v>
      </c>
      <c r="H222" s="2">
        <v>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 t="s">
        <v>433</v>
      </c>
      <c r="Q222" s="2" t="str">
        <f t="shared" si="31"/>
        <v>SI_P_COMMON_INDUCE_DESIRE_WINNING</v>
      </c>
      <c r="R222" s="2" t="b">
        <v>0</v>
      </c>
      <c r="S222" s="2" t="b">
        <v>1</v>
      </c>
      <c r="T222" s="2">
        <v>0</v>
      </c>
      <c r="V222" s="1" t="s">
        <v>179</v>
      </c>
      <c r="W222" s="2">
        <v>0.96</v>
      </c>
    </row>
    <row r="223" spans="1:23">
      <c r="A223" s="4">
        <v>23</v>
      </c>
      <c r="B223" s="7" t="str">
        <f>VLOOKUP($A223,SkillEnum!$A$2:$C$1020,2,FALSE)</f>
        <v>SI_P_COMMON_INDUCE_DESIRE_WINNING</v>
      </c>
      <c r="C223" s="7">
        <v>8</v>
      </c>
      <c r="D223" s="2" t="str">
        <f>VLOOKUP($C223,SkillEnum!$D$2:$E$10,2,FALSE)</f>
        <v>ST_PASSIVE</v>
      </c>
      <c r="E223" s="7" t="str">
        <f>VLOOKUP($A223,SkillEnum!$A$2:$C$1020,3,FALSE)</f>
        <v>호승심 유발</v>
      </c>
      <c r="F223" s="7" t="str">
        <f t="shared" si="34"/>
        <v>모든 공격의 다운 수치가 8 % 감소한다.</v>
      </c>
      <c r="G223" s="2">
        <v>2</v>
      </c>
      <c r="H223" s="2">
        <v>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  <c r="P223" s="2" t="s">
        <v>433</v>
      </c>
      <c r="Q223" s="2" t="str">
        <f t="shared" si="31"/>
        <v>SI_P_COMMON_INDUCE_DESIRE_WINNING</v>
      </c>
      <c r="R223" s="2" t="b">
        <v>0</v>
      </c>
      <c r="S223" s="2" t="b">
        <v>1</v>
      </c>
      <c r="T223" s="2">
        <v>0</v>
      </c>
      <c r="V223" s="1" t="s">
        <v>179</v>
      </c>
      <c r="W223" s="2">
        <v>0.92</v>
      </c>
    </row>
    <row r="224" spans="1:23">
      <c r="A224" s="4">
        <v>23</v>
      </c>
      <c r="B224" s="7" t="str">
        <f>VLOOKUP($A224,SkillEnum!$A$2:$C$1020,2,FALSE)</f>
        <v>SI_P_COMMON_INDUCE_DESIRE_WINNING</v>
      </c>
      <c r="C224" s="7">
        <v>8</v>
      </c>
      <c r="D224" s="2" t="str">
        <f>VLOOKUP($C224,SkillEnum!$D$2:$E$10,2,FALSE)</f>
        <v>ST_PASSIVE</v>
      </c>
      <c r="E224" s="7" t="str">
        <f>VLOOKUP($A224,SkillEnum!$A$2:$C$1020,3,FALSE)</f>
        <v>호승심 유발</v>
      </c>
      <c r="F224" s="7" t="str">
        <f t="shared" si="34"/>
        <v>모든 공격의 다운 수치가 12 % 감소한다.</v>
      </c>
      <c r="G224" s="2">
        <v>3</v>
      </c>
      <c r="H224" s="2">
        <v>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 t="s">
        <v>433</v>
      </c>
      <c r="Q224" s="2" t="str">
        <f t="shared" si="31"/>
        <v>SI_P_COMMON_INDUCE_DESIRE_WINNING</v>
      </c>
      <c r="R224" s="2" t="b">
        <v>0</v>
      </c>
      <c r="S224" s="2" t="b">
        <v>1</v>
      </c>
      <c r="T224" s="2">
        <v>0</v>
      </c>
      <c r="V224" s="1" t="s">
        <v>179</v>
      </c>
      <c r="W224" s="2">
        <v>0.88</v>
      </c>
    </row>
    <row r="225" spans="1:25">
      <c r="A225" s="4">
        <v>23</v>
      </c>
      <c r="B225" s="7" t="str">
        <f>VLOOKUP($A225,SkillEnum!$A$2:$C$1020,2,FALSE)</f>
        <v>SI_P_COMMON_INDUCE_DESIRE_WINNING</v>
      </c>
      <c r="C225" s="7">
        <v>8</v>
      </c>
      <c r="D225" s="2" t="str">
        <f>VLOOKUP($C225,SkillEnum!$D$2:$E$10,2,FALSE)</f>
        <v>ST_PASSIVE</v>
      </c>
      <c r="E225" s="7" t="str">
        <f>VLOOKUP($A225,SkillEnum!$A$2:$C$1020,3,FALSE)</f>
        <v>호승심 유발</v>
      </c>
      <c r="F225" s="7" t="str">
        <f t="shared" si="34"/>
        <v>모든 공격의 다운 수치가 16 % 감소한다.</v>
      </c>
      <c r="G225" s="2">
        <v>4</v>
      </c>
      <c r="H225" s="2">
        <v>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 t="s">
        <v>433</v>
      </c>
      <c r="Q225" s="2" t="str">
        <f t="shared" si="31"/>
        <v>SI_P_COMMON_INDUCE_DESIRE_WINNING</v>
      </c>
      <c r="R225" s="2" t="b">
        <v>0</v>
      </c>
      <c r="S225" s="2" t="b">
        <v>1</v>
      </c>
      <c r="T225" s="2">
        <v>0</v>
      </c>
      <c r="V225" s="1" t="s">
        <v>179</v>
      </c>
      <c r="W225" s="2">
        <v>0.84</v>
      </c>
    </row>
    <row r="226" spans="1:25">
      <c r="A226" s="4">
        <v>23</v>
      </c>
      <c r="B226" s="7" t="str">
        <f>VLOOKUP($A226,SkillEnum!$A$2:$C$1020,2,FALSE)</f>
        <v>SI_P_COMMON_INDUCE_DESIRE_WINNING</v>
      </c>
      <c r="C226" s="7">
        <v>8</v>
      </c>
      <c r="D226" s="2" t="str">
        <f>VLOOKUP($C226,SkillEnum!$D$2:$E$10,2,FALSE)</f>
        <v>ST_PASSIVE</v>
      </c>
      <c r="E226" s="7" t="str">
        <f>VLOOKUP($A226,SkillEnum!$A$2:$C$1020,3,FALSE)</f>
        <v>호승심 유발</v>
      </c>
      <c r="F226" s="7" t="str">
        <f t="shared" si="34"/>
        <v>모든 공격의 다운 수치가 20 % 감소한다.</v>
      </c>
      <c r="G226" s="2">
        <v>5</v>
      </c>
      <c r="H226" s="2">
        <v>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 t="s">
        <v>433</v>
      </c>
      <c r="Q226" s="2" t="str">
        <f t="shared" si="31"/>
        <v>SI_P_COMMON_INDUCE_DESIRE_WINNING</v>
      </c>
      <c r="R226" s="2" t="b">
        <v>0</v>
      </c>
      <c r="S226" s="2" t="b">
        <v>1</v>
      </c>
      <c r="T226" s="2">
        <v>0</v>
      </c>
      <c r="V226" s="1" t="s">
        <v>179</v>
      </c>
      <c r="W226" s="2">
        <v>0.8</v>
      </c>
    </row>
    <row r="227" spans="1:25">
      <c r="A227" s="4">
        <v>23</v>
      </c>
      <c r="B227" s="7" t="str">
        <f>VLOOKUP($A227,SkillEnum!$A$2:$C$1020,2,FALSE)</f>
        <v>SI_P_COMMON_INDUCE_DESIRE_WINNING</v>
      </c>
      <c r="C227" s="7">
        <v>8</v>
      </c>
      <c r="D227" s="2" t="str">
        <f>VLOOKUP($C227,SkillEnum!$D$2:$E$10,2,FALSE)</f>
        <v>ST_PASSIVE</v>
      </c>
      <c r="E227" s="7" t="str">
        <f>VLOOKUP($A227,SkillEnum!$A$2:$C$1020,3,FALSE)</f>
        <v>호승심 유발</v>
      </c>
      <c r="F227" s="7" t="str">
        <f t="shared" si="34"/>
        <v>모든 공격의 다운 수치가 24 % 감소한다.</v>
      </c>
      <c r="G227" s="2">
        <v>6</v>
      </c>
      <c r="H227" s="2">
        <v>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 t="s">
        <v>433</v>
      </c>
      <c r="Q227" s="2" t="str">
        <f t="shared" si="31"/>
        <v>SI_P_COMMON_INDUCE_DESIRE_WINNING</v>
      </c>
      <c r="R227" s="2" t="b">
        <v>0</v>
      </c>
      <c r="S227" s="2" t="b">
        <v>1</v>
      </c>
      <c r="T227" s="2">
        <v>0</v>
      </c>
      <c r="V227" s="1" t="s">
        <v>179</v>
      </c>
      <c r="W227" s="2">
        <v>0.76</v>
      </c>
    </row>
    <row r="228" spans="1:25">
      <c r="A228" s="4">
        <v>23</v>
      </c>
      <c r="B228" s="7" t="str">
        <f>VLOOKUP($A228,SkillEnum!$A$2:$C$1020,2,FALSE)</f>
        <v>SI_P_COMMON_INDUCE_DESIRE_WINNING</v>
      </c>
      <c r="C228" s="7">
        <v>8</v>
      </c>
      <c r="D228" s="2" t="str">
        <f>VLOOKUP($C228,SkillEnum!$D$2:$E$10,2,FALSE)</f>
        <v>ST_PASSIVE</v>
      </c>
      <c r="E228" s="7" t="str">
        <f>VLOOKUP($A228,SkillEnum!$A$2:$C$1020,3,FALSE)</f>
        <v>호승심 유발</v>
      </c>
      <c r="F228" s="7" t="str">
        <f t="shared" si="34"/>
        <v>모든 공격의 다운 수치가 28 % 감소한다.</v>
      </c>
      <c r="G228" s="2">
        <v>7</v>
      </c>
      <c r="H228" s="2">
        <v>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 t="s">
        <v>433</v>
      </c>
      <c r="Q228" s="2" t="str">
        <f t="shared" si="31"/>
        <v>SI_P_COMMON_INDUCE_DESIRE_WINNING</v>
      </c>
      <c r="R228" s="2" t="b">
        <v>0</v>
      </c>
      <c r="S228" s="2" t="b">
        <v>1</v>
      </c>
      <c r="T228" s="2">
        <v>0</v>
      </c>
      <c r="V228" s="1" t="s">
        <v>179</v>
      </c>
      <c r="W228" s="2">
        <v>0.72</v>
      </c>
    </row>
    <row r="229" spans="1:25">
      <c r="A229" s="4">
        <v>23</v>
      </c>
      <c r="B229" s="7" t="str">
        <f>VLOOKUP($A229,SkillEnum!$A$2:$C$1020,2,FALSE)</f>
        <v>SI_P_COMMON_INDUCE_DESIRE_WINNING</v>
      </c>
      <c r="C229" s="7">
        <v>8</v>
      </c>
      <c r="D229" s="2" t="str">
        <f>VLOOKUP($C229,SkillEnum!$D$2:$E$10,2,FALSE)</f>
        <v>ST_PASSIVE</v>
      </c>
      <c r="E229" s="7" t="str">
        <f>VLOOKUP($A229,SkillEnum!$A$2:$C$1020,3,FALSE)</f>
        <v>호승심 유발</v>
      </c>
      <c r="F229" s="7" t="str">
        <f t="shared" si="34"/>
        <v>모든 공격의 다운 수치가 32 % 감소한다.</v>
      </c>
      <c r="G229" s="2">
        <v>8</v>
      </c>
      <c r="H229" s="2">
        <v>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 t="s">
        <v>433</v>
      </c>
      <c r="Q229" s="2" t="str">
        <f t="shared" si="31"/>
        <v>SI_P_COMMON_INDUCE_DESIRE_WINNING</v>
      </c>
      <c r="R229" s="2" t="b">
        <v>0</v>
      </c>
      <c r="S229" s="2" t="b">
        <v>1</v>
      </c>
      <c r="T229" s="2">
        <v>0</v>
      </c>
      <c r="V229" s="1" t="s">
        <v>179</v>
      </c>
      <c r="W229" s="2">
        <v>0.68</v>
      </c>
    </row>
    <row r="230" spans="1:25">
      <c r="A230" s="4">
        <v>23</v>
      </c>
      <c r="B230" s="7" t="str">
        <f>VLOOKUP($A230,SkillEnum!$A$2:$C$1020,2,FALSE)</f>
        <v>SI_P_COMMON_INDUCE_DESIRE_WINNING</v>
      </c>
      <c r="C230" s="7">
        <v>8</v>
      </c>
      <c r="D230" s="2" t="str">
        <f>VLOOKUP($C230,SkillEnum!$D$2:$E$10,2,FALSE)</f>
        <v>ST_PASSIVE</v>
      </c>
      <c r="E230" s="7" t="str">
        <f>VLOOKUP($A230,SkillEnum!$A$2:$C$1020,3,FALSE)</f>
        <v>호승심 유발</v>
      </c>
      <c r="F230" s="7" t="str">
        <f t="shared" si="34"/>
        <v>모든 공격의 다운 수치가 36 % 감소한다.</v>
      </c>
      <c r="G230" s="2">
        <v>9</v>
      </c>
      <c r="H230" s="2">
        <v>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 t="s">
        <v>433</v>
      </c>
      <c r="Q230" s="2" t="str">
        <f t="shared" si="31"/>
        <v>SI_P_COMMON_INDUCE_DESIRE_WINNING</v>
      </c>
      <c r="R230" s="2" t="b">
        <v>0</v>
      </c>
      <c r="S230" s="2" t="b">
        <v>1</v>
      </c>
      <c r="T230" s="2">
        <v>0</v>
      </c>
      <c r="V230" s="1" t="s">
        <v>179</v>
      </c>
      <c r="W230" s="2">
        <v>0.64</v>
      </c>
    </row>
    <row r="231" spans="1:25" s="5" customFormat="1">
      <c r="A231" s="6">
        <v>23</v>
      </c>
      <c r="B231" s="8" t="str">
        <f>VLOOKUP($A231,SkillEnum!$A$2:$C$1020,2,FALSE)</f>
        <v>SI_P_COMMON_INDUCE_DESIRE_WINNING</v>
      </c>
      <c r="C231" s="8">
        <v>8</v>
      </c>
      <c r="D231" s="5" t="str">
        <f>VLOOKUP($C231,SkillEnum!$D$2:$E$10,2,FALSE)</f>
        <v>ST_PASSIVE</v>
      </c>
      <c r="E231" s="8" t="str">
        <f>VLOOKUP($A231,SkillEnum!$A$2:$C$1020,3,FALSE)</f>
        <v>호승심 유발</v>
      </c>
      <c r="F231" s="8" t="str">
        <f t="shared" si="34"/>
        <v>모든 공격의 다운 수치가 40 % 감소한다.</v>
      </c>
      <c r="G231" s="5">
        <v>10</v>
      </c>
      <c r="H231" s="5">
        <v>1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2" t="s">
        <v>433</v>
      </c>
      <c r="Q231" s="2" t="str">
        <f t="shared" si="31"/>
        <v>SI_P_COMMON_INDUCE_DESIRE_WINNING</v>
      </c>
      <c r="R231" s="5" t="b">
        <v>0</v>
      </c>
      <c r="S231" s="2" t="b">
        <v>1</v>
      </c>
      <c r="T231" s="2">
        <v>0</v>
      </c>
      <c r="U231" s="2"/>
      <c r="V231" s="5" t="s">
        <v>179</v>
      </c>
      <c r="W231" s="5">
        <v>0.6</v>
      </c>
    </row>
    <row r="232" spans="1:25">
      <c r="A232" s="4">
        <v>24</v>
      </c>
      <c r="B232" s="7" t="str">
        <f>VLOOKUP($A232,SkillEnum!$A$2:$C$1020,2,FALSE)</f>
        <v>SI_P_COMMON_REFINED_STEP</v>
      </c>
      <c r="C232" s="7">
        <v>8</v>
      </c>
      <c r="D232" s="2" t="str">
        <f>VLOOKUP($C232,SkillEnum!$D$2:$E$10,2,FALSE)</f>
        <v>ST_PASSIVE</v>
      </c>
      <c r="E232" s="11" t="str">
        <f>VLOOKUP($A232,SkillEnum!$A$2:$C$1020,3,FALSE)</f>
        <v>우아한 발걸음</v>
      </c>
      <c r="F232" s="11" t="str">
        <f t="shared" ref="F232:F241" si="35">"기본 이동속도와 기본 점프속도가 "&amp;ROUND((W232-1)*100,0)&amp;" % 증가한다. (아이템 효과와 별개)"</f>
        <v>기본 이동속도와 기본 점프속도가 1 % 증가한다. (아이템 효과와 별개)</v>
      </c>
      <c r="G232" s="10">
        <v>1</v>
      </c>
      <c r="H232" s="2">
        <v>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 t="s">
        <v>433</v>
      </c>
      <c r="Q232" s="2" t="str">
        <f t="shared" si="31"/>
        <v>SI_P_COMMON_REFINED_STEP</v>
      </c>
      <c r="R232" s="2" t="b">
        <v>0</v>
      </c>
      <c r="S232" s="2" t="b">
        <v>1</v>
      </c>
      <c r="T232" s="2">
        <v>0</v>
      </c>
      <c r="V232" s="1" t="s">
        <v>174</v>
      </c>
      <c r="W232" s="2">
        <v>1.01</v>
      </c>
      <c r="X232" s="1" t="s">
        <v>175</v>
      </c>
      <c r="Y232" s="2">
        <f>W232</f>
        <v>1.01</v>
      </c>
    </row>
    <row r="233" spans="1:25">
      <c r="A233" s="4">
        <v>24</v>
      </c>
      <c r="B233" s="7" t="str">
        <f>VLOOKUP($A233,SkillEnum!$A$2:$C$1020,2,FALSE)</f>
        <v>SI_P_COMMON_REFINED_STEP</v>
      </c>
      <c r="C233" s="7">
        <v>8</v>
      </c>
      <c r="D233" s="2" t="str">
        <f>VLOOKUP($C233,SkillEnum!$D$2:$E$10,2,FALSE)</f>
        <v>ST_PASSIVE</v>
      </c>
      <c r="E233" s="7" t="str">
        <f>VLOOKUP($A233,SkillEnum!$A$2:$C$1020,3,FALSE)</f>
        <v>우아한 발걸음</v>
      </c>
      <c r="F233" s="7" t="str">
        <f t="shared" si="35"/>
        <v>기본 이동속도와 기본 점프속도가 2 % 증가한다. (아이템 효과와 별개)</v>
      </c>
      <c r="G233" s="2">
        <v>2</v>
      </c>
      <c r="H233" s="2">
        <v>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 t="s">
        <v>433</v>
      </c>
      <c r="Q233" s="2" t="str">
        <f t="shared" si="31"/>
        <v>SI_P_COMMON_REFINED_STEP</v>
      </c>
      <c r="R233" s="2" t="b">
        <v>0</v>
      </c>
      <c r="S233" s="2" t="b">
        <v>1</v>
      </c>
      <c r="T233" s="2">
        <v>0</v>
      </c>
      <c r="V233" s="1" t="s">
        <v>174</v>
      </c>
      <c r="W233" s="2">
        <v>1.02</v>
      </c>
      <c r="X233" s="1" t="s">
        <v>175</v>
      </c>
      <c r="Y233" s="2">
        <f t="shared" ref="Y233:Y241" si="36">W233</f>
        <v>1.02</v>
      </c>
    </row>
    <row r="234" spans="1:25">
      <c r="A234" s="4">
        <v>24</v>
      </c>
      <c r="B234" s="7" t="str">
        <f>VLOOKUP($A234,SkillEnum!$A$2:$C$1020,2,FALSE)</f>
        <v>SI_P_COMMON_REFINED_STEP</v>
      </c>
      <c r="C234" s="7">
        <v>8</v>
      </c>
      <c r="D234" s="2" t="str">
        <f>VLOOKUP($C234,SkillEnum!$D$2:$E$10,2,FALSE)</f>
        <v>ST_PASSIVE</v>
      </c>
      <c r="E234" s="7" t="str">
        <f>VLOOKUP($A234,SkillEnum!$A$2:$C$1020,3,FALSE)</f>
        <v>우아한 발걸음</v>
      </c>
      <c r="F234" s="7" t="str">
        <f t="shared" si="35"/>
        <v>기본 이동속도와 기본 점프속도가 3 % 증가한다. (아이템 효과와 별개)</v>
      </c>
      <c r="G234" s="2">
        <v>3</v>
      </c>
      <c r="H234" s="2">
        <v>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 t="s">
        <v>433</v>
      </c>
      <c r="Q234" s="2" t="str">
        <f t="shared" si="31"/>
        <v>SI_P_COMMON_REFINED_STEP</v>
      </c>
      <c r="R234" s="2" t="b">
        <v>0</v>
      </c>
      <c r="S234" s="2" t="b">
        <v>1</v>
      </c>
      <c r="T234" s="2">
        <v>0</v>
      </c>
      <c r="V234" s="1" t="s">
        <v>174</v>
      </c>
      <c r="W234" s="2">
        <v>1.03</v>
      </c>
      <c r="X234" s="1" t="s">
        <v>175</v>
      </c>
      <c r="Y234" s="2">
        <f t="shared" si="36"/>
        <v>1.03</v>
      </c>
    </row>
    <row r="235" spans="1:25">
      <c r="A235" s="4">
        <v>24</v>
      </c>
      <c r="B235" s="7" t="str">
        <f>VLOOKUP($A235,SkillEnum!$A$2:$C$1020,2,FALSE)</f>
        <v>SI_P_COMMON_REFINED_STEP</v>
      </c>
      <c r="C235" s="7">
        <v>8</v>
      </c>
      <c r="D235" s="2" t="str">
        <f>VLOOKUP($C235,SkillEnum!$D$2:$E$10,2,FALSE)</f>
        <v>ST_PASSIVE</v>
      </c>
      <c r="E235" s="7" t="str">
        <f>VLOOKUP($A235,SkillEnum!$A$2:$C$1020,3,FALSE)</f>
        <v>우아한 발걸음</v>
      </c>
      <c r="F235" s="7" t="str">
        <f t="shared" si="35"/>
        <v>기본 이동속도와 기본 점프속도가 4 % 증가한다. (아이템 효과와 별개)</v>
      </c>
      <c r="G235" s="2">
        <v>4</v>
      </c>
      <c r="H235" s="2">
        <v>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 t="s">
        <v>433</v>
      </c>
      <c r="Q235" s="2" t="str">
        <f t="shared" si="31"/>
        <v>SI_P_COMMON_REFINED_STEP</v>
      </c>
      <c r="R235" s="2" t="b">
        <v>0</v>
      </c>
      <c r="S235" s="2" t="b">
        <v>1</v>
      </c>
      <c r="T235" s="2">
        <v>0</v>
      </c>
      <c r="V235" s="1" t="s">
        <v>174</v>
      </c>
      <c r="W235" s="2">
        <v>1.04</v>
      </c>
      <c r="X235" s="1" t="s">
        <v>175</v>
      </c>
      <c r="Y235" s="2">
        <f t="shared" si="36"/>
        <v>1.04</v>
      </c>
    </row>
    <row r="236" spans="1:25">
      <c r="A236" s="4">
        <v>24</v>
      </c>
      <c r="B236" s="7" t="str">
        <f>VLOOKUP($A236,SkillEnum!$A$2:$C$1020,2,FALSE)</f>
        <v>SI_P_COMMON_REFINED_STEP</v>
      </c>
      <c r="C236" s="7">
        <v>8</v>
      </c>
      <c r="D236" s="2" t="str">
        <f>VLOOKUP($C236,SkillEnum!$D$2:$E$10,2,FALSE)</f>
        <v>ST_PASSIVE</v>
      </c>
      <c r="E236" s="7" t="str">
        <f>VLOOKUP($A236,SkillEnum!$A$2:$C$1020,3,FALSE)</f>
        <v>우아한 발걸음</v>
      </c>
      <c r="F236" s="7" t="str">
        <f t="shared" si="35"/>
        <v>기본 이동속도와 기본 점프속도가 5 % 증가한다. (아이템 효과와 별개)</v>
      </c>
      <c r="G236" s="2">
        <v>5</v>
      </c>
      <c r="H236" s="2">
        <v>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 t="s">
        <v>433</v>
      </c>
      <c r="Q236" s="2" t="str">
        <f t="shared" si="31"/>
        <v>SI_P_COMMON_REFINED_STEP</v>
      </c>
      <c r="R236" s="2" t="b">
        <v>0</v>
      </c>
      <c r="S236" s="2" t="b">
        <v>1</v>
      </c>
      <c r="T236" s="2">
        <v>0</v>
      </c>
      <c r="V236" s="1" t="s">
        <v>174</v>
      </c>
      <c r="W236" s="2">
        <v>1.05</v>
      </c>
      <c r="X236" s="1" t="s">
        <v>175</v>
      </c>
      <c r="Y236" s="2">
        <f t="shared" si="36"/>
        <v>1.05</v>
      </c>
    </row>
    <row r="237" spans="1:25">
      <c r="A237" s="4">
        <v>24</v>
      </c>
      <c r="B237" s="7" t="str">
        <f>VLOOKUP($A237,SkillEnum!$A$2:$C$1020,2,FALSE)</f>
        <v>SI_P_COMMON_REFINED_STEP</v>
      </c>
      <c r="C237" s="7">
        <v>8</v>
      </c>
      <c r="D237" s="2" t="str">
        <f>VLOOKUP($C237,SkillEnum!$D$2:$E$10,2,FALSE)</f>
        <v>ST_PASSIVE</v>
      </c>
      <c r="E237" s="7" t="str">
        <f>VLOOKUP($A237,SkillEnum!$A$2:$C$1020,3,FALSE)</f>
        <v>우아한 발걸음</v>
      </c>
      <c r="F237" s="7" t="str">
        <f t="shared" si="35"/>
        <v>기본 이동속도와 기본 점프속도가 6 % 증가한다. (아이템 효과와 별개)</v>
      </c>
      <c r="G237" s="2">
        <v>6</v>
      </c>
      <c r="H237" s="2">
        <v>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 t="s">
        <v>433</v>
      </c>
      <c r="Q237" s="2" t="str">
        <f t="shared" si="31"/>
        <v>SI_P_COMMON_REFINED_STEP</v>
      </c>
      <c r="R237" s="2" t="b">
        <v>0</v>
      </c>
      <c r="S237" s="2" t="b">
        <v>1</v>
      </c>
      <c r="T237" s="2">
        <v>0</v>
      </c>
      <c r="V237" s="1" t="s">
        <v>174</v>
      </c>
      <c r="W237" s="2">
        <v>1.06</v>
      </c>
      <c r="X237" s="1" t="s">
        <v>175</v>
      </c>
      <c r="Y237" s="2">
        <f t="shared" si="36"/>
        <v>1.06</v>
      </c>
    </row>
    <row r="238" spans="1:25">
      <c r="A238" s="4">
        <v>24</v>
      </c>
      <c r="B238" s="7" t="str">
        <f>VLOOKUP($A238,SkillEnum!$A$2:$C$1020,2,FALSE)</f>
        <v>SI_P_COMMON_REFINED_STEP</v>
      </c>
      <c r="C238" s="7">
        <v>8</v>
      </c>
      <c r="D238" s="2" t="str">
        <f>VLOOKUP($C238,SkillEnum!$D$2:$E$10,2,FALSE)</f>
        <v>ST_PASSIVE</v>
      </c>
      <c r="E238" s="7" t="str">
        <f>VLOOKUP($A238,SkillEnum!$A$2:$C$1020,3,FALSE)</f>
        <v>우아한 발걸음</v>
      </c>
      <c r="F238" s="7" t="str">
        <f t="shared" si="35"/>
        <v>기본 이동속도와 기본 점프속도가 7 % 증가한다. (아이템 효과와 별개)</v>
      </c>
      <c r="G238" s="2">
        <v>7</v>
      </c>
      <c r="H238" s="2">
        <v>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 t="s">
        <v>433</v>
      </c>
      <c r="Q238" s="2" t="str">
        <f t="shared" si="31"/>
        <v>SI_P_COMMON_REFINED_STEP</v>
      </c>
      <c r="R238" s="2" t="b">
        <v>0</v>
      </c>
      <c r="S238" s="2" t="b">
        <v>1</v>
      </c>
      <c r="T238" s="2">
        <v>0</v>
      </c>
      <c r="V238" s="1" t="s">
        <v>174</v>
      </c>
      <c r="W238" s="2">
        <v>1.07</v>
      </c>
      <c r="X238" s="1" t="s">
        <v>175</v>
      </c>
      <c r="Y238" s="2">
        <f t="shared" si="36"/>
        <v>1.07</v>
      </c>
    </row>
    <row r="239" spans="1:25">
      <c r="A239" s="4">
        <v>24</v>
      </c>
      <c r="B239" s="7" t="str">
        <f>VLOOKUP($A239,SkillEnum!$A$2:$C$1020,2,FALSE)</f>
        <v>SI_P_COMMON_REFINED_STEP</v>
      </c>
      <c r="C239" s="7">
        <v>8</v>
      </c>
      <c r="D239" s="2" t="str">
        <f>VLOOKUP($C239,SkillEnum!$D$2:$E$10,2,FALSE)</f>
        <v>ST_PASSIVE</v>
      </c>
      <c r="E239" s="7" t="str">
        <f>VLOOKUP($A239,SkillEnum!$A$2:$C$1020,3,FALSE)</f>
        <v>우아한 발걸음</v>
      </c>
      <c r="F239" s="7" t="str">
        <f t="shared" si="35"/>
        <v>기본 이동속도와 기본 점프속도가 8 % 증가한다. (아이템 효과와 별개)</v>
      </c>
      <c r="G239" s="2">
        <v>8</v>
      </c>
      <c r="H239" s="2">
        <v>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 t="s">
        <v>433</v>
      </c>
      <c r="Q239" s="2" t="str">
        <f t="shared" si="31"/>
        <v>SI_P_COMMON_REFINED_STEP</v>
      </c>
      <c r="R239" s="2" t="b">
        <v>0</v>
      </c>
      <c r="S239" s="2" t="b">
        <v>1</v>
      </c>
      <c r="T239" s="2">
        <v>0</v>
      </c>
      <c r="V239" s="1" t="s">
        <v>174</v>
      </c>
      <c r="W239" s="2">
        <v>1.08</v>
      </c>
      <c r="X239" s="1" t="s">
        <v>175</v>
      </c>
      <c r="Y239" s="2">
        <f t="shared" si="36"/>
        <v>1.08</v>
      </c>
    </row>
    <row r="240" spans="1:25">
      <c r="A240" s="4">
        <v>24</v>
      </c>
      <c r="B240" s="7" t="str">
        <f>VLOOKUP($A240,SkillEnum!$A$2:$C$1020,2,FALSE)</f>
        <v>SI_P_COMMON_REFINED_STEP</v>
      </c>
      <c r="C240" s="7">
        <v>8</v>
      </c>
      <c r="D240" s="2" t="str">
        <f>VLOOKUP($C240,SkillEnum!$D$2:$E$10,2,FALSE)</f>
        <v>ST_PASSIVE</v>
      </c>
      <c r="E240" s="7" t="str">
        <f>VLOOKUP($A240,SkillEnum!$A$2:$C$1020,3,FALSE)</f>
        <v>우아한 발걸음</v>
      </c>
      <c r="F240" s="7" t="str">
        <f t="shared" si="35"/>
        <v>기본 이동속도와 기본 점프속도가 9 % 증가한다. (아이템 효과와 별개)</v>
      </c>
      <c r="G240" s="2">
        <v>9</v>
      </c>
      <c r="H240" s="2">
        <v>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 t="s">
        <v>433</v>
      </c>
      <c r="Q240" s="2" t="str">
        <f t="shared" si="31"/>
        <v>SI_P_COMMON_REFINED_STEP</v>
      </c>
      <c r="R240" s="2" t="b">
        <v>0</v>
      </c>
      <c r="S240" s="2" t="b">
        <v>1</v>
      </c>
      <c r="T240" s="2">
        <v>0</v>
      </c>
      <c r="V240" s="1" t="s">
        <v>174</v>
      </c>
      <c r="W240" s="2">
        <v>1.0900000000000001</v>
      </c>
      <c r="X240" s="1" t="s">
        <v>175</v>
      </c>
      <c r="Y240" s="2">
        <f t="shared" si="36"/>
        <v>1.0900000000000001</v>
      </c>
    </row>
    <row r="241" spans="1:25" s="5" customFormat="1">
      <c r="A241" s="6">
        <v>24</v>
      </c>
      <c r="B241" s="8" t="str">
        <f>VLOOKUP($A241,SkillEnum!$A$2:$C$1020,2,FALSE)</f>
        <v>SI_P_COMMON_REFINED_STEP</v>
      </c>
      <c r="C241" s="8">
        <v>8</v>
      </c>
      <c r="D241" s="5" t="str">
        <f>VLOOKUP($C241,SkillEnum!$D$2:$E$10,2,FALSE)</f>
        <v>ST_PASSIVE</v>
      </c>
      <c r="E241" s="8" t="str">
        <f>VLOOKUP($A241,SkillEnum!$A$2:$C$1020,3,FALSE)</f>
        <v>우아한 발걸음</v>
      </c>
      <c r="F241" s="8" t="str">
        <f t="shared" si="35"/>
        <v>기본 이동속도와 기본 점프속도가 10 % 증가한다. (아이템 효과와 별개)</v>
      </c>
      <c r="G241" s="5">
        <v>10</v>
      </c>
      <c r="H241" s="5">
        <v>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2" t="s">
        <v>433</v>
      </c>
      <c r="Q241" s="2" t="str">
        <f t="shared" si="31"/>
        <v>SI_P_COMMON_REFINED_STEP</v>
      </c>
      <c r="R241" s="5" t="b">
        <v>0</v>
      </c>
      <c r="S241" s="2" t="b">
        <v>1</v>
      </c>
      <c r="T241" s="2">
        <v>0</v>
      </c>
      <c r="U241" s="2"/>
      <c r="V241" s="5" t="s">
        <v>174</v>
      </c>
      <c r="W241" s="5">
        <v>1.1000000000000001</v>
      </c>
      <c r="X241" s="5" t="s">
        <v>175</v>
      </c>
      <c r="Y241" s="5">
        <f t="shared" si="36"/>
        <v>1.1000000000000001</v>
      </c>
    </row>
    <row r="242" spans="1:25">
      <c r="A242" s="4">
        <v>300</v>
      </c>
      <c r="B242" s="7" t="str">
        <f>VLOOKUP($A242,SkillEnum!$A$2:$C$1020,2,FALSE)</f>
        <v>SI_SA_COMMON_POWER_ACCEL</v>
      </c>
      <c r="C242" s="7">
        <v>5</v>
      </c>
      <c r="D242" s="2" t="str">
        <f>VLOOKUP($C242,SkillEnum!$D$2:$E$10,2,FALSE)</f>
        <v>ST_BUFF</v>
      </c>
      <c r="E242" s="11" t="str">
        <f>VLOOKUP($A242,SkillEnum!$A$2:$C$1020,3,FALSE)</f>
        <v>파워 액셀레이터</v>
      </c>
      <c r="F242" s="11" t="str">
        <f t="shared" ref="F242:F251" si="37">Y242&amp;" 초 동안 물리 공격력을 "&amp;ROUND((W242-1)*100,0)&amp;" % 증가 시킨다. (모든 공격력 계열 버프는 중복 되지 않습니다.)"</f>
        <v>25 초 동안 물리 공격력을 20 % 증가 시킨다. (모든 공격력 계열 버프는 중복 되지 않습니다.)</v>
      </c>
      <c r="G242" s="10">
        <v>1</v>
      </c>
      <c r="H242" s="2">
        <v>1</v>
      </c>
      <c r="I242" s="2">
        <v>10</v>
      </c>
      <c r="J242" s="2">
        <v>70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 t="s">
        <v>434</v>
      </c>
      <c r="Q242" s="2" t="str">
        <f t="shared" si="31"/>
        <v>SI_SA_COMMON_POWER_ACCEL</v>
      </c>
      <c r="R242" s="2" t="b">
        <v>0</v>
      </c>
      <c r="S242" s="2" t="b">
        <v>1</v>
      </c>
      <c r="T242" s="2">
        <v>1</v>
      </c>
      <c r="V242" s="1" t="s">
        <v>138</v>
      </c>
      <c r="W242" s="2">
        <v>1.2</v>
      </c>
      <c r="X242" s="1" t="s">
        <v>153</v>
      </c>
      <c r="Y242" s="2">
        <v>25</v>
      </c>
    </row>
    <row r="243" spans="1:25">
      <c r="A243" s="4">
        <v>300</v>
      </c>
      <c r="B243" s="7" t="str">
        <f>VLOOKUP($A243,SkillEnum!$A$2:$C$1020,2,FALSE)</f>
        <v>SI_SA_COMMON_POWER_ACCEL</v>
      </c>
      <c r="C243" s="7">
        <v>5</v>
      </c>
      <c r="D243" s="2" t="str">
        <f>VLOOKUP($C243,SkillEnum!$D$2:$E$10,2,FALSE)</f>
        <v>ST_BUFF</v>
      </c>
      <c r="E243" s="7" t="str">
        <f>VLOOKUP($A243,SkillEnum!$A$2:$C$1020,3,FALSE)</f>
        <v>파워 액셀레이터</v>
      </c>
      <c r="F243" s="7" t="str">
        <f t="shared" si="37"/>
        <v>30 초 동안 물리 공격력을 20 % 증가 시킨다. (모든 공격력 계열 버프는 중복 되지 않습니다.)</v>
      </c>
      <c r="G243" s="2">
        <v>2</v>
      </c>
      <c r="H243" s="2">
        <v>1</v>
      </c>
      <c r="I243" s="2">
        <v>10</v>
      </c>
      <c r="J243" s="2">
        <v>70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 t="s">
        <v>434</v>
      </c>
      <c r="Q243" s="2" t="str">
        <f t="shared" si="31"/>
        <v>SI_SA_COMMON_POWER_ACCEL</v>
      </c>
      <c r="R243" s="2" t="b">
        <v>0</v>
      </c>
      <c r="S243" s="2" t="b">
        <v>1</v>
      </c>
      <c r="T243" s="2">
        <v>1</v>
      </c>
      <c r="V243" s="1" t="s">
        <v>138</v>
      </c>
      <c r="W243" s="2">
        <v>1.2</v>
      </c>
      <c r="X243" s="1" t="s">
        <v>153</v>
      </c>
      <c r="Y243" s="2">
        <v>30</v>
      </c>
    </row>
    <row r="244" spans="1:25">
      <c r="A244" s="4">
        <v>300</v>
      </c>
      <c r="B244" s="7" t="str">
        <f>VLOOKUP($A244,SkillEnum!$A$2:$C$1020,2,FALSE)</f>
        <v>SI_SA_COMMON_POWER_ACCEL</v>
      </c>
      <c r="C244" s="7">
        <v>5</v>
      </c>
      <c r="D244" s="2" t="str">
        <f>VLOOKUP($C244,SkillEnum!$D$2:$E$10,2,FALSE)</f>
        <v>ST_BUFF</v>
      </c>
      <c r="E244" s="7" t="str">
        <f>VLOOKUP($A244,SkillEnum!$A$2:$C$1020,3,FALSE)</f>
        <v>파워 액셀레이터</v>
      </c>
      <c r="F244" s="7" t="str">
        <f t="shared" si="37"/>
        <v>35 초 동안 물리 공격력을 20 % 증가 시킨다. (모든 공격력 계열 버프는 중복 되지 않습니다.)</v>
      </c>
      <c r="G244" s="2">
        <v>3</v>
      </c>
      <c r="H244" s="2">
        <v>1</v>
      </c>
      <c r="I244" s="2">
        <v>10</v>
      </c>
      <c r="J244" s="2">
        <v>70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 t="s">
        <v>434</v>
      </c>
      <c r="Q244" s="2" t="str">
        <f t="shared" si="31"/>
        <v>SI_SA_COMMON_POWER_ACCEL</v>
      </c>
      <c r="R244" s="2" t="b">
        <v>0</v>
      </c>
      <c r="S244" s="2" t="b">
        <v>1</v>
      </c>
      <c r="T244" s="2">
        <v>1</v>
      </c>
      <c r="V244" s="1" t="s">
        <v>138</v>
      </c>
      <c r="W244" s="2">
        <v>1.2</v>
      </c>
      <c r="X244" s="1" t="s">
        <v>153</v>
      </c>
      <c r="Y244" s="2">
        <v>35</v>
      </c>
    </row>
    <row r="245" spans="1:25">
      <c r="A245" s="4">
        <v>300</v>
      </c>
      <c r="B245" s="7" t="str">
        <f>VLOOKUP($A245,SkillEnum!$A$2:$C$1020,2,FALSE)</f>
        <v>SI_SA_COMMON_POWER_ACCEL</v>
      </c>
      <c r="C245" s="7">
        <v>5</v>
      </c>
      <c r="D245" s="2" t="str">
        <f>VLOOKUP($C245,SkillEnum!$D$2:$E$10,2,FALSE)</f>
        <v>ST_BUFF</v>
      </c>
      <c r="E245" s="7" t="str">
        <f>VLOOKUP($A245,SkillEnum!$A$2:$C$1020,3,FALSE)</f>
        <v>파워 액셀레이터</v>
      </c>
      <c r="F245" s="7" t="str">
        <f t="shared" si="37"/>
        <v>40 초 동안 물리 공격력을 20 % 증가 시킨다. (모든 공격력 계열 버프는 중복 되지 않습니다.)</v>
      </c>
      <c r="G245" s="2">
        <v>4</v>
      </c>
      <c r="H245" s="2">
        <v>1</v>
      </c>
      <c r="I245" s="2">
        <v>10</v>
      </c>
      <c r="J245" s="2">
        <v>70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 t="s">
        <v>434</v>
      </c>
      <c r="Q245" s="2" t="str">
        <f t="shared" si="31"/>
        <v>SI_SA_COMMON_POWER_ACCEL</v>
      </c>
      <c r="R245" s="2" t="b">
        <v>0</v>
      </c>
      <c r="S245" s="2" t="b">
        <v>1</v>
      </c>
      <c r="T245" s="2">
        <v>1</v>
      </c>
      <c r="V245" s="1" t="s">
        <v>138</v>
      </c>
      <c r="W245" s="2">
        <v>1.2</v>
      </c>
      <c r="X245" s="1" t="s">
        <v>153</v>
      </c>
      <c r="Y245" s="2">
        <v>40</v>
      </c>
    </row>
    <row r="246" spans="1:25">
      <c r="A246" s="4">
        <v>300</v>
      </c>
      <c r="B246" s="7" t="str">
        <f>VLOOKUP($A246,SkillEnum!$A$2:$C$1020,2,FALSE)</f>
        <v>SI_SA_COMMON_POWER_ACCEL</v>
      </c>
      <c r="C246" s="7">
        <v>5</v>
      </c>
      <c r="D246" s="2" t="str">
        <f>VLOOKUP($C246,SkillEnum!$D$2:$E$10,2,FALSE)</f>
        <v>ST_BUFF</v>
      </c>
      <c r="E246" s="7" t="str">
        <f>VLOOKUP($A246,SkillEnum!$A$2:$C$1020,3,FALSE)</f>
        <v>파워 액셀레이터</v>
      </c>
      <c r="F246" s="7" t="str">
        <f t="shared" si="37"/>
        <v>45 초 동안 물리 공격력을 20 % 증가 시킨다. (모든 공격력 계열 버프는 중복 되지 않습니다.)</v>
      </c>
      <c r="G246" s="2">
        <v>5</v>
      </c>
      <c r="H246" s="2">
        <v>1</v>
      </c>
      <c r="I246" s="2">
        <v>10</v>
      </c>
      <c r="J246" s="2">
        <v>70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 t="s">
        <v>434</v>
      </c>
      <c r="Q246" s="2" t="str">
        <f t="shared" si="31"/>
        <v>SI_SA_COMMON_POWER_ACCEL</v>
      </c>
      <c r="R246" s="2" t="b">
        <v>0</v>
      </c>
      <c r="S246" s="2" t="b">
        <v>1</v>
      </c>
      <c r="T246" s="2">
        <v>1</v>
      </c>
      <c r="V246" s="1" t="s">
        <v>138</v>
      </c>
      <c r="W246" s="2">
        <v>1.2</v>
      </c>
      <c r="X246" s="1" t="s">
        <v>153</v>
      </c>
      <c r="Y246" s="2">
        <v>45</v>
      </c>
    </row>
    <row r="247" spans="1:25">
      <c r="A247" s="4">
        <v>300</v>
      </c>
      <c r="B247" s="7" t="str">
        <f>VLOOKUP($A247,SkillEnum!$A$2:$C$1020,2,FALSE)</f>
        <v>SI_SA_COMMON_POWER_ACCEL</v>
      </c>
      <c r="C247" s="7">
        <v>5</v>
      </c>
      <c r="D247" s="2" t="str">
        <f>VLOOKUP($C247,SkillEnum!$D$2:$E$10,2,FALSE)</f>
        <v>ST_BUFF</v>
      </c>
      <c r="E247" s="7" t="str">
        <f>VLOOKUP($A247,SkillEnum!$A$2:$C$1020,3,FALSE)</f>
        <v>파워 액셀레이터</v>
      </c>
      <c r="F247" s="7" t="str">
        <f t="shared" si="37"/>
        <v>45 초 동안 물리 공격력을 23 % 증가 시킨다. (모든 공격력 계열 버프는 중복 되지 않습니다.)</v>
      </c>
      <c r="G247" s="2">
        <v>6</v>
      </c>
      <c r="H247" s="2">
        <v>1</v>
      </c>
      <c r="I247" s="2">
        <v>10</v>
      </c>
      <c r="J247" s="2">
        <v>70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 t="s">
        <v>434</v>
      </c>
      <c r="Q247" s="2" t="str">
        <f t="shared" si="31"/>
        <v>SI_SA_COMMON_POWER_ACCEL</v>
      </c>
      <c r="R247" s="2" t="b">
        <v>0</v>
      </c>
      <c r="S247" s="2" t="b">
        <v>1</v>
      </c>
      <c r="T247" s="2">
        <v>1</v>
      </c>
      <c r="V247" s="1" t="s">
        <v>138</v>
      </c>
      <c r="W247" s="2">
        <v>1.23</v>
      </c>
      <c r="X247" s="1" t="s">
        <v>153</v>
      </c>
      <c r="Y247" s="2">
        <v>45</v>
      </c>
    </row>
    <row r="248" spans="1:25">
      <c r="A248" s="4">
        <v>300</v>
      </c>
      <c r="B248" s="7" t="str">
        <f>VLOOKUP($A248,SkillEnum!$A$2:$C$1020,2,FALSE)</f>
        <v>SI_SA_COMMON_POWER_ACCEL</v>
      </c>
      <c r="C248" s="7">
        <v>5</v>
      </c>
      <c r="D248" s="2" t="str">
        <f>VLOOKUP($C248,SkillEnum!$D$2:$E$10,2,FALSE)</f>
        <v>ST_BUFF</v>
      </c>
      <c r="E248" s="7" t="str">
        <f>VLOOKUP($A248,SkillEnum!$A$2:$C$1020,3,FALSE)</f>
        <v>파워 액셀레이터</v>
      </c>
      <c r="F248" s="7" t="str">
        <f t="shared" si="37"/>
        <v>45 초 동안 물리 공격력을 26 % 증가 시킨다. (모든 공격력 계열 버프는 중복 되지 않습니다.)</v>
      </c>
      <c r="G248" s="2">
        <v>7</v>
      </c>
      <c r="H248" s="2">
        <v>1</v>
      </c>
      <c r="I248" s="2">
        <v>10</v>
      </c>
      <c r="J248" s="2">
        <v>70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 t="s">
        <v>434</v>
      </c>
      <c r="Q248" s="2" t="str">
        <f t="shared" si="31"/>
        <v>SI_SA_COMMON_POWER_ACCEL</v>
      </c>
      <c r="R248" s="2" t="b">
        <v>0</v>
      </c>
      <c r="S248" s="2" t="b">
        <v>1</v>
      </c>
      <c r="T248" s="2">
        <v>1</v>
      </c>
      <c r="V248" s="1" t="s">
        <v>138</v>
      </c>
      <c r="W248" s="2">
        <v>1.26</v>
      </c>
      <c r="X248" s="1" t="s">
        <v>153</v>
      </c>
      <c r="Y248" s="2">
        <v>45</v>
      </c>
    </row>
    <row r="249" spans="1:25">
      <c r="A249" s="4">
        <v>300</v>
      </c>
      <c r="B249" s="7" t="str">
        <f>VLOOKUP($A249,SkillEnum!$A$2:$C$1020,2,FALSE)</f>
        <v>SI_SA_COMMON_POWER_ACCEL</v>
      </c>
      <c r="C249" s="7">
        <v>5</v>
      </c>
      <c r="D249" s="2" t="str">
        <f>VLOOKUP($C249,SkillEnum!$D$2:$E$10,2,FALSE)</f>
        <v>ST_BUFF</v>
      </c>
      <c r="E249" s="7" t="str">
        <f>VLOOKUP($A249,SkillEnum!$A$2:$C$1020,3,FALSE)</f>
        <v>파워 액셀레이터</v>
      </c>
      <c r="F249" s="7" t="str">
        <f t="shared" si="37"/>
        <v>45 초 동안 물리 공격력을 29 % 증가 시킨다. (모든 공격력 계열 버프는 중복 되지 않습니다.)</v>
      </c>
      <c r="G249" s="2">
        <v>8</v>
      </c>
      <c r="H249" s="2">
        <v>1</v>
      </c>
      <c r="I249" s="2">
        <v>10</v>
      </c>
      <c r="J249" s="2">
        <v>70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 t="s">
        <v>434</v>
      </c>
      <c r="Q249" s="2" t="str">
        <f t="shared" si="31"/>
        <v>SI_SA_COMMON_POWER_ACCEL</v>
      </c>
      <c r="R249" s="2" t="b">
        <v>0</v>
      </c>
      <c r="S249" s="2" t="b">
        <v>1</v>
      </c>
      <c r="T249" s="2">
        <v>1</v>
      </c>
      <c r="V249" s="1" t="s">
        <v>138</v>
      </c>
      <c r="W249" s="2">
        <v>1.29</v>
      </c>
      <c r="X249" s="1" t="s">
        <v>153</v>
      </c>
      <c r="Y249" s="2">
        <v>45</v>
      </c>
    </row>
    <row r="250" spans="1:25">
      <c r="A250" s="4">
        <v>300</v>
      </c>
      <c r="B250" s="7" t="str">
        <f>VLOOKUP($A250,SkillEnum!$A$2:$C$1020,2,FALSE)</f>
        <v>SI_SA_COMMON_POWER_ACCEL</v>
      </c>
      <c r="C250" s="7">
        <v>5</v>
      </c>
      <c r="D250" s="2" t="str">
        <f>VLOOKUP($C250,SkillEnum!$D$2:$E$10,2,FALSE)</f>
        <v>ST_BUFF</v>
      </c>
      <c r="E250" s="7" t="str">
        <f>VLOOKUP($A250,SkillEnum!$A$2:$C$1020,3,FALSE)</f>
        <v>파워 액셀레이터</v>
      </c>
      <c r="F250" s="7" t="str">
        <f t="shared" si="37"/>
        <v>45 초 동안 물리 공격력을 32 % 증가 시킨다. (모든 공격력 계열 버프는 중복 되지 않습니다.)</v>
      </c>
      <c r="G250" s="2">
        <v>9</v>
      </c>
      <c r="H250" s="2">
        <v>1</v>
      </c>
      <c r="I250" s="2">
        <v>10</v>
      </c>
      <c r="J250" s="2">
        <v>70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 t="s">
        <v>434</v>
      </c>
      <c r="Q250" s="2" t="str">
        <f t="shared" si="31"/>
        <v>SI_SA_COMMON_POWER_ACCEL</v>
      </c>
      <c r="R250" s="2" t="b">
        <v>0</v>
      </c>
      <c r="S250" s="2" t="b">
        <v>1</v>
      </c>
      <c r="T250" s="2">
        <v>1</v>
      </c>
      <c r="V250" s="1" t="s">
        <v>138</v>
      </c>
      <c r="W250" s="2">
        <v>1.32</v>
      </c>
      <c r="X250" s="1" t="s">
        <v>153</v>
      </c>
      <c r="Y250" s="2">
        <v>45</v>
      </c>
    </row>
    <row r="251" spans="1:25" s="5" customFormat="1">
      <c r="A251" s="6">
        <v>300</v>
      </c>
      <c r="B251" s="8" t="str">
        <f>VLOOKUP($A251,SkillEnum!$A$2:$C$1020,2,FALSE)</f>
        <v>SI_SA_COMMON_POWER_ACCEL</v>
      </c>
      <c r="C251" s="8">
        <v>5</v>
      </c>
      <c r="D251" s="5" t="str">
        <f>VLOOKUP($C251,SkillEnum!$D$2:$E$10,2,FALSE)</f>
        <v>ST_BUFF</v>
      </c>
      <c r="E251" s="8" t="str">
        <f>VLOOKUP($A251,SkillEnum!$A$2:$C$1020,3,FALSE)</f>
        <v>파워 액셀레이터</v>
      </c>
      <c r="F251" s="8" t="str">
        <f t="shared" si="37"/>
        <v>45 초 동안 물리 공격력을 35 % 증가 시킨다. (모든 공격력 계열 버프는 중복 되지 않습니다.)</v>
      </c>
      <c r="G251" s="5">
        <v>10</v>
      </c>
      <c r="H251" s="5">
        <v>1</v>
      </c>
      <c r="I251" s="5">
        <v>10</v>
      </c>
      <c r="J251" s="5">
        <v>70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2" t="s">
        <v>434</v>
      </c>
      <c r="Q251" s="2" t="str">
        <f t="shared" si="31"/>
        <v>SI_SA_COMMON_POWER_ACCEL</v>
      </c>
      <c r="R251" s="5" t="b">
        <v>0</v>
      </c>
      <c r="S251" s="2" t="b">
        <v>1</v>
      </c>
      <c r="T251" s="2">
        <v>1</v>
      </c>
      <c r="U251" s="2"/>
      <c r="V251" s="5" t="s">
        <v>138</v>
      </c>
      <c r="W251" s="5">
        <v>1.35</v>
      </c>
      <c r="X251" s="5" t="s">
        <v>153</v>
      </c>
      <c r="Y251" s="5">
        <v>45</v>
      </c>
    </row>
    <row r="252" spans="1:25">
      <c r="A252" s="4">
        <v>301</v>
      </c>
      <c r="B252" s="7" t="str">
        <f>VLOOKUP($A252,SkillEnum!$A$2:$C$1020,2,FALSE)</f>
        <v>SI_SA_COMMON_MAGIC_ACCEL</v>
      </c>
      <c r="C252" s="7">
        <v>5</v>
      </c>
      <c r="D252" s="2" t="str">
        <f>VLOOKUP($C252,SkillEnum!$D$2:$E$10,2,FALSE)</f>
        <v>ST_BUFF</v>
      </c>
      <c r="E252" s="11" t="str">
        <f>VLOOKUP($A252,SkillEnum!$A$2:$C$1020,3,FALSE)</f>
        <v>매직 액셀레이터</v>
      </c>
      <c r="F252" s="11" t="str">
        <f>Y252&amp;" 초 동안 마법 공격력을 "&amp;ROUND((W252-1)*100,0)&amp;" % 증가 시킨다. (모든 공격력 계열 버프는 중복 되지 않습니다.)"</f>
        <v>25 초 동안 마법 공격력을 20 % 증가 시킨다. (모든 공격력 계열 버프는 중복 되지 않습니다.)</v>
      </c>
      <c r="G252" s="10">
        <v>1</v>
      </c>
      <c r="H252" s="2">
        <v>1</v>
      </c>
      <c r="I252" s="2">
        <v>10</v>
      </c>
      <c r="J252" s="2">
        <v>70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 t="s">
        <v>434</v>
      </c>
      <c r="Q252" s="2" t="str">
        <f t="shared" si="31"/>
        <v>SI_SA_COMMON_MAGIC_ACCEL</v>
      </c>
      <c r="R252" s="2" t="b">
        <v>0</v>
      </c>
      <c r="S252" s="2" t="b">
        <v>1</v>
      </c>
      <c r="T252" s="2">
        <v>1</v>
      </c>
      <c r="V252" s="1" t="s">
        <v>139</v>
      </c>
      <c r="W252" s="2">
        <v>1.2</v>
      </c>
      <c r="X252" s="1" t="s">
        <v>153</v>
      </c>
      <c r="Y252" s="2">
        <v>25</v>
      </c>
    </row>
    <row r="253" spans="1:25">
      <c r="A253" s="4">
        <v>301</v>
      </c>
      <c r="B253" s="7" t="str">
        <f>VLOOKUP($A253,SkillEnum!$A$2:$C$1020,2,FALSE)</f>
        <v>SI_SA_COMMON_MAGIC_ACCEL</v>
      </c>
      <c r="C253" s="7">
        <v>5</v>
      </c>
      <c r="D253" s="2" t="str">
        <f>VLOOKUP($C253,SkillEnum!$D$2:$E$10,2,FALSE)</f>
        <v>ST_BUFF</v>
      </c>
      <c r="E253" s="7" t="str">
        <f>VLOOKUP($A253,SkillEnum!$A$2:$C$1020,3,FALSE)</f>
        <v>매직 액셀레이터</v>
      </c>
      <c r="F253" s="7" t="str">
        <f t="shared" ref="F253:F261" si="38">Y253&amp;" 초 동안 마법 공격력을 "&amp;ROUND((W253-1)*100,0)&amp;" % 증가 시킨다. (모든 공격력 계열 버프는 중복 되지 않습니다.)"</f>
        <v>30 초 동안 마법 공격력을 20 % 증가 시킨다. (모든 공격력 계열 버프는 중복 되지 않습니다.)</v>
      </c>
      <c r="G253" s="2">
        <v>2</v>
      </c>
      <c r="H253" s="2">
        <v>1</v>
      </c>
      <c r="I253" s="2">
        <v>10</v>
      </c>
      <c r="J253" s="2">
        <v>70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 t="s">
        <v>434</v>
      </c>
      <c r="Q253" s="2" t="str">
        <f t="shared" si="31"/>
        <v>SI_SA_COMMON_MAGIC_ACCEL</v>
      </c>
      <c r="R253" s="2" t="b">
        <v>0</v>
      </c>
      <c r="S253" s="2" t="b">
        <v>1</v>
      </c>
      <c r="T253" s="2">
        <v>1</v>
      </c>
      <c r="V253" s="1" t="s">
        <v>139</v>
      </c>
      <c r="W253" s="2">
        <v>1.2</v>
      </c>
      <c r="X253" s="1" t="s">
        <v>153</v>
      </c>
      <c r="Y253" s="2">
        <v>30</v>
      </c>
    </row>
    <row r="254" spans="1:25">
      <c r="A254" s="4">
        <v>301</v>
      </c>
      <c r="B254" s="7" t="str">
        <f>VLOOKUP($A254,SkillEnum!$A$2:$C$1020,2,FALSE)</f>
        <v>SI_SA_COMMON_MAGIC_ACCEL</v>
      </c>
      <c r="C254" s="7">
        <v>5</v>
      </c>
      <c r="D254" s="2" t="str">
        <f>VLOOKUP($C254,SkillEnum!$D$2:$E$10,2,FALSE)</f>
        <v>ST_BUFF</v>
      </c>
      <c r="E254" s="7" t="str">
        <f>VLOOKUP($A254,SkillEnum!$A$2:$C$1020,3,FALSE)</f>
        <v>매직 액셀레이터</v>
      </c>
      <c r="F254" s="7" t="str">
        <f t="shared" si="38"/>
        <v>35 초 동안 마법 공격력을 20 % 증가 시킨다. (모든 공격력 계열 버프는 중복 되지 않습니다.)</v>
      </c>
      <c r="G254" s="2">
        <v>3</v>
      </c>
      <c r="H254" s="2">
        <v>1</v>
      </c>
      <c r="I254" s="2">
        <v>10</v>
      </c>
      <c r="J254" s="2">
        <v>70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 t="s">
        <v>434</v>
      </c>
      <c r="Q254" s="2" t="str">
        <f t="shared" si="31"/>
        <v>SI_SA_COMMON_MAGIC_ACCEL</v>
      </c>
      <c r="R254" s="2" t="b">
        <v>0</v>
      </c>
      <c r="S254" s="2" t="b">
        <v>1</v>
      </c>
      <c r="T254" s="2">
        <v>1</v>
      </c>
      <c r="V254" s="1" t="s">
        <v>139</v>
      </c>
      <c r="W254" s="2">
        <v>1.2</v>
      </c>
      <c r="X254" s="1" t="s">
        <v>153</v>
      </c>
      <c r="Y254" s="2">
        <v>35</v>
      </c>
    </row>
    <row r="255" spans="1:25">
      <c r="A255" s="4">
        <v>301</v>
      </c>
      <c r="B255" s="7" t="str">
        <f>VLOOKUP($A255,SkillEnum!$A$2:$C$1020,2,FALSE)</f>
        <v>SI_SA_COMMON_MAGIC_ACCEL</v>
      </c>
      <c r="C255" s="7">
        <v>5</v>
      </c>
      <c r="D255" s="2" t="str">
        <f>VLOOKUP($C255,SkillEnum!$D$2:$E$10,2,FALSE)</f>
        <v>ST_BUFF</v>
      </c>
      <c r="E255" s="7" t="str">
        <f>VLOOKUP($A255,SkillEnum!$A$2:$C$1020,3,FALSE)</f>
        <v>매직 액셀레이터</v>
      </c>
      <c r="F255" s="7" t="str">
        <f t="shared" si="38"/>
        <v>40 초 동안 마법 공격력을 20 % 증가 시킨다. (모든 공격력 계열 버프는 중복 되지 않습니다.)</v>
      </c>
      <c r="G255" s="2">
        <v>4</v>
      </c>
      <c r="H255" s="2">
        <v>1</v>
      </c>
      <c r="I255" s="2">
        <v>10</v>
      </c>
      <c r="J255" s="2">
        <v>70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 t="s">
        <v>434</v>
      </c>
      <c r="Q255" s="2" t="str">
        <f t="shared" si="31"/>
        <v>SI_SA_COMMON_MAGIC_ACCEL</v>
      </c>
      <c r="R255" s="2" t="b">
        <v>0</v>
      </c>
      <c r="S255" s="2" t="b">
        <v>1</v>
      </c>
      <c r="T255" s="2">
        <v>1</v>
      </c>
      <c r="V255" s="1" t="s">
        <v>139</v>
      </c>
      <c r="W255" s="2">
        <v>1.2</v>
      </c>
      <c r="X255" s="1" t="s">
        <v>153</v>
      </c>
      <c r="Y255" s="2">
        <v>40</v>
      </c>
    </row>
    <row r="256" spans="1:25">
      <c r="A256" s="4">
        <v>301</v>
      </c>
      <c r="B256" s="7" t="str">
        <f>VLOOKUP($A256,SkillEnum!$A$2:$C$1020,2,FALSE)</f>
        <v>SI_SA_COMMON_MAGIC_ACCEL</v>
      </c>
      <c r="C256" s="7">
        <v>5</v>
      </c>
      <c r="D256" s="2" t="str">
        <f>VLOOKUP($C256,SkillEnum!$D$2:$E$10,2,FALSE)</f>
        <v>ST_BUFF</v>
      </c>
      <c r="E256" s="7" t="str">
        <f>VLOOKUP($A256,SkillEnum!$A$2:$C$1020,3,FALSE)</f>
        <v>매직 액셀레이터</v>
      </c>
      <c r="F256" s="7" t="str">
        <f t="shared" si="38"/>
        <v>45 초 동안 마법 공격력을 20 % 증가 시킨다. (모든 공격력 계열 버프는 중복 되지 않습니다.)</v>
      </c>
      <c r="G256" s="2">
        <v>5</v>
      </c>
      <c r="H256" s="2">
        <v>1</v>
      </c>
      <c r="I256" s="2">
        <v>10</v>
      </c>
      <c r="J256" s="2">
        <v>70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 t="s">
        <v>434</v>
      </c>
      <c r="Q256" s="2" t="str">
        <f t="shared" si="31"/>
        <v>SI_SA_COMMON_MAGIC_ACCEL</v>
      </c>
      <c r="R256" s="2" t="b">
        <v>0</v>
      </c>
      <c r="S256" s="2" t="b">
        <v>1</v>
      </c>
      <c r="T256" s="2">
        <v>1</v>
      </c>
      <c r="V256" s="1" t="s">
        <v>139</v>
      </c>
      <c r="W256" s="2">
        <v>1.2</v>
      </c>
      <c r="X256" s="1" t="s">
        <v>153</v>
      </c>
      <c r="Y256" s="2">
        <v>45</v>
      </c>
    </row>
    <row r="257" spans="1:27">
      <c r="A257" s="4">
        <v>301</v>
      </c>
      <c r="B257" s="7" t="str">
        <f>VLOOKUP($A257,SkillEnum!$A$2:$C$1020,2,FALSE)</f>
        <v>SI_SA_COMMON_MAGIC_ACCEL</v>
      </c>
      <c r="C257" s="7">
        <v>5</v>
      </c>
      <c r="D257" s="2" t="str">
        <f>VLOOKUP($C257,SkillEnum!$D$2:$E$10,2,FALSE)</f>
        <v>ST_BUFF</v>
      </c>
      <c r="E257" s="7" t="str">
        <f>VLOOKUP($A257,SkillEnum!$A$2:$C$1020,3,FALSE)</f>
        <v>매직 액셀레이터</v>
      </c>
      <c r="F257" s="7" t="str">
        <f t="shared" si="38"/>
        <v>45 초 동안 마법 공격력을 23 % 증가 시킨다. (모든 공격력 계열 버프는 중복 되지 않습니다.)</v>
      </c>
      <c r="G257" s="2">
        <v>6</v>
      </c>
      <c r="H257" s="2">
        <v>1</v>
      </c>
      <c r="I257" s="2">
        <v>10</v>
      </c>
      <c r="J257" s="2">
        <v>70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 t="s">
        <v>434</v>
      </c>
      <c r="Q257" s="2" t="str">
        <f t="shared" si="31"/>
        <v>SI_SA_COMMON_MAGIC_ACCEL</v>
      </c>
      <c r="R257" s="2" t="b">
        <v>0</v>
      </c>
      <c r="S257" s="2" t="b">
        <v>1</v>
      </c>
      <c r="T257" s="2">
        <v>1</v>
      </c>
      <c r="V257" s="1" t="s">
        <v>139</v>
      </c>
      <c r="W257" s="2">
        <v>1.23</v>
      </c>
      <c r="X257" s="1" t="s">
        <v>153</v>
      </c>
      <c r="Y257" s="2">
        <v>45</v>
      </c>
    </row>
    <row r="258" spans="1:27">
      <c r="A258" s="4">
        <v>301</v>
      </c>
      <c r="B258" s="7" t="str">
        <f>VLOOKUP($A258,SkillEnum!$A$2:$C$1020,2,FALSE)</f>
        <v>SI_SA_COMMON_MAGIC_ACCEL</v>
      </c>
      <c r="C258" s="7">
        <v>5</v>
      </c>
      <c r="D258" s="2" t="str">
        <f>VLOOKUP($C258,SkillEnum!$D$2:$E$10,2,FALSE)</f>
        <v>ST_BUFF</v>
      </c>
      <c r="E258" s="7" t="str">
        <f>VLOOKUP($A258,SkillEnum!$A$2:$C$1020,3,FALSE)</f>
        <v>매직 액셀레이터</v>
      </c>
      <c r="F258" s="7" t="str">
        <f t="shared" si="38"/>
        <v>45 초 동안 마법 공격력을 26 % 증가 시킨다. (모든 공격력 계열 버프는 중복 되지 않습니다.)</v>
      </c>
      <c r="G258" s="2">
        <v>7</v>
      </c>
      <c r="H258" s="2">
        <v>1</v>
      </c>
      <c r="I258" s="2">
        <v>10</v>
      </c>
      <c r="J258" s="2">
        <v>70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 t="s">
        <v>434</v>
      </c>
      <c r="Q258" s="2" t="str">
        <f t="shared" si="31"/>
        <v>SI_SA_COMMON_MAGIC_ACCEL</v>
      </c>
      <c r="R258" s="2" t="b">
        <v>0</v>
      </c>
      <c r="S258" s="2" t="b">
        <v>1</v>
      </c>
      <c r="T258" s="2">
        <v>1</v>
      </c>
      <c r="V258" s="1" t="s">
        <v>139</v>
      </c>
      <c r="W258" s="2">
        <v>1.26</v>
      </c>
      <c r="X258" s="1" t="s">
        <v>153</v>
      </c>
      <c r="Y258" s="2">
        <v>45</v>
      </c>
    </row>
    <row r="259" spans="1:27">
      <c r="A259" s="4">
        <v>301</v>
      </c>
      <c r="B259" s="7" t="str">
        <f>VLOOKUP($A259,SkillEnum!$A$2:$C$1020,2,FALSE)</f>
        <v>SI_SA_COMMON_MAGIC_ACCEL</v>
      </c>
      <c r="C259" s="7">
        <v>5</v>
      </c>
      <c r="D259" s="2" t="str">
        <f>VLOOKUP($C259,SkillEnum!$D$2:$E$10,2,FALSE)</f>
        <v>ST_BUFF</v>
      </c>
      <c r="E259" s="7" t="str">
        <f>VLOOKUP($A259,SkillEnum!$A$2:$C$1020,3,FALSE)</f>
        <v>매직 액셀레이터</v>
      </c>
      <c r="F259" s="7" t="str">
        <f t="shared" si="38"/>
        <v>45 초 동안 마법 공격력을 29 % 증가 시킨다. (모든 공격력 계열 버프는 중복 되지 않습니다.)</v>
      </c>
      <c r="G259" s="2">
        <v>8</v>
      </c>
      <c r="H259" s="2">
        <v>1</v>
      </c>
      <c r="I259" s="2">
        <v>10</v>
      </c>
      <c r="J259" s="2">
        <v>70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 t="s">
        <v>434</v>
      </c>
      <c r="Q259" s="2" t="str">
        <f t="shared" ref="Q259:Q322" si="39">B259</f>
        <v>SI_SA_COMMON_MAGIC_ACCEL</v>
      </c>
      <c r="R259" s="2" t="b">
        <v>0</v>
      </c>
      <c r="S259" s="2" t="b">
        <v>1</v>
      </c>
      <c r="T259" s="2">
        <v>1</v>
      </c>
      <c r="V259" s="1" t="s">
        <v>139</v>
      </c>
      <c r="W259" s="2">
        <v>1.29</v>
      </c>
      <c r="X259" s="1" t="s">
        <v>153</v>
      </c>
      <c r="Y259" s="2">
        <v>45</v>
      </c>
    </row>
    <row r="260" spans="1:27">
      <c r="A260" s="4">
        <v>301</v>
      </c>
      <c r="B260" s="7" t="str">
        <f>VLOOKUP($A260,SkillEnum!$A$2:$C$1020,2,FALSE)</f>
        <v>SI_SA_COMMON_MAGIC_ACCEL</v>
      </c>
      <c r="C260" s="7">
        <v>5</v>
      </c>
      <c r="D260" s="2" t="str">
        <f>VLOOKUP($C260,SkillEnum!$D$2:$E$10,2,FALSE)</f>
        <v>ST_BUFF</v>
      </c>
      <c r="E260" s="7" t="str">
        <f>VLOOKUP($A260,SkillEnum!$A$2:$C$1020,3,FALSE)</f>
        <v>매직 액셀레이터</v>
      </c>
      <c r="F260" s="7" t="str">
        <f t="shared" si="38"/>
        <v>45 초 동안 마법 공격력을 32 % 증가 시킨다. (모든 공격력 계열 버프는 중복 되지 않습니다.)</v>
      </c>
      <c r="G260" s="2">
        <v>9</v>
      </c>
      <c r="H260" s="2">
        <v>1</v>
      </c>
      <c r="I260" s="2">
        <v>10</v>
      </c>
      <c r="J260" s="2">
        <v>70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 t="s">
        <v>434</v>
      </c>
      <c r="Q260" s="2" t="str">
        <f t="shared" si="39"/>
        <v>SI_SA_COMMON_MAGIC_ACCEL</v>
      </c>
      <c r="R260" s="2" t="b">
        <v>0</v>
      </c>
      <c r="S260" s="2" t="b">
        <v>1</v>
      </c>
      <c r="T260" s="2">
        <v>1</v>
      </c>
      <c r="V260" s="1" t="s">
        <v>139</v>
      </c>
      <c r="W260" s="2">
        <v>1.32</v>
      </c>
      <c r="X260" s="1" t="s">
        <v>153</v>
      </c>
      <c r="Y260" s="2">
        <v>45</v>
      </c>
    </row>
    <row r="261" spans="1:27" s="5" customFormat="1">
      <c r="A261" s="6">
        <v>301</v>
      </c>
      <c r="B261" s="8" t="str">
        <f>VLOOKUP($A261,SkillEnum!$A$2:$C$1020,2,FALSE)</f>
        <v>SI_SA_COMMON_MAGIC_ACCEL</v>
      </c>
      <c r="C261" s="8">
        <v>5</v>
      </c>
      <c r="D261" s="5" t="str">
        <f>VLOOKUP($C261,SkillEnum!$D$2:$E$10,2,FALSE)</f>
        <v>ST_BUFF</v>
      </c>
      <c r="E261" s="8" t="str">
        <f>VLOOKUP($A261,SkillEnum!$A$2:$C$1020,3,FALSE)</f>
        <v>매직 액셀레이터</v>
      </c>
      <c r="F261" s="8" t="str">
        <f t="shared" si="38"/>
        <v>45 초 동안 마법 공격력을 35 % 증가 시킨다. (모든 공격력 계열 버프는 중복 되지 않습니다.)</v>
      </c>
      <c r="G261" s="5">
        <v>10</v>
      </c>
      <c r="H261" s="5">
        <v>1</v>
      </c>
      <c r="I261" s="5">
        <v>10</v>
      </c>
      <c r="J261" s="5">
        <v>70</v>
      </c>
      <c r="K261" s="5">
        <v>0</v>
      </c>
      <c r="L261" s="5">
        <v>0</v>
      </c>
      <c r="M261" s="5">
        <v>0</v>
      </c>
      <c r="N261" s="5">
        <v>0</v>
      </c>
      <c r="O261" s="5">
        <v>0</v>
      </c>
      <c r="P261" s="2" t="s">
        <v>434</v>
      </c>
      <c r="Q261" s="2" t="str">
        <f t="shared" si="39"/>
        <v>SI_SA_COMMON_MAGIC_ACCEL</v>
      </c>
      <c r="R261" s="5" t="b">
        <v>0</v>
      </c>
      <c r="S261" s="2" t="b">
        <v>1</v>
      </c>
      <c r="T261" s="2">
        <v>1</v>
      </c>
      <c r="U261" s="2"/>
      <c r="V261" s="5" t="s">
        <v>139</v>
      </c>
      <c r="W261" s="5">
        <v>1.35</v>
      </c>
      <c r="X261" s="5" t="s">
        <v>153</v>
      </c>
      <c r="Y261" s="5">
        <v>45</v>
      </c>
    </row>
    <row r="262" spans="1:27">
      <c r="A262" s="4">
        <v>302</v>
      </c>
      <c r="B262" s="7" t="str">
        <f>VLOOKUP($A262,SkillEnum!$A$2:$C$1020,2,FALSE)</f>
        <v>SI_SA_COMMON_SHIELD_ACCEL</v>
      </c>
      <c r="C262" s="7">
        <v>5</v>
      </c>
      <c r="D262" s="2" t="str">
        <f>VLOOKUP($C262,SkillEnum!$D$2:$E$10,2,FALSE)</f>
        <v>ST_BUFF</v>
      </c>
      <c r="E262" s="11" t="str">
        <f>VLOOKUP($A262,SkillEnum!$A$2:$C$1020,3,FALSE)</f>
        <v>실드 액셀레이터</v>
      </c>
      <c r="F262" s="11" t="str">
        <f>AA262&amp;" 초 동안 물리, 마법 방어력을 "&amp;ROUND((W262-1)*100,0)&amp;" % 증가 시킨다. (모든 방어력 계열 버프는 중복 되지 않습니다.)"</f>
        <v>25 초 동안 물리, 마법 방어력을 40 % 증가 시킨다. (모든 방어력 계열 버프는 중복 되지 않습니다.)</v>
      </c>
      <c r="G262" s="10">
        <v>1</v>
      </c>
      <c r="H262" s="2">
        <v>1</v>
      </c>
      <c r="I262" s="2">
        <v>10</v>
      </c>
      <c r="J262" s="2">
        <v>70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 t="s">
        <v>434</v>
      </c>
      <c r="Q262" s="2" t="str">
        <f t="shared" si="39"/>
        <v>SI_SA_COMMON_SHIELD_ACCEL</v>
      </c>
      <c r="R262" s="2" t="b">
        <v>0</v>
      </c>
      <c r="S262" s="2" t="b">
        <v>1</v>
      </c>
      <c r="T262" s="2">
        <v>1</v>
      </c>
      <c r="V262" s="1" t="s">
        <v>136</v>
      </c>
      <c r="W262" s="2">
        <v>1.4</v>
      </c>
      <c r="X262" s="1" t="s">
        <v>137</v>
      </c>
      <c r="Y262" s="10">
        <f>W262</f>
        <v>1.4</v>
      </c>
      <c r="Z262" s="1" t="s">
        <v>153</v>
      </c>
      <c r="AA262" s="2">
        <v>25</v>
      </c>
    </row>
    <row r="263" spans="1:27">
      <c r="A263" s="4">
        <v>302</v>
      </c>
      <c r="B263" s="7" t="str">
        <f>VLOOKUP($A263,SkillEnum!$A$2:$C$1020,2,FALSE)</f>
        <v>SI_SA_COMMON_SHIELD_ACCEL</v>
      </c>
      <c r="C263" s="7">
        <v>5</v>
      </c>
      <c r="D263" s="2" t="str">
        <f>VLOOKUP($C263,SkillEnum!$D$2:$E$10,2,FALSE)</f>
        <v>ST_BUFF</v>
      </c>
      <c r="E263" s="7" t="str">
        <f>VLOOKUP($A263,SkillEnum!$A$2:$C$1020,3,FALSE)</f>
        <v>실드 액셀레이터</v>
      </c>
      <c r="F263" s="7" t="str">
        <f t="shared" ref="F263:F271" si="40">AA263&amp;" 초 동안 물리, 마법 방어력을 "&amp;ROUND((W263-1)*100,0)&amp;" % 증가 시킨다. (모든 방어력 계열 버프는 중복 되지 않습니다.)"</f>
        <v>30 초 동안 물리, 마법 방어력을 40 % 증가 시킨다. (모든 방어력 계열 버프는 중복 되지 않습니다.)</v>
      </c>
      <c r="G263" s="2">
        <v>2</v>
      </c>
      <c r="H263" s="2">
        <v>1</v>
      </c>
      <c r="I263" s="2">
        <v>10</v>
      </c>
      <c r="J263" s="2">
        <v>70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 t="s">
        <v>434</v>
      </c>
      <c r="Q263" s="2" t="str">
        <f t="shared" si="39"/>
        <v>SI_SA_COMMON_SHIELD_ACCEL</v>
      </c>
      <c r="R263" s="2" t="b">
        <v>0</v>
      </c>
      <c r="S263" s="2" t="b">
        <v>1</v>
      </c>
      <c r="T263" s="2">
        <v>1</v>
      </c>
      <c r="V263" s="1" t="s">
        <v>136</v>
      </c>
      <c r="W263" s="2">
        <v>1.4</v>
      </c>
      <c r="X263" s="1" t="s">
        <v>137</v>
      </c>
      <c r="Y263" s="2">
        <f>W263</f>
        <v>1.4</v>
      </c>
      <c r="Z263" s="1" t="s">
        <v>153</v>
      </c>
      <c r="AA263" s="2">
        <v>30</v>
      </c>
    </row>
    <row r="264" spans="1:27">
      <c r="A264" s="4">
        <v>302</v>
      </c>
      <c r="B264" s="7" t="str">
        <f>VLOOKUP($A264,SkillEnum!$A$2:$C$1020,2,FALSE)</f>
        <v>SI_SA_COMMON_SHIELD_ACCEL</v>
      </c>
      <c r="C264" s="7">
        <v>5</v>
      </c>
      <c r="D264" s="2" t="str">
        <f>VLOOKUP($C264,SkillEnum!$D$2:$E$10,2,FALSE)</f>
        <v>ST_BUFF</v>
      </c>
      <c r="E264" s="7" t="str">
        <f>VLOOKUP($A264,SkillEnum!$A$2:$C$1020,3,FALSE)</f>
        <v>실드 액셀레이터</v>
      </c>
      <c r="F264" s="7" t="str">
        <f t="shared" si="40"/>
        <v>35 초 동안 물리, 마법 방어력을 40 % 증가 시킨다. (모든 방어력 계열 버프는 중복 되지 않습니다.)</v>
      </c>
      <c r="G264" s="2">
        <v>3</v>
      </c>
      <c r="H264" s="2">
        <v>1</v>
      </c>
      <c r="I264" s="2">
        <v>10</v>
      </c>
      <c r="J264" s="2">
        <v>70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 t="s">
        <v>434</v>
      </c>
      <c r="Q264" s="2" t="str">
        <f t="shared" si="39"/>
        <v>SI_SA_COMMON_SHIELD_ACCEL</v>
      </c>
      <c r="R264" s="2" t="b">
        <v>0</v>
      </c>
      <c r="S264" s="2" t="b">
        <v>1</v>
      </c>
      <c r="T264" s="2">
        <v>1</v>
      </c>
      <c r="V264" s="1" t="s">
        <v>136</v>
      </c>
      <c r="W264" s="2">
        <v>1.4</v>
      </c>
      <c r="X264" s="1" t="s">
        <v>137</v>
      </c>
      <c r="Y264" s="2">
        <f t="shared" ref="Y264:Y271" si="41">W264</f>
        <v>1.4</v>
      </c>
      <c r="Z264" s="1" t="s">
        <v>153</v>
      </c>
      <c r="AA264" s="2">
        <v>35</v>
      </c>
    </row>
    <row r="265" spans="1:27">
      <c r="A265" s="4">
        <v>302</v>
      </c>
      <c r="B265" s="7" t="str">
        <f>VLOOKUP($A265,SkillEnum!$A$2:$C$1020,2,FALSE)</f>
        <v>SI_SA_COMMON_SHIELD_ACCEL</v>
      </c>
      <c r="C265" s="7">
        <v>5</v>
      </c>
      <c r="D265" s="2" t="str">
        <f>VLOOKUP($C265,SkillEnum!$D$2:$E$10,2,FALSE)</f>
        <v>ST_BUFF</v>
      </c>
      <c r="E265" s="7" t="str">
        <f>VLOOKUP($A265,SkillEnum!$A$2:$C$1020,3,FALSE)</f>
        <v>실드 액셀레이터</v>
      </c>
      <c r="F265" s="7" t="str">
        <f t="shared" si="40"/>
        <v>40 초 동안 물리, 마법 방어력을 40 % 증가 시킨다. (모든 방어력 계열 버프는 중복 되지 않습니다.)</v>
      </c>
      <c r="G265" s="2">
        <v>4</v>
      </c>
      <c r="H265" s="2">
        <v>1</v>
      </c>
      <c r="I265" s="2">
        <v>10</v>
      </c>
      <c r="J265" s="2">
        <v>70</v>
      </c>
      <c r="K265" s="2">
        <v>0</v>
      </c>
      <c r="L265" s="2">
        <v>0</v>
      </c>
      <c r="M265" s="2">
        <v>0</v>
      </c>
      <c r="N265" s="2">
        <v>0</v>
      </c>
      <c r="O265" s="2">
        <v>0</v>
      </c>
      <c r="P265" s="2" t="s">
        <v>434</v>
      </c>
      <c r="Q265" s="2" t="str">
        <f t="shared" si="39"/>
        <v>SI_SA_COMMON_SHIELD_ACCEL</v>
      </c>
      <c r="R265" s="2" t="b">
        <v>0</v>
      </c>
      <c r="S265" s="2" t="b">
        <v>1</v>
      </c>
      <c r="T265" s="2">
        <v>1</v>
      </c>
      <c r="V265" s="1" t="s">
        <v>136</v>
      </c>
      <c r="W265" s="2">
        <v>1.4</v>
      </c>
      <c r="X265" s="1" t="s">
        <v>137</v>
      </c>
      <c r="Y265" s="2">
        <f t="shared" si="41"/>
        <v>1.4</v>
      </c>
      <c r="Z265" s="1" t="s">
        <v>153</v>
      </c>
      <c r="AA265" s="2">
        <v>40</v>
      </c>
    </row>
    <row r="266" spans="1:27">
      <c r="A266" s="4">
        <v>302</v>
      </c>
      <c r="B266" s="7" t="str">
        <f>VLOOKUP($A266,SkillEnum!$A$2:$C$1020,2,FALSE)</f>
        <v>SI_SA_COMMON_SHIELD_ACCEL</v>
      </c>
      <c r="C266" s="7">
        <v>5</v>
      </c>
      <c r="D266" s="2" t="str">
        <f>VLOOKUP($C266,SkillEnum!$D$2:$E$10,2,FALSE)</f>
        <v>ST_BUFF</v>
      </c>
      <c r="E266" s="7" t="str">
        <f>VLOOKUP($A266,SkillEnum!$A$2:$C$1020,3,FALSE)</f>
        <v>실드 액셀레이터</v>
      </c>
      <c r="F266" s="7" t="str">
        <f t="shared" si="40"/>
        <v>45 초 동안 물리, 마법 방어력을 40 % 증가 시킨다. (모든 방어력 계열 버프는 중복 되지 않습니다.)</v>
      </c>
      <c r="G266" s="2">
        <v>5</v>
      </c>
      <c r="H266" s="2">
        <v>1</v>
      </c>
      <c r="I266" s="2">
        <v>10</v>
      </c>
      <c r="J266" s="2">
        <v>70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 t="s">
        <v>434</v>
      </c>
      <c r="Q266" s="2" t="str">
        <f t="shared" si="39"/>
        <v>SI_SA_COMMON_SHIELD_ACCEL</v>
      </c>
      <c r="R266" s="2" t="b">
        <v>0</v>
      </c>
      <c r="S266" s="2" t="b">
        <v>1</v>
      </c>
      <c r="T266" s="2">
        <v>1</v>
      </c>
      <c r="V266" s="1" t="s">
        <v>136</v>
      </c>
      <c r="W266" s="2">
        <v>1.4</v>
      </c>
      <c r="X266" s="1" t="s">
        <v>137</v>
      </c>
      <c r="Y266" s="2">
        <f t="shared" si="41"/>
        <v>1.4</v>
      </c>
      <c r="Z266" s="1" t="s">
        <v>153</v>
      </c>
      <c r="AA266" s="2">
        <v>45</v>
      </c>
    </row>
    <row r="267" spans="1:27">
      <c r="A267" s="4">
        <v>302</v>
      </c>
      <c r="B267" s="7" t="str">
        <f>VLOOKUP($A267,SkillEnum!$A$2:$C$1020,2,FALSE)</f>
        <v>SI_SA_COMMON_SHIELD_ACCEL</v>
      </c>
      <c r="C267" s="7">
        <v>5</v>
      </c>
      <c r="D267" s="2" t="str">
        <f>VLOOKUP($C267,SkillEnum!$D$2:$E$10,2,FALSE)</f>
        <v>ST_BUFF</v>
      </c>
      <c r="E267" s="7" t="str">
        <f>VLOOKUP($A267,SkillEnum!$A$2:$C$1020,3,FALSE)</f>
        <v>실드 액셀레이터</v>
      </c>
      <c r="F267" s="7" t="str">
        <f t="shared" si="40"/>
        <v>45 초 동안 물리, 마법 방어력을 46 % 증가 시킨다. (모든 방어력 계열 버프는 중복 되지 않습니다.)</v>
      </c>
      <c r="G267" s="2">
        <v>6</v>
      </c>
      <c r="H267" s="2">
        <v>1</v>
      </c>
      <c r="I267" s="2">
        <v>10</v>
      </c>
      <c r="J267" s="2">
        <v>70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 t="s">
        <v>434</v>
      </c>
      <c r="Q267" s="2" t="str">
        <f t="shared" si="39"/>
        <v>SI_SA_COMMON_SHIELD_ACCEL</v>
      </c>
      <c r="R267" s="2" t="b">
        <v>0</v>
      </c>
      <c r="S267" s="2" t="b">
        <v>1</v>
      </c>
      <c r="T267" s="2">
        <v>1</v>
      </c>
      <c r="V267" s="1" t="s">
        <v>136</v>
      </c>
      <c r="W267" s="2">
        <v>1.46</v>
      </c>
      <c r="X267" s="1" t="s">
        <v>137</v>
      </c>
      <c r="Y267" s="2">
        <f t="shared" si="41"/>
        <v>1.46</v>
      </c>
      <c r="Z267" s="1" t="s">
        <v>153</v>
      </c>
      <c r="AA267" s="2">
        <v>45</v>
      </c>
    </row>
    <row r="268" spans="1:27">
      <c r="A268" s="4">
        <v>302</v>
      </c>
      <c r="B268" s="7" t="str">
        <f>VLOOKUP($A268,SkillEnum!$A$2:$C$1020,2,FALSE)</f>
        <v>SI_SA_COMMON_SHIELD_ACCEL</v>
      </c>
      <c r="C268" s="7">
        <v>5</v>
      </c>
      <c r="D268" s="2" t="str">
        <f>VLOOKUP($C268,SkillEnum!$D$2:$E$10,2,FALSE)</f>
        <v>ST_BUFF</v>
      </c>
      <c r="E268" s="7" t="str">
        <f>VLOOKUP($A268,SkillEnum!$A$2:$C$1020,3,FALSE)</f>
        <v>실드 액셀레이터</v>
      </c>
      <c r="F268" s="7" t="str">
        <f t="shared" si="40"/>
        <v>45 초 동안 물리, 마법 방어력을 52 % 증가 시킨다. (모든 방어력 계열 버프는 중복 되지 않습니다.)</v>
      </c>
      <c r="G268" s="2">
        <v>7</v>
      </c>
      <c r="H268" s="2">
        <v>1</v>
      </c>
      <c r="I268" s="2">
        <v>10</v>
      </c>
      <c r="J268" s="2">
        <v>70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 t="s">
        <v>434</v>
      </c>
      <c r="Q268" s="2" t="str">
        <f t="shared" si="39"/>
        <v>SI_SA_COMMON_SHIELD_ACCEL</v>
      </c>
      <c r="R268" s="2" t="b">
        <v>0</v>
      </c>
      <c r="S268" s="2" t="b">
        <v>1</v>
      </c>
      <c r="T268" s="2">
        <v>1</v>
      </c>
      <c r="V268" s="1" t="s">
        <v>136</v>
      </c>
      <c r="W268" s="2">
        <v>1.52</v>
      </c>
      <c r="X268" s="1" t="s">
        <v>137</v>
      </c>
      <c r="Y268" s="2">
        <f t="shared" si="41"/>
        <v>1.52</v>
      </c>
      <c r="Z268" s="1" t="s">
        <v>153</v>
      </c>
      <c r="AA268" s="2">
        <v>45</v>
      </c>
    </row>
    <row r="269" spans="1:27">
      <c r="A269" s="4">
        <v>302</v>
      </c>
      <c r="B269" s="7" t="str">
        <f>VLOOKUP($A269,SkillEnum!$A$2:$C$1020,2,FALSE)</f>
        <v>SI_SA_COMMON_SHIELD_ACCEL</v>
      </c>
      <c r="C269" s="7">
        <v>5</v>
      </c>
      <c r="D269" s="2" t="str">
        <f>VLOOKUP($C269,SkillEnum!$D$2:$E$10,2,FALSE)</f>
        <v>ST_BUFF</v>
      </c>
      <c r="E269" s="7" t="str">
        <f>VLOOKUP($A269,SkillEnum!$A$2:$C$1020,3,FALSE)</f>
        <v>실드 액셀레이터</v>
      </c>
      <c r="F269" s="7" t="str">
        <f t="shared" si="40"/>
        <v>45 초 동안 물리, 마법 방어력을 58 % 증가 시킨다. (모든 방어력 계열 버프는 중복 되지 않습니다.)</v>
      </c>
      <c r="G269" s="2">
        <v>8</v>
      </c>
      <c r="H269" s="2">
        <v>1</v>
      </c>
      <c r="I269" s="2">
        <v>10</v>
      </c>
      <c r="J269" s="2">
        <v>70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 t="s">
        <v>434</v>
      </c>
      <c r="Q269" s="2" t="str">
        <f t="shared" si="39"/>
        <v>SI_SA_COMMON_SHIELD_ACCEL</v>
      </c>
      <c r="R269" s="2" t="b">
        <v>0</v>
      </c>
      <c r="S269" s="2" t="b">
        <v>1</v>
      </c>
      <c r="T269" s="2">
        <v>1</v>
      </c>
      <c r="V269" s="1" t="s">
        <v>136</v>
      </c>
      <c r="W269" s="2">
        <v>1.58</v>
      </c>
      <c r="X269" s="1" t="s">
        <v>137</v>
      </c>
      <c r="Y269" s="2">
        <f t="shared" si="41"/>
        <v>1.58</v>
      </c>
      <c r="Z269" s="1" t="s">
        <v>153</v>
      </c>
      <c r="AA269" s="2">
        <v>45</v>
      </c>
    </row>
    <row r="270" spans="1:27">
      <c r="A270" s="4">
        <v>302</v>
      </c>
      <c r="B270" s="7" t="str">
        <f>VLOOKUP($A270,SkillEnum!$A$2:$C$1020,2,FALSE)</f>
        <v>SI_SA_COMMON_SHIELD_ACCEL</v>
      </c>
      <c r="C270" s="7">
        <v>5</v>
      </c>
      <c r="D270" s="2" t="str">
        <f>VLOOKUP($C270,SkillEnum!$D$2:$E$10,2,FALSE)</f>
        <v>ST_BUFF</v>
      </c>
      <c r="E270" s="7" t="str">
        <f>VLOOKUP($A270,SkillEnum!$A$2:$C$1020,3,FALSE)</f>
        <v>실드 액셀레이터</v>
      </c>
      <c r="F270" s="7" t="str">
        <f t="shared" si="40"/>
        <v>45 초 동안 물리, 마법 방어력을 64 % 증가 시킨다. (모든 방어력 계열 버프는 중복 되지 않습니다.)</v>
      </c>
      <c r="G270" s="2">
        <v>9</v>
      </c>
      <c r="H270" s="2">
        <v>1</v>
      </c>
      <c r="I270" s="2">
        <v>10</v>
      </c>
      <c r="J270" s="2">
        <v>70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 t="s">
        <v>434</v>
      </c>
      <c r="Q270" s="2" t="str">
        <f t="shared" si="39"/>
        <v>SI_SA_COMMON_SHIELD_ACCEL</v>
      </c>
      <c r="R270" s="2" t="b">
        <v>0</v>
      </c>
      <c r="S270" s="2" t="b">
        <v>1</v>
      </c>
      <c r="T270" s="2">
        <v>1</v>
      </c>
      <c r="V270" s="1" t="s">
        <v>136</v>
      </c>
      <c r="W270" s="2">
        <v>1.64</v>
      </c>
      <c r="X270" s="1" t="s">
        <v>137</v>
      </c>
      <c r="Y270" s="2">
        <f t="shared" si="41"/>
        <v>1.64</v>
      </c>
      <c r="Z270" s="1" t="s">
        <v>153</v>
      </c>
      <c r="AA270" s="2">
        <v>45</v>
      </c>
    </row>
    <row r="271" spans="1:27" s="5" customFormat="1">
      <c r="A271" s="6">
        <v>302</v>
      </c>
      <c r="B271" s="8" t="str">
        <f>VLOOKUP($A271,SkillEnum!$A$2:$C$1020,2,FALSE)</f>
        <v>SI_SA_COMMON_SHIELD_ACCEL</v>
      </c>
      <c r="C271" s="8">
        <v>5</v>
      </c>
      <c r="D271" s="5" t="str">
        <f>VLOOKUP($C271,SkillEnum!$D$2:$E$10,2,FALSE)</f>
        <v>ST_BUFF</v>
      </c>
      <c r="E271" s="8" t="str">
        <f>VLOOKUP($A271,SkillEnum!$A$2:$C$1020,3,FALSE)</f>
        <v>실드 액셀레이터</v>
      </c>
      <c r="F271" s="8" t="str">
        <f t="shared" si="40"/>
        <v>45 초 동안 물리, 마법 방어력을 70 % 증가 시킨다. (모든 방어력 계열 버프는 중복 되지 않습니다.)</v>
      </c>
      <c r="G271" s="5">
        <v>10</v>
      </c>
      <c r="H271" s="5">
        <v>1</v>
      </c>
      <c r="I271" s="5">
        <v>10</v>
      </c>
      <c r="J271" s="5">
        <v>70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2" t="s">
        <v>434</v>
      </c>
      <c r="Q271" s="2" t="str">
        <f t="shared" si="39"/>
        <v>SI_SA_COMMON_SHIELD_ACCEL</v>
      </c>
      <c r="R271" s="5" t="b">
        <v>0</v>
      </c>
      <c r="S271" s="2" t="b">
        <v>1</v>
      </c>
      <c r="T271" s="2">
        <v>1</v>
      </c>
      <c r="U271" s="2"/>
      <c r="V271" s="5" t="s">
        <v>136</v>
      </c>
      <c r="W271" s="5">
        <v>1.7</v>
      </c>
      <c r="X271" s="5" t="s">
        <v>137</v>
      </c>
      <c r="Y271" s="5">
        <f t="shared" si="41"/>
        <v>1.7</v>
      </c>
      <c r="Z271" s="5" t="s">
        <v>153</v>
      </c>
      <c r="AA271" s="5">
        <v>45</v>
      </c>
    </row>
    <row r="272" spans="1:27">
      <c r="A272" s="4">
        <v>303</v>
      </c>
      <c r="B272" s="7" t="str">
        <f>VLOOKUP($A272,SkillEnum!$A$2:$C$1020,2,FALSE)</f>
        <v>SI_SA_COMMON_AURA_POWER_ACCEL</v>
      </c>
      <c r="C272" s="7">
        <v>5</v>
      </c>
      <c r="D272" s="2" t="str">
        <f>VLOOKUP($C272,SkillEnum!$D$2:$E$10,2,FALSE)</f>
        <v>ST_BUFF</v>
      </c>
      <c r="E272" s="11" t="str">
        <f>VLOOKUP($A272,SkillEnum!$A$2:$C$1020,3,FALSE)</f>
        <v>오러 파워 액셀레이터</v>
      </c>
      <c r="F272" s="11" t="str">
        <f>Y272&amp;" 초 동안 범위내 파티원 모두의 물리 공격력을 "&amp;ROUND((W272-1)*100,0)&amp;" % 증가 시킨다. (모든 공격력 계열 버프는 중복 되지 않습니다.)"</f>
        <v>25 초 동안 범위내 파티원 모두의 물리 공격력을 20 % 증가 시킨다. (모든 공격력 계열 버프는 중복 되지 않습니다.)</v>
      </c>
      <c r="G272" s="10">
        <v>1</v>
      </c>
      <c r="H272" s="2">
        <v>1</v>
      </c>
      <c r="I272" s="2">
        <v>10</v>
      </c>
      <c r="J272" s="2">
        <v>70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 t="s">
        <v>434</v>
      </c>
      <c r="Q272" s="2" t="str">
        <f t="shared" si="39"/>
        <v>SI_SA_COMMON_AURA_POWER_ACCEL</v>
      </c>
      <c r="R272" s="2" t="b">
        <v>0</v>
      </c>
      <c r="S272" s="2" t="b">
        <v>1</v>
      </c>
      <c r="T272" s="2">
        <v>1</v>
      </c>
      <c r="V272" s="1" t="s">
        <v>140</v>
      </c>
      <c r="W272" s="2">
        <v>1.2</v>
      </c>
      <c r="X272" s="1" t="s">
        <v>153</v>
      </c>
      <c r="Y272" s="2">
        <v>25</v>
      </c>
    </row>
    <row r="273" spans="1:25">
      <c r="A273" s="4">
        <v>303</v>
      </c>
      <c r="B273" s="7" t="str">
        <f>VLOOKUP($A273,SkillEnum!$A$2:$C$1020,2,FALSE)</f>
        <v>SI_SA_COMMON_AURA_POWER_ACCEL</v>
      </c>
      <c r="C273" s="7">
        <v>5</v>
      </c>
      <c r="D273" s="2" t="str">
        <f>VLOOKUP($C273,SkillEnum!$D$2:$E$10,2,FALSE)</f>
        <v>ST_BUFF</v>
      </c>
      <c r="E273" s="7" t="str">
        <f>VLOOKUP($A273,SkillEnum!$A$2:$C$1020,3,FALSE)</f>
        <v>오러 파워 액셀레이터</v>
      </c>
      <c r="F273" s="7" t="str">
        <f t="shared" ref="F273:F281" si="42">Y273&amp;" 초 동안 범위내 파티원 모두의 물리 공격력을 "&amp;ROUND((W273-1)*100,0)&amp;" % 증가 시킨다. (모든 공격력 계열 버프는 중복 되지 않습니다.)"</f>
        <v>30 초 동안 범위내 파티원 모두의 물리 공격력을 20 % 증가 시킨다. (모든 공격력 계열 버프는 중복 되지 않습니다.)</v>
      </c>
      <c r="G273" s="2">
        <v>2</v>
      </c>
      <c r="H273" s="2">
        <v>1</v>
      </c>
      <c r="I273" s="2">
        <v>10</v>
      </c>
      <c r="J273" s="2">
        <v>70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 t="s">
        <v>434</v>
      </c>
      <c r="Q273" s="2" t="str">
        <f t="shared" si="39"/>
        <v>SI_SA_COMMON_AURA_POWER_ACCEL</v>
      </c>
      <c r="R273" s="2" t="b">
        <v>0</v>
      </c>
      <c r="S273" s="2" t="b">
        <v>1</v>
      </c>
      <c r="T273" s="2">
        <v>1</v>
      </c>
      <c r="V273" s="1" t="s">
        <v>140</v>
      </c>
      <c r="W273" s="2">
        <v>1.2</v>
      </c>
      <c r="X273" s="1" t="s">
        <v>153</v>
      </c>
      <c r="Y273" s="2">
        <v>30</v>
      </c>
    </row>
    <row r="274" spans="1:25">
      <c r="A274" s="4">
        <v>303</v>
      </c>
      <c r="B274" s="7" t="str">
        <f>VLOOKUP($A274,SkillEnum!$A$2:$C$1020,2,FALSE)</f>
        <v>SI_SA_COMMON_AURA_POWER_ACCEL</v>
      </c>
      <c r="C274" s="7">
        <v>5</v>
      </c>
      <c r="D274" s="2" t="str">
        <f>VLOOKUP($C274,SkillEnum!$D$2:$E$10,2,FALSE)</f>
        <v>ST_BUFF</v>
      </c>
      <c r="E274" s="7" t="str">
        <f>VLOOKUP($A274,SkillEnum!$A$2:$C$1020,3,FALSE)</f>
        <v>오러 파워 액셀레이터</v>
      </c>
      <c r="F274" s="7" t="str">
        <f t="shared" si="42"/>
        <v>35 초 동안 범위내 파티원 모두의 물리 공격력을 20 % 증가 시킨다. (모든 공격력 계열 버프는 중복 되지 않습니다.)</v>
      </c>
      <c r="G274" s="2">
        <v>3</v>
      </c>
      <c r="H274" s="2">
        <v>1</v>
      </c>
      <c r="I274" s="2">
        <v>10</v>
      </c>
      <c r="J274" s="2">
        <v>70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 t="s">
        <v>434</v>
      </c>
      <c r="Q274" s="2" t="str">
        <f t="shared" si="39"/>
        <v>SI_SA_COMMON_AURA_POWER_ACCEL</v>
      </c>
      <c r="R274" s="2" t="b">
        <v>0</v>
      </c>
      <c r="S274" s="2" t="b">
        <v>1</v>
      </c>
      <c r="T274" s="2">
        <v>1</v>
      </c>
      <c r="V274" s="1" t="s">
        <v>140</v>
      </c>
      <c r="W274" s="2">
        <v>1.2</v>
      </c>
      <c r="X274" s="1" t="s">
        <v>153</v>
      </c>
      <c r="Y274" s="2">
        <v>35</v>
      </c>
    </row>
    <row r="275" spans="1:25">
      <c r="A275" s="4">
        <v>303</v>
      </c>
      <c r="B275" s="7" t="str">
        <f>VLOOKUP($A275,SkillEnum!$A$2:$C$1020,2,FALSE)</f>
        <v>SI_SA_COMMON_AURA_POWER_ACCEL</v>
      </c>
      <c r="C275" s="7">
        <v>5</v>
      </c>
      <c r="D275" s="2" t="str">
        <f>VLOOKUP($C275,SkillEnum!$D$2:$E$10,2,FALSE)</f>
        <v>ST_BUFF</v>
      </c>
      <c r="E275" s="7" t="str">
        <f>VLOOKUP($A275,SkillEnum!$A$2:$C$1020,3,FALSE)</f>
        <v>오러 파워 액셀레이터</v>
      </c>
      <c r="F275" s="7" t="str">
        <f t="shared" si="42"/>
        <v>40 초 동안 범위내 파티원 모두의 물리 공격력을 20 % 증가 시킨다. (모든 공격력 계열 버프는 중복 되지 않습니다.)</v>
      </c>
      <c r="G275" s="2">
        <v>4</v>
      </c>
      <c r="H275" s="2">
        <v>1</v>
      </c>
      <c r="I275" s="2">
        <v>10</v>
      </c>
      <c r="J275" s="2">
        <v>70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 t="s">
        <v>434</v>
      </c>
      <c r="Q275" s="2" t="str">
        <f t="shared" si="39"/>
        <v>SI_SA_COMMON_AURA_POWER_ACCEL</v>
      </c>
      <c r="R275" s="2" t="b">
        <v>0</v>
      </c>
      <c r="S275" s="2" t="b">
        <v>1</v>
      </c>
      <c r="T275" s="2">
        <v>1</v>
      </c>
      <c r="V275" s="1" t="s">
        <v>140</v>
      </c>
      <c r="W275" s="2">
        <v>1.2</v>
      </c>
      <c r="X275" s="1" t="s">
        <v>153</v>
      </c>
      <c r="Y275" s="2">
        <v>40</v>
      </c>
    </row>
    <row r="276" spans="1:25">
      <c r="A276" s="4">
        <v>303</v>
      </c>
      <c r="B276" s="7" t="str">
        <f>VLOOKUP($A276,SkillEnum!$A$2:$C$1020,2,FALSE)</f>
        <v>SI_SA_COMMON_AURA_POWER_ACCEL</v>
      </c>
      <c r="C276" s="7">
        <v>5</v>
      </c>
      <c r="D276" s="2" t="str">
        <f>VLOOKUP($C276,SkillEnum!$D$2:$E$10,2,FALSE)</f>
        <v>ST_BUFF</v>
      </c>
      <c r="E276" s="7" t="str">
        <f>VLOOKUP($A276,SkillEnum!$A$2:$C$1020,3,FALSE)</f>
        <v>오러 파워 액셀레이터</v>
      </c>
      <c r="F276" s="7" t="str">
        <f t="shared" si="42"/>
        <v>45 초 동안 범위내 파티원 모두의 물리 공격력을 20 % 증가 시킨다. (모든 공격력 계열 버프는 중복 되지 않습니다.)</v>
      </c>
      <c r="G276" s="2">
        <v>5</v>
      </c>
      <c r="H276" s="2">
        <v>1</v>
      </c>
      <c r="I276" s="2">
        <v>10</v>
      </c>
      <c r="J276" s="2">
        <v>70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 t="s">
        <v>434</v>
      </c>
      <c r="Q276" s="2" t="str">
        <f t="shared" si="39"/>
        <v>SI_SA_COMMON_AURA_POWER_ACCEL</v>
      </c>
      <c r="R276" s="2" t="b">
        <v>0</v>
      </c>
      <c r="S276" s="2" t="b">
        <v>1</v>
      </c>
      <c r="T276" s="2">
        <v>1</v>
      </c>
      <c r="V276" s="1" t="s">
        <v>140</v>
      </c>
      <c r="W276" s="2">
        <v>1.2</v>
      </c>
      <c r="X276" s="1" t="s">
        <v>153</v>
      </c>
      <c r="Y276" s="2">
        <v>45</v>
      </c>
    </row>
    <row r="277" spans="1:25">
      <c r="A277" s="4">
        <v>303</v>
      </c>
      <c r="B277" s="7" t="str">
        <f>VLOOKUP($A277,SkillEnum!$A$2:$C$1020,2,FALSE)</f>
        <v>SI_SA_COMMON_AURA_POWER_ACCEL</v>
      </c>
      <c r="C277" s="7">
        <v>5</v>
      </c>
      <c r="D277" s="2" t="str">
        <f>VLOOKUP($C277,SkillEnum!$D$2:$E$10,2,FALSE)</f>
        <v>ST_BUFF</v>
      </c>
      <c r="E277" s="7" t="str">
        <f>VLOOKUP($A277,SkillEnum!$A$2:$C$1020,3,FALSE)</f>
        <v>오러 파워 액셀레이터</v>
      </c>
      <c r="F277" s="7" t="str">
        <f t="shared" si="42"/>
        <v>45 초 동안 범위내 파티원 모두의 물리 공격력을 23 % 증가 시킨다. (모든 공격력 계열 버프는 중복 되지 않습니다.)</v>
      </c>
      <c r="G277" s="2">
        <v>6</v>
      </c>
      <c r="H277" s="2">
        <v>1</v>
      </c>
      <c r="I277" s="2">
        <v>10</v>
      </c>
      <c r="J277" s="2">
        <v>70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 t="s">
        <v>434</v>
      </c>
      <c r="Q277" s="2" t="str">
        <f t="shared" si="39"/>
        <v>SI_SA_COMMON_AURA_POWER_ACCEL</v>
      </c>
      <c r="R277" s="2" t="b">
        <v>0</v>
      </c>
      <c r="S277" s="2" t="b">
        <v>1</v>
      </c>
      <c r="T277" s="2">
        <v>1</v>
      </c>
      <c r="V277" s="1" t="s">
        <v>140</v>
      </c>
      <c r="W277" s="2">
        <v>1.23</v>
      </c>
      <c r="X277" s="1" t="s">
        <v>153</v>
      </c>
      <c r="Y277" s="2">
        <v>45</v>
      </c>
    </row>
    <row r="278" spans="1:25">
      <c r="A278" s="4">
        <v>303</v>
      </c>
      <c r="B278" s="7" t="str">
        <f>VLOOKUP($A278,SkillEnum!$A$2:$C$1020,2,FALSE)</f>
        <v>SI_SA_COMMON_AURA_POWER_ACCEL</v>
      </c>
      <c r="C278" s="7">
        <v>5</v>
      </c>
      <c r="D278" s="2" t="str">
        <f>VLOOKUP($C278,SkillEnum!$D$2:$E$10,2,FALSE)</f>
        <v>ST_BUFF</v>
      </c>
      <c r="E278" s="7" t="str">
        <f>VLOOKUP($A278,SkillEnum!$A$2:$C$1020,3,FALSE)</f>
        <v>오러 파워 액셀레이터</v>
      </c>
      <c r="F278" s="7" t="str">
        <f t="shared" si="42"/>
        <v>45 초 동안 범위내 파티원 모두의 물리 공격력을 26 % 증가 시킨다. (모든 공격력 계열 버프는 중복 되지 않습니다.)</v>
      </c>
      <c r="G278" s="2">
        <v>7</v>
      </c>
      <c r="H278" s="2">
        <v>1</v>
      </c>
      <c r="I278" s="2">
        <v>10</v>
      </c>
      <c r="J278" s="2">
        <v>70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 t="s">
        <v>434</v>
      </c>
      <c r="Q278" s="2" t="str">
        <f t="shared" si="39"/>
        <v>SI_SA_COMMON_AURA_POWER_ACCEL</v>
      </c>
      <c r="R278" s="2" t="b">
        <v>0</v>
      </c>
      <c r="S278" s="2" t="b">
        <v>1</v>
      </c>
      <c r="T278" s="2">
        <v>1</v>
      </c>
      <c r="V278" s="1" t="s">
        <v>140</v>
      </c>
      <c r="W278" s="2">
        <v>1.26</v>
      </c>
      <c r="X278" s="1" t="s">
        <v>153</v>
      </c>
      <c r="Y278" s="2">
        <v>45</v>
      </c>
    </row>
    <row r="279" spans="1:25">
      <c r="A279" s="4">
        <v>303</v>
      </c>
      <c r="B279" s="7" t="str">
        <f>VLOOKUP($A279,SkillEnum!$A$2:$C$1020,2,FALSE)</f>
        <v>SI_SA_COMMON_AURA_POWER_ACCEL</v>
      </c>
      <c r="C279" s="7">
        <v>5</v>
      </c>
      <c r="D279" s="2" t="str">
        <f>VLOOKUP($C279,SkillEnum!$D$2:$E$10,2,FALSE)</f>
        <v>ST_BUFF</v>
      </c>
      <c r="E279" s="7" t="str">
        <f>VLOOKUP($A279,SkillEnum!$A$2:$C$1020,3,FALSE)</f>
        <v>오러 파워 액셀레이터</v>
      </c>
      <c r="F279" s="7" t="str">
        <f t="shared" si="42"/>
        <v>45 초 동안 범위내 파티원 모두의 물리 공격력을 29 % 증가 시킨다. (모든 공격력 계열 버프는 중복 되지 않습니다.)</v>
      </c>
      <c r="G279" s="2">
        <v>8</v>
      </c>
      <c r="H279" s="2">
        <v>1</v>
      </c>
      <c r="I279" s="2">
        <v>10</v>
      </c>
      <c r="J279" s="2">
        <v>70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 t="s">
        <v>434</v>
      </c>
      <c r="Q279" s="2" t="str">
        <f t="shared" si="39"/>
        <v>SI_SA_COMMON_AURA_POWER_ACCEL</v>
      </c>
      <c r="R279" s="2" t="b">
        <v>0</v>
      </c>
      <c r="S279" s="2" t="b">
        <v>1</v>
      </c>
      <c r="T279" s="2">
        <v>1</v>
      </c>
      <c r="V279" s="1" t="s">
        <v>140</v>
      </c>
      <c r="W279" s="2">
        <v>1.29</v>
      </c>
      <c r="X279" s="1" t="s">
        <v>153</v>
      </c>
      <c r="Y279" s="2">
        <v>45</v>
      </c>
    </row>
    <row r="280" spans="1:25">
      <c r="A280" s="4">
        <v>303</v>
      </c>
      <c r="B280" s="7" t="str">
        <f>VLOOKUP($A280,SkillEnum!$A$2:$C$1020,2,FALSE)</f>
        <v>SI_SA_COMMON_AURA_POWER_ACCEL</v>
      </c>
      <c r="C280" s="7">
        <v>5</v>
      </c>
      <c r="D280" s="2" t="str">
        <f>VLOOKUP($C280,SkillEnum!$D$2:$E$10,2,FALSE)</f>
        <v>ST_BUFF</v>
      </c>
      <c r="E280" s="7" t="str">
        <f>VLOOKUP($A280,SkillEnum!$A$2:$C$1020,3,FALSE)</f>
        <v>오러 파워 액셀레이터</v>
      </c>
      <c r="F280" s="7" t="str">
        <f t="shared" si="42"/>
        <v>45 초 동안 범위내 파티원 모두의 물리 공격력을 32 % 증가 시킨다. (모든 공격력 계열 버프는 중복 되지 않습니다.)</v>
      </c>
      <c r="G280" s="2">
        <v>9</v>
      </c>
      <c r="H280" s="2">
        <v>1</v>
      </c>
      <c r="I280" s="2">
        <v>10</v>
      </c>
      <c r="J280" s="2">
        <v>70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 t="s">
        <v>434</v>
      </c>
      <c r="Q280" s="2" t="str">
        <f t="shared" si="39"/>
        <v>SI_SA_COMMON_AURA_POWER_ACCEL</v>
      </c>
      <c r="R280" s="2" t="b">
        <v>0</v>
      </c>
      <c r="S280" s="2" t="b">
        <v>1</v>
      </c>
      <c r="T280" s="2">
        <v>1</v>
      </c>
      <c r="V280" s="1" t="s">
        <v>140</v>
      </c>
      <c r="W280" s="2">
        <v>1.32</v>
      </c>
      <c r="X280" s="1" t="s">
        <v>153</v>
      </c>
      <c r="Y280" s="2">
        <v>45</v>
      </c>
    </row>
    <row r="281" spans="1:25" s="5" customFormat="1">
      <c r="A281" s="6">
        <v>303</v>
      </c>
      <c r="B281" s="8" t="str">
        <f>VLOOKUP($A281,SkillEnum!$A$2:$C$1020,2,FALSE)</f>
        <v>SI_SA_COMMON_AURA_POWER_ACCEL</v>
      </c>
      <c r="C281" s="8">
        <v>5</v>
      </c>
      <c r="D281" s="5" t="str">
        <f>VLOOKUP($C281,SkillEnum!$D$2:$E$10,2,FALSE)</f>
        <v>ST_BUFF</v>
      </c>
      <c r="E281" s="8" t="str">
        <f>VLOOKUP($A281,SkillEnum!$A$2:$C$1020,3,FALSE)</f>
        <v>오러 파워 액셀레이터</v>
      </c>
      <c r="F281" s="8" t="str">
        <f t="shared" si="42"/>
        <v>45 초 동안 범위내 파티원 모두의 물리 공격력을 35 % 증가 시킨다. (모든 공격력 계열 버프는 중복 되지 않습니다.)</v>
      </c>
      <c r="G281" s="5">
        <v>10</v>
      </c>
      <c r="H281" s="5">
        <v>1</v>
      </c>
      <c r="I281" s="5">
        <v>10</v>
      </c>
      <c r="J281" s="5">
        <v>70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2" t="s">
        <v>434</v>
      </c>
      <c r="Q281" s="2" t="str">
        <f t="shared" si="39"/>
        <v>SI_SA_COMMON_AURA_POWER_ACCEL</v>
      </c>
      <c r="R281" s="5" t="b">
        <v>0</v>
      </c>
      <c r="S281" s="2" t="b">
        <v>1</v>
      </c>
      <c r="T281" s="2">
        <v>1</v>
      </c>
      <c r="U281" s="2"/>
      <c r="V281" s="5" t="s">
        <v>140</v>
      </c>
      <c r="W281" s="5">
        <v>1.35</v>
      </c>
      <c r="X281" s="5" t="s">
        <v>153</v>
      </c>
      <c r="Y281" s="5">
        <v>45</v>
      </c>
    </row>
    <row r="282" spans="1:25">
      <c r="A282" s="4">
        <v>304</v>
      </c>
      <c r="B282" s="7" t="str">
        <f>VLOOKUP($A282,SkillEnum!$A$2:$C$1020,2,FALSE)</f>
        <v>SI_SA_COMMON_AURA_MAGIC_ACCEL</v>
      </c>
      <c r="C282" s="7">
        <v>5</v>
      </c>
      <c r="D282" s="2" t="str">
        <f>VLOOKUP($C282,SkillEnum!$D$2:$E$10,2,FALSE)</f>
        <v>ST_BUFF</v>
      </c>
      <c r="E282" s="11" t="str">
        <f>VLOOKUP($A282,SkillEnum!$A$2:$C$1020,3,FALSE)</f>
        <v>오러 매직 액셀레이터</v>
      </c>
      <c r="F282" s="11" t="str">
        <f>Y282&amp;" 초 동안 범위내 파티원 모두의 마법 공격력을 "&amp;ROUND((W282-1)*100,0)&amp;" % 증가 시킨다. (모든 공격력 계열 버프는 중복 되지 않습니다.)"</f>
        <v>25 초 동안 범위내 파티원 모두의 마법 공격력을 20 % 증가 시킨다. (모든 공격력 계열 버프는 중복 되지 않습니다.)</v>
      </c>
      <c r="G282" s="10">
        <v>1</v>
      </c>
      <c r="H282" s="2">
        <v>1</v>
      </c>
      <c r="I282" s="2">
        <v>10</v>
      </c>
      <c r="J282" s="2">
        <v>70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 t="s">
        <v>434</v>
      </c>
      <c r="Q282" s="2" t="str">
        <f t="shared" si="39"/>
        <v>SI_SA_COMMON_AURA_MAGIC_ACCEL</v>
      </c>
      <c r="R282" s="2" t="b">
        <v>0</v>
      </c>
      <c r="S282" s="2" t="b">
        <v>1</v>
      </c>
      <c r="T282" s="2">
        <v>1</v>
      </c>
      <c r="V282" s="1" t="s">
        <v>141</v>
      </c>
      <c r="W282" s="2">
        <v>1.2</v>
      </c>
      <c r="X282" s="1" t="s">
        <v>153</v>
      </c>
      <c r="Y282" s="2">
        <v>25</v>
      </c>
    </row>
    <row r="283" spans="1:25">
      <c r="A283" s="4">
        <v>304</v>
      </c>
      <c r="B283" s="7" t="str">
        <f>VLOOKUP($A283,SkillEnum!$A$2:$C$1020,2,FALSE)</f>
        <v>SI_SA_COMMON_AURA_MAGIC_ACCEL</v>
      </c>
      <c r="C283" s="7">
        <v>5</v>
      </c>
      <c r="D283" s="2" t="str">
        <f>VLOOKUP($C283,SkillEnum!$D$2:$E$10,2,FALSE)</f>
        <v>ST_BUFF</v>
      </c>
      <c r="E283" s="7" t="str">
        <f>VLOOKUP($A283,SkillEnum!$A$2:$C$1020,3,FALSE)</f>
        <v>오러 매직 액셀레이터</v>
      </c>
      <c r="F283" s="7" t="str">
        <f t="shared" ref="F283:F291" si="43">Y283&amp;" 초 동안 범위내 파티원 모두의 마법 공격력을 "&amp;ROUND((W283-1)*100,0)&amp;" % 증가 시킨다. (모든 공격력 계열 버프는 중복 되지 않습니다.)"</f>
        <v>30 초 동안 범위내 파티원 모두의 마법 공격력을 20 % 증가 시킨다. (모든 공격력 계열 버프는 중복 되지 않습니다.)</v>
      </c>
      <c r="G283" s="2">
        <v>2</v>
      </c>
      <c r="H283" s="2">
        <v>1</v>
      </c>
      <c r="I283" s="2">
        <v>10</v>
      </c>
      <c r="J283" s="2">
        <v>70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 t="s">
        <v>434</v>
      </c>
      <c r="Q283" s="2" t="str">
        <f t="shared" si="39"/>
        <v>SI_SA_COMMON_AURA_MAGIC_ACCEL</v>
      </c>
      <c r="R283" s="2" t="b">
        <v>0</v>
      </c>
      <c r="S283" s="2" t="b">
        <v>1</v>
      </c>
      <c r="T283" s="2">
        <v>1</v>
      </c>
      <c r="V283" s="1" t="s">
        <v>141</v>
      </c>
      <c r="W283" s="2">
        <v>1.2</v>
      </c>
      <c r="X283" s="1" t="s">
        <v>153</v>
      </c>
      <c r="Y283" s="2">
        <v>30</v>
      </c>
    </row>
    <row r="284" spans="1:25">
      <c r="A284" s="4">
        <v>304</v>
      </c>
      <c r="B284" s="7" t="str">
        <f>VLOOKUP($A284,SkillEnum!$A$2:$C$1020,2,FALSE)</f>
        <v>SI_SA_COMMON_AURA_MAGIC_ACCEL</v>
      </c>
      <c r="C284" s="7">
        <v>5</v>
      </c>
      <c r="D284" s="2" t="str">
        <f>VLOOKUP($C284,SkillEnum!$D$2:$E$10,2,FALSE)</f>
        <v>ST_BUFF</v>
      </c>
      <c r="E284" s="7" t="str">
        <f>VLOOKUP($A284,SkillEnum!$A$2:$C$1020,3,FALSE)</f>
        <v>오러 매직 액셀레이터</v>
      </c>
      <c r="F284" s="7" t="str">
        <f t="shared" si="43"/>
        <v>35 초 동안 범위내 파티원 모두의 마법 공격력을 20 % 증가 시킨다. (모든 공격력 계열 버프는 중복 되지 않습니다.)</v>
      </c>
      <c r="G284" s="2">
        <v>3</v>
      </c>
      <c r="H284" s="2">
        <v>1</v>
      </c>
      <c r="I284" s="2">
        <v>10</v>
      </c>
      <c r="J284" s="2">
        <v>70</v>
      </c>
      <c r="K284" s="2">
        <v>0</v>
      </c>
      <c r="L284" s="2">
        <v>0</v>
      </c>
      <c r="M284" s="2">
        <v>0</v>
      </c>
      <c r="N284" s="2">
        <v>0</v>
      </c>
      <c r="O284" s="2">
        <v>0</v>
      </c>
      <c r="P284" s="2" t="s">
        <v>434</v>
      </c>
      <c r="Q284" s="2" t="str">
        <f t="shared" si="39"/>
        <v>SI_SA_COMMON_AURA_MAGIC_ACCEL</v>
      </c>
      <c r="R284" s="2" t="b">
        <v>0</v>
      </c>
      <c r="S284" s="2" t="b">
        <v>1</v>
      </c>
      <c r="T284" s="2">
        <v>1</v>
      </c>
      <c r="V284" s="1" t="s">
        <v>141</v>
      </c>
      <c r="W284" s="2">
        <v>1.2</v>
      </c>
      <c r="X284" s="1" t="s">
        <v>153</v>
      </c>
      <c r="Y284" s="2">
        <v>35</v>
      </c>
    </row>
    <row r="285" spans="1:25">
      <c r="A285" s="4">
        <v>304</v>
      </c>
      <c r="B285" s="7" t="str">
        <f>VLOOKUP($A285,SkillEnum!$A$2:$C$1020,2,FALSE)</f>
        <v>SI_SA_COMMON_AURA_MAGIC_ACCEL</v>
      </c>
      <c r="C285" s="7">
        <v>5</v>
      </c>
      <c r="D285" s="2" t="str">
        <f>VLOOKUP($C285,SkillEnum!$D$2:$E$10,2,FALSE)</f>
        <v>ST_BUFF</v>
      </c>
      <c r="E285" s="7" t="str">
        <f>VLOOKUP($A285,SkillEnum!$A$2:$C$1020,3,FALSE)</f>
        <v>오러 매직 액셀레이터</v>
      </c>
      <c r="F285" s="7" t="str">
        <f t="shared" si="43"/>
        <v>40 초 동안 범위내 파티원 모두의 마법 공격력을 20 % 증가 시킨다. (모든 공격력 계열 버프는 중복 되지 않습니다.)</v>
      </c>
      <c r="G285" s="2">
        <v>4</v>
      </c>
      <c r="H285" s="2">
        <v>1</v>
      </c>
      <c r="I285" s="2">
        <v>10</v>
      </c>
      <c r="J285" s="2">
        <v>70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 t="s">
        <v>434</v>
      </c>
      <c r="Q285" s="2" t="str">
        <f t="shared" si="39"/>
        <v>SI_SA_COMMON_AURA_MAGIC_ACCEL</v>
      </c>
      <c r="R285" s="2" t="b">
        <v>0</v>
      </c>
      <c r="S285" s="2" t="b">
        <v>1</v>
      </c>
      <c r="T285" s="2">
        <v>1</v>
      </c>
      <c r="V285" s="1" t="s">
        <v>141</v>
      </c>
      <c r="W285" s="2">
        <v>1.2</v>
      </c>
      <c r="X285" s="1" t="s">
        <v>153</v>
      </c>
      <c r="Y285" s="2">
        <v>40</v>
      </c>
    </row>
    <row r="286" spans="1:25">
      <c r="A286" s="4">
        <v>304</v>
      </c>
      <c r="B286" s="7" t="str">
        <f>VLOOKUP($A286,SkillEnum!$A$2:$C$1020,2,FALSE)</f>
        <v>SI_SA_COMMON_AURA_MAGIC_ACCEL</v>
      </c>
      <c r="C286" s="7">
        <v>5</v>
      </c>
      <c r="D286" s="2" t="str">
        <f>VLOOKUP($C286,SkillEnum!$D$2:$E$10,2,FALSE)</f>
        <v>ST_BUFF</v>
      </c>
      <c r="E286" s="7" t="str">
        <f>VLOOKUP($A286,SkillEnum!$A$2:$C$1020,3,FALSE)</f>
        <v>오러 매직 액셀레이터</v>
      </c>
      <c r="F286" s="7" t="str">
        <f t="shared" si="43"/>
        <v>45 초 동안 범위내 파티원 모두의 마법 공격력을 20 % 증가 시킨다. (모든 공격력 계열 버프는 중복 되지 않습니다.)</v>
      </c>
      <c r="G286" s="2">
        <v>5</v>
      </c>
      <c r="H286" s="2">
        <v>1</v>
      </c>
      <c r="I286" s="2">
        <v>10</v>
      </c>
      <c r="J286" s="2">
        <v>70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 t="s">
        <v>434</v>
      </c>
      <c r="Q286" s="2" t="str">
        <f t="shared" si="39"/>
        <v>SI_SA_COMMON_AURA_MAGIC_ACCEL</v>
      </c>
      <c r="R286" s="2" t="b">
        <v>0</v>
      </c>
      <c r="S286" s="2" t="b">
        <v>1</v>
      </c>
      <c r="T286" s="2">
        <v>1</v>
      </c>
      <c r="V286" s="1" t="s">
        <v>141</v>
      </c>
      <c r="W286" s="2">
        <v>1.2</v>
      </c>
      <c r="X286" s="1" t="s">
        <v>153</v>
      </c>
      <c r="Y286" s="2">
        <v>45</v>
      </c>
    </row>
    <row r="287" spans="1:25">
      <c r="A287" s="4">
        <v>304</v>
      </c>
      <c r="B287" s="7" t="str">
        <f>VLOOKUP($A287,SkillEnum!$A$2:$C$1020,2,FALSE)</f>
        <v>SI_SA_COMMON_AURA_MAGIC_ACCEL</v>
      </c>
      <c r="C287" s="7">
        <v>5</v>
      </c>
      <c r="D287" s="2" t="str">
        <f>VLOOKUP($C287,SkillEnum!$D$2:$E$10,2,FALSE)</f>
        <v>ST_BUFF</v>
      </c>
      <c r="E287" s="7" t="str">
        <f>VLOOKUP($A287,SkillEnum!$A$2:$C$1020,3,FALSE)</f>
        <v>오러 매직 액셀레이터</v>
      </c>
      <c r="F287" s="7" t="str">
        <f t="shared" si="43"/>
        <v>45 초 동안 범위내 파티원 모두의 마법 공격력을 23 % 증가 시킨다. (모든 공격력 계열 버프는 중복 되지 않습니다.)</v>
      </c>
      <c r="G287" s="2">
        <v>6</v>
      </c>
      <c r="H287" s="2">
        <v>1</v>
      </c>
      <c r="I287" s="2">
        <v>10</v>
      </c>
      <c r="J287" s="2">
        <v>70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 t="s">
        <v>434</v>
      </c>
      <c r="Q287" s="2" t="str">
        <f t="shared" si="39"/>
        <v>SI_SA_COMMON_AURA_MAGIC_ACCEL</v>
      </c>
      <c r="R287" s="2" t="b">
        <v>0</v>
      </c>
      <c r="S287" s="2" t="b">
        <v>1</v>
      </c>
      <c r="T287" s="2">
        <v>1</v>
      </c>
      <c r="V287" s="1" t="s">
        <v>141</v>
      </c>
      <c r="W287" s="2">
        <v>1.23</v>
      </c>
      <c r="X287" s="1" t="s">
        <v>153</v>
      </c>
      <c r="Y287" s="2">
        <v>45</v>
      </c>
    </row>
    <row r="288" spans="1:25">
      <c r="A288" s="4">
        <v>304</v>
      </c>
      <c r="B288" s="7" t="str">
        <f>VLOOKUP($A288,SkillEnum!$A$2:$C$1020,2,FALSE)</f>
        <v>SI_SA_COMMON_AURA_MAGIC_ACCEL</v>
      </c>
      <c r="C288" s="7">
        <v>5</v>
      </c>
      <c r="D288" s="2" t="str">
        <f>VLOOKUP($C288,SkillEnum!$D$2:$E$10,2,FALSE)</f>
        <v>ST_BUFF</v>
      </c>
      <c r="E288" s="7" t="str">
        <f>VLOOKUP($A288,SkillEnum!$A$2:$C$1020,3,FALSE)</f>
        <v>오러 매직 액셀레이터</v>
      </c>
      <c r="F288" s="7" t="str">
        <f t="shared" si="43"/>
        <v>45 초 동안 범위내 파티원 모두의 마법 공격력을 26 % 증가 시킨다. (모든 공격력 계열 버프는 중복 되지 않습니다.)</v>
      </c>
      <c r="G288" s="2">
        <v>7</v>
      </c>
      <c r="H288" s="2">
        <v>1</v>
      </c>
      <c r="I288" s="2">
        <v>10</v>
      </c>
      <c r="J288" s="2">
        <v>70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 t="s">
        <v>434</v>
      </c>
      <c r="Q288" s="2" t="str">
        <f t="shared" si="39"/>
        <v>SI_SA_COMMON_AURA_MAGIC_ACCEL</v>
      </c>
      <c r="R288" s="2" t="b">
        <v>0</v>
      </c>
      <c r="S288" s="2" t="b">
        <v>1</v>
      </c>
      <c r="T288" s="2">
        <v>1</v>
      </c>
      <c r="V288" s="1" t="s">
        <v>141</v>
      </c>
      <c r="W288" s="2">
        <v>1.26</v>
      </c>
      <c r="X288" s="1" t="s">
        <v>153</v>
      </c>
      <c r="Y288" s="2">
        <v>45</v>
      </c>
    </row>
    <row r="289" spans="1:27">
      <c r="A289" s="4">
        <v>304</v>
      </c>
      <c r="B289" s="7" t="str">
        <f>VLOOKUP($A289,SkillEnum!$A$2:$C$1020,2,FALSE)</f>
        <v>SI_SA_COMMON_AURA_MAGIC_ACCEL</v>
      </c>
      <c r="C289" s="7">
        <v>5</v>
      </c>
      <c r="D289" s="2" t="str">
        <f>VLOOKUP($C289,SkillEnum!$D$2:$E$10,2,FALSE)</f>
        <v>ST_BUFF</v>
      </c>
      <c r="E289" s="7" t="str">
        <f>VLOOKUP($A289,SkillEnum!$A$2:$C$1020,3,FALSE)</f>
        <v>오러 매직 액셀레이터</v>
      </c>
      <c r="F289" s="7" t="str">
        <f t="shared" si="43"/>
        <v>45 초 동안 범위내 파티원 모두의 마법 공격력을 29 % 증가 시킨다. (모든 공격력 계열 버프는 중복 되지 않습니다.)</v>
      </c>
      <c r="G289" s="2">
        <v>8</v>
      </c>
      <c r="H289" s="2">
        <v>1</v>
      </c>
      <c r="I289" s="2">
        <v>10</v>
      </c>
      <c r="J289" s="2">
        <v>70</v>
      </c>
      <c r="K289" s="2">
        <v>0</v>
      </c>
      <c r="L289" s="2">
        <v>0</v>
      </c>
      <c r="M289" s="2">
        <v>0</v>
      </c>
      <c r="N289" s="2">
        <v>0</v>
      </c>
      <c r="O289" s="2">
        <v>0</v>
      </c>
      <c r="P289" s="2" t="s">
        <v>434</v>
      </c>
      <c r="Q289" s="2" t="str">
        <f t="shared" si="39"/>
        <v>SI_SA_COMMON_AURA_MAGIC_ACCEL</v>
      </c>
      <c r="R289" s="2" t="b">
        <v>0</v>
      </c>
      <c r="S289" s="2" t="b">
        <v>1</v>
      </c>
      <c r="T289" s="2">
        <v>1</v>
      </c>
      <c r="V289" s="1" t="s">
        <v>141</v>
      </c>
      <c r="W289" s="2">
        <v>1.29</v>
      </c>
      <c r="X289" s="1" t="s">
        <v>153</v>
      </c>
      <c r="Y289" s="2">
        <v>45</v>
      </c>
    </row>
    <row r="290" spans="1:27">
      <c r="A290" s="4">
        <v>304</v>
      </c>
      <c r="B290" s="7" t="str">
        <f>VLOOKUP($A290,SkillEnum!$A$2:$C$1020,2,FALSE)</f>
        <v>SI_SA_COMMON_AURA_MAGIC_ACCEL</v>
      </c>
      <c r="C290" s="7">
        <v>5</v>
      </c>
      <c r="D290" s="2" t="str">
        <f>VLOOKUP($C290,SkillEnum!$D$2:$E$10,2,FALSE)</f>
        <v>ST_BUFF</v>
      </c>
      <c r="E290" s="7" t="str">
        <f>VLOOKUP($A290,SkillEnum!$A$2:$C$1020,3,FALSE)</f>
        <v>오러 매직 액셀레이터</v>
      </c>
      <c r="F290" s="7" t="str">
        <f t="shared" si="43"/>
        <v>45 초 동안 범위내 파티원 모두의 마법 공격력을 32 % 증가 시킨다. (모든 공격력 계열 버프는 중복 되지 않습니다.)</v>
      </c>
      <c r="G290" s="2">
        <v>9</v>
      </c>
      <c r="H290" s="2">
        <v>1</v>
      </c>
      <c r="I290" s="2">
        <v>10</v>
      </c>
      <c r="J290" s="2">
        <v>70</v>
      </c>
      <c r="K290" s="2">
        <v>0</v>
      </c>
      <c r="L290" s="2">
        <v>0</v>
      </c>
      <c r="M290" s="2">
        <v>0</v>
      </c>
      <c r="N290" s="2">
        <v>0</v>
      </c>
      <c r="O290" s="2">
        <v>0</v>
      </c>
      <c r="P290" s="2" t="s">
        <v>434</v>
      </c>
      <c r="Q290" s="2" t="str">
        <f t="shared" si="39"/>
        <v>SI_SA_COMMON_AURA_MAGIC_ACCEL</v>
      </c>
      <c r="R290" s="2" t="b">
        <v>0</v>
      </c>
      <c r="S290" s="2" t="b">
        <v>1</v>
      </c>
      <c r="T290" s="2">
        <v>1</v>
      </c>
      <c r="V290" s="1" t="s">
        <v>141</v>
      </c>
      <c r="W290" s="2">
        <v>1.32</v>
      </c>
      <c r="X290" s="1" t="s">
        <v>153</v>
      </c>
      <c r="Y290" s="2">
        <v>45</v>
      </c>
    </row>
    <row r="291" spans="1:27" s="5" customFormat="1">
      <c r="A291" s="6">
        <v>304</v>
      </c>
      <c r="B291" s="8" t="str">
        <f>VLOOKUP($A291,SkillEnum!$A$2:$C$1020,2,FALSE)</f>
        <v>SI_SA_COMMON_AURA_MAGIC_ACCEL</v>
      </c>
      <c r="C291" s="8">
        <v>5</v>
      </c>
      <c r="D291" s="5" t="str">
        <f>VLOOKUP($C291,SkillEnum!$D$2:$E$10,2,FALSE)</f>
        <v>ST_BUFF</v>
      </c>
      <c r="E291" s="8" t="str">
        <f>VLOOKUP($A291,SkillEnum!$A$2:$C$1020,3,FALSE)</f>
        <v>오러 매직 액셀레이터</v>
      </c>
      <c r="F291" s="8" t="str">
        <f t="shared" si="43"/>
        <v>45 초 동안 범위내 파티원 모두의 마법 공격력을 35 % 증가 시킨다. (모든 공격력 계열 버프는 중복 되지 않습니다.)</v>
      </c>
      <c r="G291" s="5">
        <v>10</v>
      </c>
      <c r="H291" s="5">
        <v>1</v>
      </c>
      <c r="I291" s="5">
        <v>10</v>
      </c>
      <c r="J291" s="5">
        <v>70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2" t="s">
        <v>434</v>
      </c>
      <c r="Q291" s="2" t="str">
        <f t="shared" si="39"/>
        <v>SI_SA_COMMON_AURA_MAGIC_ACCEL</v>
      </c>
      <c r="R291" s="5" t="b">
        <v>0</v>
      </c>
      <c r="S291" s="2" t="b">
        <v>1</v>
      </c>
      <c r="T291" s="2">
        <v>1</v>
      </c>
      <c r="U291" s="2"/>
      <c r="V291" s="5" t="s">
        <v>141</v>
      </c>
      <c r="W291" s="5">
        <v>1.35</v>
      </c>
      <c r="X291" s="5" t="s">
        <v>153</v>
      </c>
      <c r="Y291" s="5">
        <v>45</v>
      </c>
    </row>
    <row r="292" spans="1:27">
      <c r="A292" s="4">
        <v>305</v>
      </c>
      <c r="B292" s="7" t="str">
        <f>VLOOKUP($A292,SkillEnum!$A$2:$C$1020,2,FALSE)</f>
        <v>SI_SA_COMMON_AURA_SHIELD_ACCEL</v>
      </c>
      <c r="C292" s="7">
        <v>5</v>
      </c>
      <c r="D292" s="2" t="str">
        <f>VLOOKUP($C292,SkillEnum!$D$2:$E$10,2,FALSE)</f>
        <v>ST_BUFF</v>
      </c>
      <c r="E292" s="11" t="str">
        <f>VLOOKUP($A292,SkillEnum!$A$2:$C$1020,3,FALSE)</f>
        <v>오러 실드 액셀레이터</v>
      </c>
      <c r="F292" s="11" t="str">
        <f>AA292&amp;" 초 동안 범위내 파티원 모두의 물리, 마법 방어력을 "&amp;ROUND((W292-1)*100,0)&amp;" % 증가 시킨다. (모든 방어력 계열 버프는 중복 되지 않습니다.)"</f>
        <v>25 초 동안 범위내 파티원 모두의 물리, 마법 방어력을 40 % 증가 시킨다. (모든 방어력 계열 버프는 중복 되지 않습니다.)</v>
      </c>
      <c r="G292" s="10">
        <v>1</v>
      </c>
      <c r="H292" s="2">
        <v>1</v>
      </c>
      <c r="I292" s="2">
        <v>10</v>
      </c>
      <c r="J292" s="2">
        <v>70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 t="s">
        <v>434</v>
      </c>
      <c r="Q292" s="2" t="str">
        <f t="shared" si="39"/>
        <v>SI_SA_COMMON_AURA_SHIELD_ACCEL</v>
      </c>
      <c r="R292" s="2" t="b">
        <v>0</v>
      </c>
      <c r="S292" s="2" t="b">
        <v>1</v>
      </c>
      <c r="T292" s="2">
        <v>1</v>
      </c>
      <c r="V292" s="10" t="s">
        <v>142</v>
      </c>
      <c r="W292" s="2">
        <v>1.4</v>
      </c>
      <c r="X292" s="10" t="s">
        <v>143</v>
      </c>
      <c r="Y292" s="10">
        <f>W292</f>
        <v>1.4</v>
      </c>
      <c r="Z292" s="1" t="s">
        <v>153</v>
      </c>
      <c r="AA292" s="2">
        <v>25</v>
      </c>
    </row>
    <row r="293" spans="1:27">
      <c r="A293" s="4">
        <v>305</v>
      </c>
      <c r="B293" s="7" t="str">
        <f>VLOOKUP($A293,SkillEnum!$A$2:$C$1020,2,FALSE)</f>
        <v>SI_SA_COMMON_AURA_SHIELD_ACCEL</v>
      </c>
      <c r="C293" s="7">
        <v>5</v>
      </c>
      <c r="D293" s="2" t="str">
        <f>VLOOKUP($C293,SkillEnum!$D$2:$E$10,2,FALSE)</f>
        <v>ST_BUFF</v>
      </c>
      <c r="E293" s="7" t="str">
        <f>VLOOKUP($A293,SkillEnum!$A$2:$C$1020,3,FALSE)</f>
        <v>오러 실드 액셀레이터</v>
      </c>
      <c r="F293" s="7" t="str">
        <f t="shared" ref="F293:F301" si="44">AA293&amp;" 초 동안 범위내 파티원 모두의 물리, 마법 방어력을 "&amp;ROUND((W293-1)*100,0)&amp;" % 증가 시킨다. (모든 방어력 계열 버프는 중복 되지 않습니다.)"</f>
        <v>30 초 동안 범위내 파티원 모두의 물리, 마법 방어력을 40 % 증가 시킨다. (모든 방어력 계열 버프는 중복 되지 않습니다.)</v>
      </c>
      <c r="G293" s="2">
        <v>2</v>
      </c>
      <c r="H293" s="2">
        <v>1</v>
      </c>
      <c r="I293" s="2">
        <v>10</v>
      </c>
      <c r="J293" s="2">
        <v>70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 t="s">
        <v>434</v>
      </c>
      <c r="Q293" s="2" t="str">
        <f t="shared" si="39"/>
        <v>SI_SA_COMMON_AURA_SHIELD_ACCEL</v>
      </c>
      <c r="R293" s="2" t="b">
        <v>0</v>
      </c>
      <c r="S293" s="2" t="b">
        <v>1</v>
      </c>
      <c r="T293" s="2">
        <v>1</v>
      </c>
      <c r="V293" s="2" t="s">
        <v>142</v>
      </c>
      <c r="W293" s="2">
        <v>1.4</v>
      </c>
      <c r="X293" s="2" t="s">
        <v>143</v>
      </c>
      <c r="Y293" s="2">
        <f>W293</f>
        <v>1.4</v>
      </c>
      <c r="Z293" s="1" t="s">
        <v>153</v>
      </c>
      <c r="AA293" s="2">
        <v>30</v>
      </c>
    </row>
    <row r="294" spans="1:27">
      <c r="A294" s="4">
        <v>305</v>
      </c>
      <c r="B294" s="7" t="str">
        <f>VLOOKUP($A294,SkillEnum!$A$2:$C$1020,2,FALSE)</f>
        <v>SI_SA_COMMON_AURA_SHIELD_ACCEL</v>
      </c>
      <c r="C294" s="7">
        <v>5</v>
      </c>
      <c r="D294" s="2" t="str">
        <f>VLOOKUP($C294,SkillEnum!$D$2:$E$10,2,FALSE)</f>
        <v>ST_BUFF</v>
      </c>
      <c r="E294" s="7" t="str">
        <f>VLOOKUP($A294,SkillEnum!$A$2:$C$1020,3,FALSE)</f>
        <v>오러 실드 액셀레이터</v>
      </c>
      <c r="F294" s="7" t="str">
        <f t="shared" si="44"/>
        <v>35 초 동안 범위내 파티원 모두의 물리, 마법 방어력을 40 % 증가 시킨다. (모든 방어력 계열 버프는 중복 되지 않습니다.)</v>
      </c>
      <c r="G294" s="2">
        <v>3</v>
      </c>
      <c r="H294" s="2">
        <v>1</v>
      </c>
      <c r="I294" s="2">
        <v>10</v>
      </c>
      <c r="J294" s="2">
        <v>70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 t="s">
        <v>434</v>
      </c>
      <c r="Q294" s="2" t="str">
        <f t="shared" si="39"/>
        <v>SI_SA_COMMON_AURA_SHIELD_ACCEL</v>
      </c>
      <c r="R294" s="2" t="b">
        <v>0</v>
      </c>
      <c r="S294" s="2" t="b">
        <v>1</v>
      </c>
      <c r="T294" s="2">
        <v>1</v>
      </c>
      <c r="V294" s="2" t="s">
        <v>142</v>
      </c>
      <c r="W294" s="2">
        <v>1.4</v>
      </c>
      <c r="X294" s="2" t="s">
        <v>143</v>
      </c>
      <c r="Y294" s="2">
        <f t="shared" ref="Y294:Y301" si="45">W294</f>
        <v>1.4</v>
      </c>
      <c r="Z294" s="1" t="s">
        <v>153</v>
      </c>
      <c r="AA294" s="2">
        <v>35</v>
      </c>
    </row>
    <row r="295" spans="1:27">
      <c r="A295" s="4">
        <v>305</v>
      </c>
      <c r="B295" s="7" t="str">
        <f>VLOOKUP($A295,SkillEnum!$A$2:$C$1020,2,FALSE)</f>
        <v>SI_SA_COMMON_AURA_SHIELD_ACCEL</v>
      </c>
      <c r="C295" s="7">
        <v>5</v>
      </c>
      <c r="D295" s="2" t="str">
        <f>VLOOKUP($C295,SkillEnum!$D$2:$E$10,2,FALSE)</f>
        <v>ST_BUFF</v>
      </c>
      <c r="E295" s="7" t="str">
        <f>VLOOKUP($A295,SkillEnum!$A$2:$C$1020,3,FALSE)</f>
        <v>오러 실드 액셀레이터</v>
      </c>
      <c r="F295" s="7" t="str">
        <f t="shared" si="44"/>
        <v>40 초 동안 범위내 파티원 모두의 물리, 마법 방어력을 40 % 증가 시킨다. (모든 방어력 계열 버프는 중복 되지 않습니다.)</v>
      </c>
      <c r="G295" s="2">
        <v>4</v>
      </c>
      <c r="H295" s="2">
        <v>1</v>
      </c>
      <c r="I295" s="2">
        <v>10</v>
      </c>
      <c r="J295" s="2">
        <v>70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 t="s">
        <v>434</v>
      </c>
      <c r="Q295" s="2" t="str">
        <f t="shared" si="39"/>
        <v>SI_SA_COMMON_AURA_SHIELD_ACCEL</v>
      </c>
      <c r="R295" s="2" t="b">
        <v>0</v>
      </c>
      <c r="S295" s="2" t="b">
        <v>1</v>
      </c>
      <c r="T295" s="2">
        <v>1</v>
      </c>
      <c r="V295" s="2" t="s">
        <v>142</v>
      </c>
      <c r="W295" s="2">
        <v>1.4</v>
      </c>
      <c r="X295" s="2" t="s">
        <v>143</v>
      </c>
      <c r="Y295" s="2">
        <f t="shared" si="45"/>
        <v>1.4</v>
      </c>
      <c r="Z295" s="1" t="s">
        <v>153</v>
      </c>
      <c r="AA295" s="2">
        <v>40</v>
      </c>
    </row>
    <row r="296" spans="1:27">
      <c r="A296" s="4">
        <v>305</v>
      </c>
      <c r="B296" s="7" t="str">
        <f>VLOOKUP($A296,SkillEnum!$A$2:$C$1020,2,FALSE)</f>
        <v>SI_SA_COMMON_AURA_SHIELD_ACCEL</v>
      </c>
      <c r="C296" s="7">
        <v>5</v>
      </c>
      <c r="D296" s="2" t="str">
        <f>VLOOKUP($C296,SkillEnum!$D$2:$E$10,2,FALSE)</f>
        <v>ST_BUFF</v>
      </c>
      <c r="E296" s="7" t="str">
        <f>VLOOKUP($A296,SkillEnum!$A$2:$C$1020,3,FALSE)</f>
        <v>오러 실드 액셀레이터</v>
      </c>
      <c r="F296" s="7" t="str">
        <f t="shared" si="44"/>
        <v>45 초 동안 범위내 파티원 모두의 물리, 마법 방어력을 40 % 증가 시킨다. (모든 방어력 계열 버프는 중복 되지 않습니다.)</v>
      </c>
      <c r="G296" s="2">
        <v>5</v>
      </c>
      <c r="H296" s="2">
        <v>1</v>
      </c>
      <c r="I296" s="2">
        <v>10</v>
      </c>
      <c r="J296" s="2">
        <v>70</v>
      </c>
      <c r="K296" s="2">
        <v>0</v>
      </c>
      <c r="L296" s="2">
        <v>0</v>
      </c>
      <c r="M296" s="2">
        <v>0</v>
      </c>
      <c r="N296" s="2">
        <v>0</v>
      </c>
      <c r="O296" s="2">
        <v>0</v>
      </c>
      <c r="P296" s="2" t="s">
        <v>434</v>
      </c>
      <c r="Q296" s="2" t="str">
        <f t="shared" si="39"/>
        <v>SI_SA_COMMON_AURA_SHIELD_ACCEL</v>
      </c>
      <c r="R296" s="2" t="b">
        <v>0</v>
      </c>
      <c r="S296" s="2" t="b">
        <v>1</v>
      </c>
      <c r="T296" s="2">
        <v>1</v>
      </c>
      <c r="V296" s="2" t="s">
        <v>142</v>
      </c>
      <c r="W296" s="2">
        <v>1.4</v>
      </c>
      <c r="X296" s="2" t="s">
        <v>143</v>
      </c>
      <c r="Y296" s="2">
        <f t="shared" si="45"/>
        <v>1.4</v>
      </c>
      <c r="Z296" s="1" t="s">
        <v>153</v>
      </c>
      <c r="AA296" s="2">
        <v>45</v>
      </c>
    </row>
    <row r="297" spans="1:27">
      <c r="A297" s="4">
        <v>305</v>
      </c>
      <c r="B297" s="7" t="str">
        <f>VLOOKUP($A297,SkillEnum!$A$2:$C$1020,2,FALSE)</f>
        <v>SI_SA_COMMON_AURA_SHIELD_ACCEL</v>
      </c>
      <c r="C297" s="7">
        <v>5</v>
      </c>
      <c r="D297" s="2" t="str">
        <f>VLOOKUP($C297,SkillEnum!$D$2:$E$10,2,FALSE)</f>
        <v>ST_BUFF</v>
      </c>
      <c r="E297" s="7" t="str">
        <f>VLOOKUP($A297,SkillEnum!$A$2:$C$1020,3,FALSE)</f>
        <v>오러 실드 액셀레이터</v>
      </c>
      <c r="F297" s="7" t="str">
        <f t="shared" si="44"/>
        <v>45 초 동안 범위내 파티원 모두의 물리, 마법 방어력을 46 % 증가 시킨다. (모든 방어력 계열 버프는 중복 되지 않습니다.)</v>
      </c>
      <c r="G297" s="2">
        <v>6</v>
      </c>
      <c r="H297" s="2">
        <v>1</v>
      </c>
      <c r="I297" s="2">
        <v>10</v>
      </c>
      <c r="J297" s="2">
        <v>70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 t="s">
        <v>434</v>
      </c>
      <c r="Q297" s="2" t="str">
        <f t="shared" si="39"/>
        <v>SI_SA_COMMON_AURA_SHIELD_ACCEL</v>
      </c>
      <c r="R297" s="2" t="b">
        <v>0</v>
      </c>
      <c r="S297" s="2" t="b">
        <v>1</v>
      </c>
      <c r="T297" s="2">
        <v>1</v>
      </c>
      <c r="V297" s="2" t="s">
        <v>142</v>
      </c>
      <c r="W297" s="2">
        <v>1.46</v>
      </c>
      <c r="X297" s="2" t="s">
        <v>143</v>
      </c>
      <c r="Y297" s="2">
        <f t="shared" si="45"/>
        <v>1.46</v>
      </c>
      <c r="Z297" s="1" t="s">
        <v>153</v>
      </c>
      <c r="AA297" s="2">
        <v>45</v>
      </c>
    </row>
    <row r="298" spans="1:27">
      <c r="A298" s="4">
        <v>305</v>
      </c>
      <c r="B298" s="7" t="str">
        <f>VLOOKUP($A298,SkillEnum!$A$2:$C$1020,2,FALSE)</f>
        <v>SI_SA_COMMON_AURA_SHIELD_ACCEL</v>
      </c>
      <c r="C298" s="7">
        <v>5</v>
      </c>
      <c r="D298" s="2" t="str">
        <f>VLOOKUP($C298,SkillEnum!$D$2:$E$10,2,FALSE)</f>
        <v>ST_BUFF</v>
      </c>
      <c r="E298" s="7" t="str">
        <f>VLOOKUP($A298,SkillEnum!$A$2:$C$1020,3,FALSE)</f>
        <v>오러 실드 액셀레이터</v>
      </c>
      <c r="F298" s="7" t="str">
        <f t="shared" si="44"/>
        <v>45 초 동안 범위내 파티원 모두의 물리, 마법 방어력을 52 % 증가 시킨다. (모든 방어력 계열 버프는 중복 되지 않습니다.)</v>
      </c>
      <c r="G298" s="2">
        <v>7</v>
      </c>
      <c r="H298" s="2">
        <v>1</v>
      </c>
      <c r="I298" s="2">
        <v>10</v>
      </c>
      <c r="J298" s="2">
        <v>70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 t="s">
        <v>434</v>
      </c>
      <c r="Q298" s="2" t="str">
        <f t="shared" si="39"/>
        <v>SI_SA_COMMON_AURA_SHIELD_ACCEL</v>
      </c>
      <c r="R298" s="2" t="b">
        <v>0</v>
      </c>
      <c r="S298" s="2" t="b">
        <v>1</v>
      </c>
      <c r="T298" s="2">
        <v>1</v>
      </c>
      <c r="V298" s="2" t="s">
        <v>142</v>
      </c>
      <c r="W298" s="2">
        <v>1.52</v>
      </c>
      <c r="X298" s="2" t="s">
        <v>143</v>
      </c>
      <c r="Y298" s="2">
        <f t="shared" si="45"/>
        <v>1.52</v>
      </c>
      <c r="Z298" s="1" t="s">
        <v>153</v>
      </c>
      <c r="AA298" s="2">
        <v>45</v>
      </c>
    </row>
    <row r="299" spans="1:27">
      <c r="A299" s="4">
        <v>305</v>
      </c>
      <c r="B299" s="7" t="str">
        <f>VLOOKUP($A299,SkillEnum!$A$2:$C$1020,2,FALSE)</f>
        <v>SI_SA_COMMON_AURA_SHIELD_ACCEL</v>
      </c>
      <c r="C299" s="7">
        <v>5</v>
      </c>
      <c r="D299" s="2" t="str">
        <f>VLOOKUP($C299,SkillEnum!$D$2:$E$10,2,FALSE)</f>
        <v>ST_BUFF</v>
      </c>
      <c r="E299" s="7" t="str">
        <f>VLOOKUP($A299,SkillEnum!$A$2:$C$1020,3,FALSE)</f>
        <v>오러 실드 액셀레이터</v>
      </c>
      <c r="F299" s="7" t="str">
        <f t="shared" si="44"/>
        <v>45 초 동안 범위내 파티원 모두의 물리, 마법 방어력을 58 % 증가 시킨다. (모든 방어력 계열 버프는 중복 되지 않습니다.)</v>
      </c>
      <c r="G299" s="2">
        <v>8</v>
      </c>
      <c r="H299" s="2">
        <v>1</v>
      </c>
      <c r="I299" s="2">
        <v>10</v>
      </c>
      <c r="J299" s="2">
        <v>70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 t="s">
        <v>434</v>
      </c>
      <c r="Q299" s="2" t="str">
        <f t="shared" si="39"/>
        <v>SI_SA_COMMON_AURA_SHIELD_ACCEL</v>
      </c>
      <c r="R299" s="2" t="b">
        <v>0</v>
      </c>
      <c r="S299" s="2" t="b">
        <v>1</v>
      </c>
      <c r="T299" s="2">
        <v>1</v>
      </c>
      <c r="V299" s="2" t="s">
        <v>142</v>
      </c>
      <c r="W299" s="2">
        <v>1.58</v>
      </c>
      <c r="X299" s="2" t="s">
        <v>143</v>
      </c>
      <c r="Y299" s="2">
        <f t="shared" si="45"/>
        <v>1.58</v>
      </c>
      <c r="Z299" s="1" t="s">
        <v>153</v>
      </c>
      <c r="AA299" s="2">
        <v>45</v>
      </c>
    </row>
    <row r="300" spans="1:27">
      <c r="A300" s="4">
        <v>305</v>
      </c>
      <c r="B300" s="7" t="str">
        <f>VLOOKUP($A300,SkillEnum!$A$2:$C$1020,2,FALSE)</f>
        <v>SI_SA_COMMON_AURA_SHIELD_ACCEL</v>
      </c>
      <c r="C300" s="7">
        <v>5</v>
      </c>
      <c r="D300" s="2" t="str">
        <f>VLOOKUP($C300,SkillEnum!$D$2:$E$10,2,FALSE)</f>
        <v>ST_BUFF</v>
      </c>
      <c r="E300" s="7" t="str">
        <f>VLOOKUP($A300,SkillEnum!$A$2:$C$1020,3,FALSE)</f>
        <v>오러 실드 액셀레이터</v>
      </c>
      <c r="F300" s="7" t="str">
        <f t="shared" si="44"/>
        <v>45 초 동안 범위내 파티원 모두의 물리, 마법 방어력을 64 % 증가 시킨다. (모든 방어력 계열 버프는 중복 되지 않습니다.)</v>
      </c>
      <c r="G300" s="2">
        <v>9</v>
      </c>
      <c r="H300" s="2">
        <v>1</v>
      </c>
      <c r="I300" s="2">
        <v>10</v>
      </c>
      <c r="J300" s="2">
        <v>70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 t="s">
        <v>434</v>
      </c>
      <c r="Q300" s="2" t="str">
        <f t="shared" si="39"/>
        <v>SI_SA_COMMON_AURA_SHIELD_ACCEL</v>
      </c>
      <c r="R300" s="2" t="b">
        <v>0</v>
      </c>
      <c r="S300" s="2" t="b">
        <v>1</v>
      </c>
      <c r="T300" s="2">
        <v>1</v>
      </c>
      <c r="V300" s="2" t="s">
        <v>142</v>
      </c>
      <c r="W300" s="2">
        <v>1.64</v>
      </c>
      <c r="X300" s="2" t="s">
        <v>143</v>
      </c>
      <c r="Y300" s="2">
        <f t="shared" si="45"/>
        <v>1.64</v>
      </c>
      <c r="Z300" s="1" t="s">
        <v>153</v>
      </c>
      <c r="AA300" s="2">
        <v>45</v>
      </c>
    </row>
    <row r="301" spans="1:27" s="5" customFormat="1">
      <c r="A301" s="6">
        <v>305</v>
      </c>
      <c r="B301" s="8" t="str">
        <f>VLOOKUP($A301,SkillEnum!$A$2:$C$1020,2,FALSE)</f>
        <v>SI_SA_COMMON_AURA_SHIELD_ACCEL</v>
      </c>
      <c r="C301" s="8">
        <v>5</v>
      </c>
      <c r="D301" s="5" t="str">
        <f>VLOOKUP($C301,SkillEnum!$D$2:$E$10,2,FALSE)</f>
        <v>ST_BUFF</v>
      </c>
      <c r="E301" s="8" t="str">
        <f>VLOOKUP($A301,SkillEnum!$A$2:$C$1020,3,FALSE)</f>
        <v>오러 실드 액셀레이터</v>
      </c>
      <c r="F301" s="8" t="str">
        <f t="shared" si="44"/>
        <v>45 초 동안 범위내 파티원 모두의 물리, 마법 방어력을 70 % 증가 시킨다. (모든 방어력 계열 버프는 중복 되지 않습니다.)</v>
      </c>
      <c r="G301" s="5">
        <v>10</v>
      </c>
      <c r="H301" s="5">
        <v>1</v>
      </c>
      <c r="I301" s="5">
        <v>10</v>
      </c>
      <c r="J301" s="5">
        <v>70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2" t="s">
        <v>434</v>
      </c>
      <c r="Q301" s="2" t="str">
        <f t="shared" si="39"/>
        <v>SI_SA_COMMON_AURA_SHIELD_ACCEL</v>
      </c>
      <c r="R301" s="5" t="b">
        <v>0</v>
      </c>
      <c r="S301" s="2" t="b">
        <v>1</v>
      </c>
      <c r="T301" s="2">
        <v>1</v>
      </c>
      <c r="U301" s="2"/>
      <c r="V301" s="5" t="s">
        <v>142</v>
      </c>
      <c r="W301" s="5">
        <v>1.7</v>
      </c>
      <c r="X301" s="5" t="s">
        <v>143</v>
      </c>
      <c r="Y301" s="5">
        <f t="shared" si="45"/>
        <v>1.7</v>
      </c>
      <c r="Z301" s="5" t="s">
        <v>153</v>
      </c>
      <c r="AA301" s="5">
        <v>45</v>
      </c>
    </row>
    <row r="302" spans="1:27">
      <c r="A302" s="4">
        <v>306</v>
      </c>
      <c r="B302" s="7" t="str">
        <f>VLOOKUP($A302,SkillEnum!$A$2:$C$1020,2,FALSE)</f>
        <v>SI_SA_COMMON_POWER_ADRENALIN</v>
      </c>
      <c r="C302" s="7">
        <v>5</v>
      </c>
      <c r="D302" s="2" t="str">
        <f>VLOOKUP($C302,SkillEnum!$D$2:$E$10,2,FALSE)</f>
        <v>ST_BUFF</v>
      </c>
      <c r="E302" s="11" t="str">
        <f>VLOOKUP($A302,SkillEnum!$A$2:$C$1020,3,FALSE)</f>
        <v>파워 아드레날린</v>
      </c>
      <c r="F302" s="7" t="str">
        <f>Y302&amp;" 초 동안 물리 공격력을 "&amp;ROUND((W302-1)*100,0)&amp;" % 증가 시킨다. (모든 공격력 계열 버프는 중복 되지 않습니다.)"</f>
        <v>10 초 동안 물리 공격력을 30 % 증가 시킨다. (모든 공격력 계열 버프는 중복 되지 않습니다.)</v>
      </c>
      <c r="G302" s="10">
        <v>1</v>
      </c>
      <c r="H302" s="2">
        <v>1</v>
      </c>
      <c r="I302" s="2">
        <v>10</v>
      </c>
      <c r="J302" s="2">
        <v>100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 t="s">
        <v>434</v>
      </c>
      <c r="Q302" s="2" t="str">
        <f t="shared" si="39"/>
        <v>SI_SA_COMMON_POWER_ADRENALIN</v>
      </c>
      <c r="R302" s="2" t="b">
        <v>0</v>
      </c>
      <c r="S302" s="2" t="b">
        <v>1</v>
      </c>
      <c r="T302" s="2">
        <v>1</v>
      </c>
      <c r="V302" s="1" t="s">
        <v>138</v>
      </c>
      <c r="W302" s="2">
        <v>1.3</v>
      </c>
      <c r="X302" s="1" t="s">
        <v>153</v>
      </c>
      <c r="Y302" s="2">
        <v>10</v>
      </c>
    </row>
    <row r="303" spans="1:27">
      <c r="A303" s="4">
        <v>306</v>
      </c>
      <c r="B303" s="7" t="str">
        <f>VLOOKUP($A303,SkillEnum!$A$2:$C$1020,2,FALSE)</f>
        <v>SI_SA_COMMON_POWER_ADRENALIN</v>
      </c>
      <c r="C303" s="7">
        <v>5</v>
      </c>
      <c r="D303" s="2" t="str">
        <f>VLOOKUP($C303,SkillEnum!$D$2:$E$10,2,FALSE)</f>
        <v>ST_BUFF</v>
      </c>
      <c r="E303" s="7" t="str">
        <f>VLOOKUP($A303,SkillEnum!$A$2:$C$1020,3,FALSE)</f>
        <v>파워 아드레날린</v>
      </c>
      <c r="F303" s="7" t="str">
        <f t="shared" ref="F303:F311" si="46">Y303&amp;" 초 동안 물리 공격력을 "&amp;ROUND((W303-1)*100,0)&amp;" % 증가 시킨다. (모든 공격력 계열 버프는 중복 되지 않습니다.)"</f>
        <v>10 초 동안 물리 공격력을 35 % 증가 시킨다. (모든 공격력 계열 버프는 중복 되지 않습니다.)</v>
      </c>
      <c r="G303" s="2">
        <v>2</v>
      </c>
      <c r="H303" s="2">
        <v>1</v>
      </c>
      <c r="I303" s="2">
        <v>10</v>
      </c>
      <c r="J303" s="2">
        <v>100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 t="s">
        <v>434</v>
      </c>
      <c r="Q303" s="2" t="str">
        <f t="shared" si="39"/>
        <v>SI_SA_COMMON_POWER_ADRENALIN</v>
      </c>
      <c r="R303" s="2" t="b">
        <v>0</v>
      </c>
      <c r="S303" s="2" t="b">
        <v>1</v>
      </c>
      <c r="T303" s="2">
        <v>1</v>
      </c>
      <c r="V303" s="1" t="s">
        <v>138</v>
      </c>
      <c r="W303" s="2">
        <v>1.35</v>
      </c>
      <c r="X303" s="1" t="s">
        <v>153</v>
      </c>
      <c r="Y303" s="2">
        <v>10</v>
      </c>
    </row>
    <row r="304" spans="1:27">
      <c r="A304" s="4">
        <v>306</v>
      </c>
      <c r="B304" s="7" t="str">
        <f>VLOOKUP($A304,SkillEnum!$A$2:$C$1020,2,FALSE)</f>
        <v>SI_SA_COMMON_POWER_ADRENALIN</v>
      </c>
      <c r="C304" s="7">
        <v>5</v>
      </c>
      <c r="D304" s="2" t="str">
        <f>VLOOKUP($C304,SkillEnum!$D$2:$E$10,2,FALSE)</f>
        <v>ST_BUFF</v>
      </c>
      <c r="E304" s="7" t="str">
        <f>VLOOKUP($A304,SkillEnum!$A$2:$C$1020,3,FALSE)</f>
        <v>파워 아드레날린</v>
      </c>
      <c r="F304" s="7" t="str">
        <f t="shared" si="46"/>
        <v>10 초 동안 물리 공격력을 40 % 증가 시킨다. (모든 공격력 계열 버프는 중복 되지 않습니다.)</v>
      </c>
      <c r="G304" s="2">
        <v>3</v>
      </c>
      <c r="H304" s="2">
        <v>1</v>
      </c>
      <c r="I304" s="2">
        <v>10</v>
      </c>
      <c r="J304" s="2">
        <v>100</v>
      </c>
      <c r="K304" s="2">
        <v>0</v>
      </c>
      <c r="L304" s="2">
        <v>0</v>
      </c>
      <c r="M304" s="2">
        <v>0</v>
      </c>
      <c r="N304" s="2">
        <v>0</v>
      </c>
      <c r="O304" s="2">
        <v>0</v>
      </c>
      <c r="P304" s="2" t="s">
        <v>434</v>
      </c>
      <c r="Q304" s="2" t="str">
        <f t="shared" si="39"/>
        <v>SI_SA_COMMON_POWER_ADRENALIN</v>
      </c>
      <c r="R304" s="2" t="b">
        <v>0</v>
      </c>
      <c r="S304" s="2" t="b">
        <v>1</v>
      </c>
      <c r="T304" s="2">
        <v>1</v>
      </c>
      <c r="V304" s="1" t="s">
        <v>138</v>
      </c>
      <c r="W304" s="2">
        <v>1.4</v>
      </c>
      <c r="X304" s="1" t="s">
        <v>153</v>
      </c>
      <c r="Y304" s="2">
        <v>10</v>
      </c>
    </row>
    <row r="305" spans="1:25">
      <c r="A305" s="4">
        <v>306</v>
      </c>
      <c r="B305" s="7" t="str">
        <f>VLOOKUP($A305,SkillEnum!$A$2:$C$1020,2,FALSE)</f>
        <v>SI_SA_COMMON_POWER_ADRENALIN</v>
      </c>
      <c r="C305" s="7">
        <v>5</v>
      </c>
      <c r="D305" s="2" t="str">
        <f>VLOOKUP($C305,SkillEnum!$D$2:$E$10,2,FALSE)</f>
        <v>ST_BUFF</v>
      </c>
      <c r="E305" s="7" t="str">
        <f>VLOOKUP($A305,SkillEnum!$A$2:$C$1020,3,FALSE)</f>
        <v>파워 아드레날린</v>
      </c>
      <c r="F305" s="7" t="str">
        <f t="shared" si="46"/>
        <v>10 초 동안 물리 공격력을 45 % 증가 시킨다. (모든 공격력 계열 버프는 중복 되지 않습니다.)</v>
      </c>
      <c r="G305" s="2">
        <v>4</v>
      </c>
      <c r="H305" s="2">
        <v>1</v>
      </c>
      <c r="I305" s="2">
        <v>10</v>
      </c>
      <c r="J305" s="2">
        <v>100</v>
      </c>
      <c r="K305" s="2">
        <v>0</v>
      </c>
      <c r="L305" s="2">
        <v>0</v>
      </c>
      <c r="M305" s="2">
        <v>0</v>
      </c>
      <c r="N305" s="2">
        <v>0</v>
      </c>
      <c r="O305" s="2">
        <v>0</v>
      </c>
      <c r="P305" s="2" t="s">
        <v>434</v>
      </c>
      <c r="Q305" s="2" t="str">
        <f t="shared" si="39"/>
        <v>SI_SA_COMMON_POWER_ADRENALIN</v>
      </c>
      <c r="R305" s="2" t="b">
        <v>0</v>
      </c>
      <c r="S305" s="2" t="b">
        <v>1</v>
      </c>
      <c r="T305" s="2">
        <v>1</v>
      </c>
      <c r="V305" s="1" t="s">
        <v>138</v>
      </c>
      <c r="W305" s="2">
        <v>1.45</v>
      </c>
      <c r="X305" s="1" t="s">
        <v>153</v>
      </c>
      <c r="Y305" s="2">
        <v>10</v>
      </c>
    </row>
    <row r="306" spans="1:25">
      <c r="A306" s="4">
        <v>306</v>
      </c>
      <c r="B306" s="7" t="str">
        <f>VLOOKUP($A306,SkillEnum!$A$2:$C$1020,2,FALSE)</f>
        <v>SI_SA_COMMON_POWER_ADRENALIN</v>
      </c>
      <c r="C306" s="7">
        <v>5</v>
      </c>
      <c r="D306" s="2" t="str">
        <f>VLOOKUP($C306,SkillEnum!$D$2:$E$10,2,FALSE)</f>
        <v>ST_BUFF</v>
      </c>
      <c r="E306" s="7" t="str">
        <f>VLOOKUP($A306,SkillEnum!$A$2:$C$1020,3,FALSE)</f>
        <v>파워 아드레날린</v>
      </c>
      <c r="F306" s="7" t="str">
        <f t="shared" si="46"/>
        <v>10 초 동안 물리 공격력을 50 % 증가 시킨다. (모든 공격력 계열 버프는 중복 되지 않습니다.)</v>
      </c>
      <c r="G306" s="2">
        <v>5</v>
      </c>
      <c r="H306" s="2">
        <v>1</v>
      </c>
      <c r="I306" s="2">
        <v>10</v>
      </c>
      <c r="J306" s="2">
        <v>100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 t="s">
        <v>434</v>
      </c>
      <c r="Q306" s="2" t="str">
        <f t="shared" si="39"/>
        <v>SI_SA_COMMON_POWER_ADRENALIN</v>
      </c>
      <c r="R306" s="2" t="b">
        <v>0</v>
      </c>
      <c r="S306" s="2" t="b">
        <v>1</v>
      </c>
      <c r="T306" s="2">
        <v>1</v>
      </c>
      <c r="V306" s="1" t="s">
        <v>138</v>
      </c>
      <c r="W306" s="2">
        <v>1.5</v>
      </c>
      <c r="X306" s="1" t="s">
        <v>153</v>
      </c>
      <c r="Y306" s="2">
        <v>10</v>
      </c>
    </row>
    <row r="307" spans="1:25">
      <c r="A307" s="4">
        <v>306</v>
      </c>
      <c r="B307" s="7" t="str">
        <f>VLOOKUP($A307,SkillEnum!$A$2:$C$1020,2,FALSE)</f>
        <v>SI_SA_COMMON_POWER_ADRENALIN</v>
      </c>
      <c r="C307" s="7">
        <v>5</v>
      </c>
      <c r="D307" s="2" t="str">
        <f>VLOOKUP($C307,SkillEnum!$D$2:$E$10,2,FALSE)</f>
        <v>ST_BUFF</v>
      </c>
      <c r="E307" s="7" t="str">
        <f>VLOOKUP($A307,SkillEnum!$A$2:$C$1020,3,FALSE)</f>
        <v>파워 아드레날린</v>
      </c>
      <c r="F307" s="7" t="str">
        <f t="shared" si="46"/>
        <v>10 초 동안 물리 공격력을 55 % 증가 시킨다. (모든 공격력 계열 버프는 중복 되지 않습니다.)</v>
      </c>
      <c r="G307" s="2">
        <v>6</v>
      </c>
      <c r="H307" s="2">
        <v>1</v>
      </c>
      <c r="I307" s="2">
        <v>10</v>
      </c>
      <c r="J307" s="2">
        <v>100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 t="s">
        <v>434</v>
      </c>
      <c r="Q307" s="2" t="str">
        <f t="shared" si="39"/>
        <v>SI_SA_COMMON_POWER_ADRENALIN</v>
      </c>
      <c r="R307" s="2" t="b">
        <v>0</v>
      </c>
      <c r="S307" s="2" t="b">
        <v>1</v>
      </c>
      <c r="T307" s="2">
        <v>1</v>
      </c>
      <c r="V307" s="1" t="s">
        <v>138</v>
      </c>
      <c r="W307" s="2">
        <v>1.55</v>
      </c>
      <c r="X307" s="1" t="s">
        <v>153</v>
      </c>
      <c r="Y307" s="2">
        <v>10</v>
      </c>
    </row>
    <row r="308" spans="1:25">
      <c r="A308" s="4">
        <v>306</v>
      </c>
      <c r="B308" s="7" t="str">
        <f>VLOOKUP($A308,SkillEnum!$A$2:$C$1020,2,FALSE)</f>
        <v>SI_SA_COMMON_POWER_ADRENALIN</v>
      </c>
      <c r="C308" s="7">
        <v>5</v>
      </c>
      <c r="D308" s="2" t="str">
        <f>VLOOKUP($C308,SkillEnum!$D$2:$E$10,2,FALSE)</f>
        <v>ST_BUFF</v>
      </c>
      <c r="E308" s="7" t="str">
        <f>VLOOKUP($A308,SkillEnum!$A$2:$C$1020,3,FALSE)</f>
        <v>파워 아드레날린</v>
      </c>
      <c r="F308" s="7" t="str">
        <f t="shared" si="46"/>
        <v>10 초 동안 물리 공격력을 60 % 증가 시킨다. (모든 공격력 계열 버프는 중복 되지 않습니다.)</v>
      </c>
      <c r="G308" s="2">
        <v>7</v>
      </c>
      <c r="H308" s="2">
        <v>1</v>
      </c>
      <c r="I308" s="2">
        <v>10</v>
      </c>
      <c r="J308" s="2">
        <v>100</v>
      </c>
      <c r="K308" s="2">
        <v>0</v>
      </c>
      <c r="L308" s="2">
        <v>0</v>
      </c>
      <c r="M308" s="2">
        <v>0</v>
      </c>
      <c r="N308" s="2">
        <v>0</v>
      </c>
      <c r="O308" s="2">
        <v>0</v>
      </c>
      <c r="P308" s="2" t="s">
        <v>434</v>
      </c>
      <c r="Q308" s="2" t="str">
        <f t="shared" si="39"/>
        <v>SI_SA_COMMON_POWER_ADRENALIN</v>
      </c>
      <c r="R308" s="2" t="b">
        <v>0</v>
      </c>
      <c r="S308" s="2" t="b">
        <v>1</v>
      </c>
      <c r="T308" s="2">
        <v>1</v>
      </c>
      <c r="V308" s="1" t="s">
        <v>138</v>
      </c>
      <c r="W308" s="2">
        <v>1.6</v>
      </c>
      <c r="X308" s="1" t="s">
        <v>153</v>
      </c>
      <c r="Y308" s="2">
        <v>10</v>
      </c>
    </row>
    <row r="309" spans="1:25">
      <c r="A309" s="4">
        <v>306</v>
      </c>
      <c r="B309" s="7" t="str">
        <f>VLOOKUP($A309,SkillEnum!$A$2:$C$1020,2,FALSE)</f>
        <v>SI_SA_COMMON_POWER_ADRENALIN</v>
      </c>
      <c r="C309" s="7">
        <v>5</v>
      </c>
      <c r="D309" s="2" t="str">
        <f>VLOOKUP($C309,SkillEnum!$D$2:$E$10,2,FALSE)</f>
        <v>ST_BUFF</v>
      </c>
      <c r="E309" s="7" t="str">
        <f>VLOOKUP($A309,SkillEnum!$A$2:$C$1020,3,FALSE)</f>
        <v>파워 아드레날린</v>
      </c>
      <c r="F309" s="7" t="str">
        <f t="shared" si="46"/>
        <v>10 초 동안 물리 공격력을 65 % 증가 시킨다. (모든 공격력 계열 버프는 중복 되지 않습니다.)</v>
      </c>
      <c r="G309" s="2">
        <v>8</v>
      </c>
      <c r="H309" s="2">
        <v>1</v>
      </c>
      <c r="I309" s="2">
        <v>10</v>
      </c>
      <c r="J309" s="2">
        <v>100</v>
      </c>
      <c r="K309" s="2">
        <v>0</v>
      </c>
      <c r="L309" s="2">
        <v>0</v>
      </c>
      <c r="M309" s="2">
        <v>0</v>
      </c>
      <c r="N309" s="2">
        <v>0</v>
      </c>
      <c r="O309" s="2">
        <v>0</v>
      </c>
      <c r="P309" s="2" t="s">
        <v>434</v>
      </c>
      <c r="Q309" s="2" t="str">
        <f t="shared" si="39"/>
        <v>SI_SA_COMMON_POWER_ADRENALIN</v>
      </c>
      <c r="R309" s="2" t="b">
        <v>0</v>
      </c>
      <c r="S309" s="2" t="b">
        <v>1</v>
      </c>
      <c r="T309" s="2">
        <v>1</v>
      </c>
      <c r="V309" s="1" t="s">
        <v>138</v>
      </c>
      <c r="W309" s="2">
        <v>1.65</v>
      </c>
      <c r="X309" s="1" t="s">
        <v>153</v>
      </c>
      <c r="Y309" s="2">
        <v>10</v>
      </c>
    </row>
    <row r="310" spans="1:25">
      <c r="A310" s="4">
        <v>306</v>
      </c>
      <c r="B310" s="7" t="str">
        <f>VLOOKUP($A310,SkillEnum!$A$2:$C$1020,2,FALSE)</f>
        <v>SI_SA_COMMON_POWER_ADRENALIN</v>
      </c>
      <c r="C310" s="7">
        <v>5</v>
      </c>
      <c r="D310" s="2" t="str">
        <f>VLOOKUP($C310,SkillEnum!$D$2:$E$10,2,FALSE)</f>
        <v>ST_BUFF</v>
      </c>
      <c r="E310" s="7" t="str">
        <f>VLOOKUP($A310,SkillEnum!$A$2:$C$1020,3,FALSE)</f>
        <v>파워 아드레날린</v>
      </c>
      <c r="F310" s="7" t="str">
        <f t="shared" si="46"/>
        <v>10 초 동안 물리 공격력을 70 % 증가 시킨다. (모든 공격력 계열 버프는 중복 되지 않습니다.)</v>
      </c>
      <c r="G310" s="2">
        <v>9</v>
      </c>
      <c r="H310" s="2">
        <v>1</v>
      </c>
      <c r="I310" s="2">
        <v>10</v>
      </c>
      <c r="J310" s="2">
        <v>100</v>
      </c>
      <c r="K310" s="2">
        <v>0</v>
      </c>
      <c r="L310" s="2">
        <v>0</v>
      </c>
      <c r="M310" s="2">
        <v>0</v>
      </c>
      <c r="N310" s="2">
        <v>0</v>
      </c>
      <c r="O310" s="2">
        <v>0</v>
      </c>
      <c r="P310" s="2" t="s">
        <v>434</v>
      </c>
      <c r="Q310" s="2" t="str">
        <f t="shared" si="39"/>
        <v>SI_SA_COMMON_POWER_ADRENALIN</v>
      </c>
      <c r="R310" s="2" t="b">
        <v>0</v>
      </c>
      <c r="S310" s="2" t="b">
        <v>1</v>
      </c>
      <c r="T310" s="2">
        <v>1</v>
      </c>
      <c r="V310" s="1" t="s">
        <v>138</v>
      </c>
      <c r="W310" s="2">
        <v>1.7</v>
      </c>
      <c r="X310" s="1" t="s">
        <v>153</v>
      </c>
      <c r="Y310" s="2">
        <v>10</v>
      </c>
    </row>
    <row r="311" spans="1:25" s="5" customFormat="1">
      <c r="A311" s="6">
        <v>306</v>
      </c>
      <c r="B311" s="8" t="str">
        <f>VLOOKUP($A311,SkillEnum!$A$2:$C$1020,2,FALSE)</f>
        <v>SI_SA_COMMON_POWER_ADRENALIN</v>
      </c>
      <c r="C311" s="8">
        <v>5</v>
      </c>
      <c r="D311" s="5" t="str">
        <f>VLOOKUP($C311,SkillEnum!$D$2:$E$10,2,FALSE)</f>
        <v>ST_BUFF</v>
      </c>
      <c r="E311" s="8" t="str">
        <f>VLOOKUP($A311,SkillEnum!$A$2:$C$1020,3,FALSE)</f>
        <v>파워 아드레날린</v>
      </c>
      <c r="F311" s="7" t="str">
        <f t="shared" si="46"/>
        <v>10 초 동안 물리 공격력을 75 % 증가 시킨다. (모든 공격력 계열 버프는 중복 되지 않습니다.)</v>
      </c>
      <c r="G311" s="5">
        <v>10</v>
      </c>
      <c r="H311" s="5">
        <v>1</v>
      </c>
      <c r="I311" s="5">
        <v>10</v>
      </c>
      <c r="J311" s="5">
        <v>100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2" t="s">
        <v>434</v>
      </c>
      <c r="Q311" s="2" t="str">
        <f t="shared" si="39"/>
        <v>SI_SA_COMMON_POWER_ADRENALIN</v>
      </c>
      <c r="R311" s="5" t="b">
        <v>0</v>
      </c>
      <c r="S311" s="2" t="b">
        <v>1</v>
      </c>
      <c r="T311" s="2">
        <v>1</v>
      </c>
      <c r="U311" s="2"/>
      <c r="V311" s="5" t="s">
        <v>138</v>
      </c>
      <c r="W311" s="5">
        <v>1.75</v>
      </c>
      <c r="X311" s="5" t="s">
        <v>153</v>
      </c>
      <c r="Y311" s="5">
        <v>10</v>
      </c>
    </row>
    <row r="312" spans="1:25">
      <c r="A312" s="4">
        <v>307</v>
      </c>
      <c r="B312" s="7" t="str">
        <f>VLOOKUP($A312,SkillEnum!$A$2:$C$1020,2,FALSE)</f>
        <v>SI_SA_COMMON_MAGIC_ADRENALIN</v>
      </c>
      <c r="C312" s="7">
        <v>5</v>
      </c>
      <c r="D312" s="2" t="str">
        <f>VLOOKUP($C312,SkillEnum!$D$2:$E$10,2,FALSE)</f>
        <v>ST_BUFF</v>
      </c>
      <c r="E312" s="11" t="str">
        <f>VLOOKUP($A312,SkillEnum!$A$2:$C$1020,3,FALSE)</f>
        <v>매직 아드레날린</v>
      </c>
      <c r="F312" s="11" t="str">
        <f>Y312&amp;" 초 동안 마법 공격력을 "&amp;ROUND((W312-1)*100,0)&amp;" % 증가 시킨다. (모든 공격력 계열 버프는 중복 되지 않습니다.)"</f>
        <v>10 초 동안 마법 공격력을 30 % 증가 시킨다. (모든 공격력 계열 버프는 중복 되지 않습니다.)</v>
      </c>
      <c r="G312" s="10">
        <v>1</v>
      </c>
      <c r="H312" s="2">
        <v>1</v>
      </c>
      <c r="I312" s="2">
        <v>10</v>
      </c>
      <c r="J312" s="2">
        <v>100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 t="s">
        <v>434</v>
      </c>
      <c r="Q312" s="2" t="str">
        <f t="shared" si="39"/>
        <v>SI_SA_COMMON_MAGIC_ADRENALIN</v>
      </c>
      <c r="R312" s="2" t="b">
        <v>0</v>
      </c>
      <c r="S312" s="2" t="b">
        <v>1</v>
      </c>
      <c r="T312" s="2">
        <v>1</v>
      </c>
      <c r="V312" s="1" t="s">
        <v>139</v>
      </c>
      <c r="W312" s="2">
        <v>1.3</v>
      </c>
      <c r="X312" s="1" t="s">
        <v>153</v>
      </c>
      <c r="Y312" s="2">
        <v>10</v>
      </c>
    </row>
    <row r="313" spans="1:25">
      <c r="A313" s="4">
        <v>307</v>
      </c>
      <c r="B313" s="7" t="str">
        <f>VLOOKUP($A313,SkillEnum!$A$2:$C$1020,2,FALSE)</f>
        <v>SI_SA_COMMON_MAGIC_ADRENALIN</v>
      </c>
      <c r="C313" s="7">
        <v>5</v>
      </c>
      <c r="D313" s="2" t="str">
        <f>VLOOKUP($C313,SkillEnum!$D$2:$E$10,2,FALSE)</f>
        <v>ST_BUFF</v>
      </c>
      <c r="E313" s="7" t="str">
        <f>VLOOKUP($A313,SkillEnum!$A$2:$C$1020,3,FALSE)</f>
        <v>매직 아드레날린</v>
      </c>
      <c r="F313" s="7" t="str">
        <f t="shared" ref="F313:F321" si="47">Y313&amp;" 초 동안 마법 공격력을 "&amp;ROUND((W313-1)*100,0)&amp;" % 증가 시킨다. (모든 공격력 계열 버프는 중복 되지 않습니다.)"</f>
        <v>10 초 동안 마법 공격력을 35 % 증가 시킨다. (모든 공격력 계열 버프는 중복 되지 않습니다.)</v>
      </c>
      <c r="G313" s="2">
        <v>2</v>
      </c>
      <c r="H313" s="2">
        <v>1</v>
      </c>
      <c r="I313" s="2">
        <v>10</v>
      </c>
      <c r="J313" s="2">
        <v>100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 t="s">
        <v>434</v>
      </c>
      <c r="Q313" s="2" t="str">
        <f t="shared" si="39"/>
        <v>SI_SA_COMMON_MAGIC_ADRENALIN</v>
      </c>
      <c r="R313" s="2" t="b">
        <v>0</v>
      </c>
      <c r="S313" s="2" t="b">
        <v>1</v>
      </c>
      <c r="T313" s="2">
        <v>1</v>
      </c>
      <c r="V313" s="1" t="s">
        <v>139</v>
      </c>
      <c r="W313" s="2">
        <v>1.35</v>
      </c>
      <c r="X313" s="1" t="s">
        <v>153</v>
      </c>
      <c r="Y313" s="2">
        <v>10</v>
      </c>
    </row>
    <row r="314" spans="1:25">
      <c r="A314" s="4">
        <v>307</v>
      </c>
      <c r="B314" s="7" t="str">
        <f>VLOOKUP($A314,SkillEnum!$A$2:$C$1020,2,FALSE)</f>
        <v>SI_SA_COMMON_MAGIC_ADRENALIN</v>
      </c>
      <c r="C314" s="7">
        <v>5</v>
      </c>
      <c r="D314" s="2" t="str">
        <f>VLOOKUP($C314,SkillEnum!$D$2:$E$10,2,FALSE)</f>
        <v>ST_BUFF</v>
      </c>
      <c r="E314" s="7" t="str">
        <f>VLOOKUP($A314,SkillEnum!$A$2:$C$1020,3,FALSE)</f>
        <v>매직 아드레날린</v>
      </c>
      <c r="F314" s="7" t="str">
        <f t="shared" si="47"/>
        <v>10 초 동안 마법 공격력을 40 % 증가 시킨다. (모든 공격력 계열 버프는 중복 되지 않습니다.)</v>
      </c>
      <c r="G314" s="2">
        <v>3</v>
      </c>
      <c r="H314" s="2">
        <v>1</v>
      </c>
      <c r="I314" s="2">
        <v>10</v>
      </c>
      <c r="J314" s="2">
        <v>100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 t="s">
        <v>434</v>
      </c>
      <c r="Q314" s="2" t="str">
        <f t="shared" si="39"/>
        <v>SI_SA_COMMON_MAGIC_ADRENALIN</v>
      </c>
      <c r="R314" s="2" t="b">
        <v>0</v>
      </c>
      <c r="S314" s="2" t="b">
        <v>1</v>
      </c>
      <c r="T314" s="2">
        <v>1</v>
      </c>
      <c r="V314" s="1" t="s">
        <v>139</v>
      </c>
      <c r="W314" s="2">
        <v>1.4</v>
      </c>
      <c r="X314" s="1" t="s">
        <v>153</v>
      </c>
      <c r="Y314" s="2">
        <v>10</v>
      </c>
    </row>
    <row r="315" spans="1:25">
      <c r="A315" s="4">
        <v>307</v>
      </c>
      <c r="B315" s="7" t="str">
        <f>VLOOKUP($A315,SkillEnum!$A$2:$C$1020,2,FALSE)</f>
        <v>SI_SA_COMMON_MAGIC_ADRENALIN</v>
      </c>
      <c r="C315" s="7">
        <v>5</v>
      </c>
      <c r="D315" s="2" t="str">
        <f>VLOOKUP($C315,SkillEnum!$D$2:$E$10,2,FALSE)</f>
        <v>ST_BUFF</v>
      </c>
      <c r="E315" s="7" t="str">
        <f>VLOOKUP($A315,SkillEnum!$A$2:$C$1020,3,FALSE)</f>
        <v>매직 아드레날린</v>
      </c>
      <c r="F315" s="7" t="str">
        <f t="shared" si="47"/>
        <v>10 초 동안 마법 공격력을 45 % 증가 시킨다. (모든 공격력 계열 버프는 중복 되지 않습니다.)</v>
      </c>
      <c r="G315" s="2">
        <v>4</v>
      </c>
      <c r="H315" s="2">
        <v>1</v>
      </c>
      <c r="I315" s="2">
        <v>10</v>
      </c>
      <c r="J315" s="2">
        <v>100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 t="s">
        <v>434</v>
      </c>
      <c r="Q315" s="2" t="str">
        <f t="shared" si="39"/>
        <v>SI_SA_COMMON_MAGIC_ADRENALIN</v>
      </c>
      <c r="R315" s="2" t="b">
        <v>0</v>
      </c>
      <c r="S315" s="2" t="b">
        <v>1</v>
      </c>
      <c r="T315" s="2">
        <v>1</v>
      </c>
      <c r="V315" s="1" t="s">
        <v>139</v>
      </c>
      <c r="W315" s="2">
        <v>1.45</v>
      </c>
      <c r="X315" s="1" t="s">
        <v>153</v>
      </c>
      <c r="Y315" s="2">
        <v>10</v>
      </c>
    </row>
    <row r="316" spans="1:25">
      <c r="A316" s="4">
        <v>307</v>
      </c>
      <c r="B316" s="7" t="str">
        <f>VLOOKUP($A316,SkillEnum!$A$2:$C$1020,2,FALSE)</f>
        <v>SI_SA_COMMON_MAGIC_ADRENALIN</v>
      </c>
      <c r="C316" s="7">
        <v>5</v>
      </c>
      <c r="D316" s="2" t="str">
        <f>VLOOKUP($C316,SkillEnum!$D$2:$E$10,2,FALSE)</f>
        <v>ST_BUFF</v>
      </c>
      <c r="E316" s="7" t="str">
        <f>VLOOKUP($A316,SkillEnum!$A$2:$C$1020,3,FALSE)</f>
        <v>매직 아드레날린</v>
      </c>
      <c r="F316" s="7" t="str">
        <f t="shared" si="47"/>
        <v>10 초 동안 마법 공격력을 50 % 증가 시킨다. (모든 공격력 계열 버프는 중복 되지 않습니다.)</v>
      </c>
      <c r="G316" s="2">
        <v>5</v>
      </c>
      <c r="H316" s="2">
        <v>1</v>
      </c>
      <c r="I316" s="2">
        <v>10</v>
      </c>
      <c r="J316" s="2">
        <v>100</v>
      </c>
      <c r="K316" s="2">
        <v>0</v>
      </c>
      <c r="L316" s="2">
        <v>0</v>
      </c>
      <c r="M316" s="2">
        <v>0</v>
      </c>
      <c r="N316" s="2">
        <v>0</v>
      </c>
      <c r="O316" s="2">
        <v>0</v>
      </c>
      <c r="P316" s="2" t="s">
        <v>434</v>
      </c>
      <c r="Q316" s="2" t="str">
        <f t="shared" si="39"/>
        <v>SI_SA_COMMON_MAGIC_ADRENALIN</v>
      </c>
      <c r="R316" s="2" t="b">
        <v>0</v>
      </c>
      <c r="S316" s="2" t="b">
        <v>1</v>
      </c>
      <c r="T316" s="2">
        <v>1</v>
      </c>
      <c r="V316" s="1" t="s">
        <v>139</v>
      </c>
      <c r="W316" s="2">
        <v>1.5</v>
      </c>
      <c r="X316" s="1" t="s">
        <v>153</v>
      </c>
      <c r="Y316" s="2">
        <v>10</v>
      </c>
    </row>
    <row r="317" spans="1:25">
      <c r="A317" s="4">
        <v>307</v>
      </c>
      <c r="B317" s="7" t="str">
        <f>VLOOKUP($A317,SkillEnum!$A$2:$C$1020,2,FALSE)</f>
        <v>SI_SA_COMMON_MAGIC_ADRENALIN</v>
      </c>
      <c r="C317" s="7">
        <v>5</v>
      </c>
      <c r="D317" s="2" t="str">
        <f>VLOOKUP($C317,SkillEnum!$D$2:$E$10,2,FALSE)</f>
        <v>ST_BUFF</v>
      </c>
      <c r="E317" s="7" t="str">
        <f>VLOOKUP($A317,SkillEnum!$A$2:$C$1020,3,FALSE)</f>
        <v>매직 아드레날린</v>
      </c>
      <c r="F317" s="7" t="str">
        <f t="shared" si="47"/>
        <v>10 초 동안 마법 공격력을 55 % 증가 시킨다. (모든 공격력 계열 버프는 중복 되지 않습니다.)</v>
      </c>
      <c r="G317" s="2">
        <v>6</v>
      </c>
      <c r="H317" s="2">
        <v>1</v>
      </c>
      <c r="I317" s="2">
        <v>10</v>
      </c>
      <c r="J317" s="2">
        <v>100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 t="s">
        <v>434</v>
      </c>
      <c r="Q317" s="2" t="str">
        <f t="shared" si="39"/>
        <v>SI_SA_COMMON_MAGIC_ADRENALIN</v>
      </c>
      <c r="R317" s="2" t="b">
        <v>0</v>
      </c>
      <c r="S317" s="2" t="b">
        <v>1</v>
      </c>
      <c r="T317" s="2">
        <v>1</v>
      </c>
      <c r="V317" s="1" t="s">
        <v>139</v>
      </c>
      <c r="W317" s="2">
        <v>1.55</v>
      </c>
      <c r="X317" s="1" t="s">
        <v>153</v>
      </c>
      <c r="Y317" s="2">
        <v>10</v>
      </c>
    </row>
    <row r="318" spans="1:25">
      <c r="A318" s="4">
        <v>307</v>
      </c>
      <c r="B318" s="7" t="str">
        <f>VLOOKUP($A318,SkillEnum!$A$2:$C$1020,2,FALSE)</f>
        <v>SI_SA_COMMON_MAGIC_ADRENALIN</v>
      </c>
      <c r="C318" s="7">
        <v>5</v>
      </c>
      <c r="D318" s="2" t="str">
        <f>VLOOKUP($C318,SkillEnum!$D$2:$E$10,2,FALSE)</f>
        <v>ST_BUFF</v>
      </c>
      <c r="E318" s="7" t="str">
        <f>VLOOKUP($A318,SkillEnum!$A$2:$C$1020,3,FALSE)</f>
        <v>매직 아드레날린</v>
      </c>
      <c r="F318" s="7" t="str">
        <f t="shared" si="47"/>
        <v>10 초 동안 마법 공격력을 60 % 증가 시킨다. (모든 공격력 계열 버프는 중복 되지 않습니다.)</v>
      </c>
      <c r="G318" s="2">
        <v>7</v>
      </c>
      <c r="H318" s="2">
        <v>1</v>
      </c>
      <c r="I318" s="2">
        <v>10</v>
      </c>
      <c r="J318" s="2">
        <v>100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 t="s">
        <v>434</v>
      </c>
      <c r="Q318" s="2" t="str">
        <f t="shared" si="39"/>
        <v>SI_SA_COMMON_MAGIC_ADRENALIN</v>
      </c>
      <c r="R318" s="2" t="b">
        <v>0</v>
      </c>
      <c r="S318" s="2" t="b">
        <v>1</v>
      </c>
      <c r="T318" s="2">
        <v>1</v>
      </c>
      <c r="V318" s="1" t="s">
        <v>139</v>
      </c>
      <c r="W318" s="2">
        <v>1.6</v>
      </c>
      <c r="X318" s="1" t="s">
        <v>153</v>
      </c>
      <c r="Y318" s="2">
        <v>10</v>
      </c>
    </row>
    <row r="319" spans="1:25">
      <c r="A319" s="4">
        <v>307</v>
      </c>
      <c r="B319" s="7" t="str">
        <f>VLOOKUP($A319,SkillEnum!$A$2:$C$1020,2,FALSE)</f>
        <v>SI_SA_COMMON_MAGIC_ADRENALIN</v>
      </c>
      <c r="C319" s="7">
        <v>5</v>
      </c>
      <c r="D319" s="2" t="str">
        <f>VLOOKUP($C319,SkillEnum!$D$2:$E$10,2,FALSE)</f>
        <v>ST_BUFF</v>
      </c>
      <c r="E319" s="7" t="str">
        <f>VLOOKUP($A319,SkillEnum!$A$2:$C$1020,3,FALSE)</f>
        <v>매직 아드레날린</v>
      </c>
      <c r="F319" s="7" t="str">
        <f t="shared" si="47"/>
        <v>10 초 동안 마법 공격력을 65 % 증가 시킨다. (모든 공격력 계열 버프는 중복 되지 않습니다.)</v>
      </c>
      <c r="G319" s="2">
        <v>8</v>
      </c>
      <c r="H319" s="2">
        <v>1</v>
      </c>
      <c r="I319" s="2">
        <v>10</v>
      </c>
      <c r="J319" s="2">
        <v>100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 t="s">
        <v>434</v>
      </c>
      <c r="Q319" s="2" t="str">
        <f t="shared" si="39"/>
        <v>SI_SA_COMMON_MAGIC_ADRENALIN</v>
      </c>
      <c r="R319" s="2" t="b">
        <v>0</v>
      </c>
      <c r="S319" s="2" t="b">
        <v>1</v>
      </c>
      <c r="T319" s="2">
        <v>1</v>
      </c>
      <c r="V319" s="1" t="s">
        <v>139</v>
      </c>
      <c r="W319" s="2">
        <v>1.65</v>
      </c>
      <c r="X319" s="1" t="s">
        <v>153</v>
      </c>
      <c r="Y319" s="2">
        <v>10</v>
      </c>
    </row>
    <row r="320" spans="1:25">
      <c r="A320" s="4">
        <v>307</v>
      </c>
      <c r="B320" s="7" t="str">
        <f>VLOOKUP($A320,SkillEnum!$A$2:$C$1020,2,FALSE)</f>
        <v>SI_SA_COMMON_MAGIC_ADRENALIN</v>
      </c>
      <c r="C320" s="7">
        <v>5</v>
      </c>
      <c r="D320" s="2" t="str">
        <f>VLOOKUP($C320,SkillEnum!$D$2:$E$10,2,FALSE)</f>
        <v>ST_BUFF</v>
      </c>
      <c r="E320" s="7" t="str">
        <f>VLOOKUP($A320,SkillEnum!$A$2:$C$1020,3,FALSE)</f>
        <v>매직 아드레날린</v>
      </c>
      <c r="F320" s="7" t="str">
        <f t="shared" si="47"/>
        <v>10 초 동안 마법 공격력을 70 % 증가 시킨다. (모든 공격력 계열 버프는 중복 되지 않습니다.)</v>
      </c>
      <c r="G320" s="2">
        <v>9</v>
      </c>
      <c r="H320" s="2">
        <v>1</v>
      </c>
      <c r="I320" s="2">
        <v>10</v>
      </c>
      <c r="J320" s="2">
        <v>100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 t="s">
        <v>434</v>
      </c>
      <c r="Q320" s="2" t="str">
        <f t="shared" si="39"/>
        <v>SI_SA_COMMON_MAGIC_ADRENALIN</v>
      </c>
      <c r="R320" s="2" t="b">
        <v>0</v>
      </c>
      <c r="S320" s="2" t="b">
        <v>1</v>
      </c>
      <c r="T320" s="2">
        <v>1</v>
      </c>
      <c r="V320" s="1" t="s">
        <v>139</v>
      </c>
      <c r="W320" s="2">
        <v>1.7</v>
      </c>
      <c r="X320" s="1" t="s">
        <v>153</v>
      </c>
      <c r="Y320" s="2">
        <v>10</v>
      </c>
    </row>
    <row r="321" spans="1:27" s="5" customFormat="1">
      <c r="A321" s="6">
        <v>307</v>
      </c>
      <c r="B321" s="8" t="str">
        <f>VLOOKUP($A321,SkillEnum!$A$2:$C$1020,2,FALSE)</f>
        <v>SI_SA_COMMON_MAGIC_ADRENALIN</v>
      </c>
      <c r="C321" s="8">
        <v>5</v>
      </c>
      <c r="D321" s="5" t="str">
        <f>VLOOKUP($C321,SkillEnum!$D$2:$E$10,2,FALSE)</f>
        <v>ST_BUFF</v>
      </c>
      <c r="E321" s="8" t="str">
        <f>VLOOKUP($A321,SkillEnum!$A$2:$C$1020,3,FALSE)</f>
        <v>매직 아드레날린</v>
      </c>
      <c r="F321" s="8" t="str">
        <f t="shared" si="47"/>
        <v>10 초 동안 마법 공격력을 75 % 증가 시킨다. (모든 공격력 계열 버프는 중복 되지 않습니다.)</v>
      </c>
      <c r="G321" s="5">
        <v>10</v>
      </c>
      <c r="H321" s="5">
        <v>1</v>
      </c>
      <c r="I321" s="5">
        <v>10</v>
      </c>
      <c r="J321" s="5">
        <v>100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2" t="s">
        <v>434</v>
      </c>
      <c r="Q321" s="2" t="str">
        <f t="shared" si="39"/>
        <v>SI_SA_COMMON_MAGIC_ADRENALIN</v>
      </c>
      <c r="R321" s="5" t="b">
        <v>0</v>
      </c>
      <c r="S321" s="2" t="b">
        <v>1</v>
      </c>
      <c r="T321" s="2">
        <v>1</v>
      </c>
      <c r="U321" s="2"/>
      <c r="V321" s="5" t="s">
        <v>139</v>
      </c>
      <c r="W321" s="5">
        <v>1.75</v>
      </c>
      <c r="X321" s="5" t="s">
        <v>153</v>
      </c>
      <c r="Y321" s="5">
        <v>10</v>
      </c>
    </row>
    <row r="322" spans="1:27">
      <c r="A322" s="4">
        <v>308</v>
      </c>
      <c r="B322" s="7" t="str">
        <f>VLOOKUP($A322,SkillEnum!$A$2:$C$1020,2,FALSE)</f>
        <v>SI_SA_COMMON_SHIELD_ADRENALIN</v>
      </c>
      <c r="C322" s="7">
        <v>5</v>
      </c>
      <c r="D322" s="2" t="str">
        <f>VLOOKUP($C322,SkillEnum!$D$2:$E$10,2,FALSE)</f>
        <v>ST_BUFF</v>
      </c>
      <c r="E322" s="11" t="str">
        <f>VLOOKUP($A322,SkillEnum!$A$2:$C$1020,3,FALSE)</f>
        <v>실드 아드레날린</v>
      </c>
      <c r="F322" s="11" t="str">
        <f>AA322&amp;" 초 동안 물리, 마법 방어력을 "&amp;ROUND((W322-1)*100,0)&amp;" % 증가 시킨다. (모든 방어력 계열 버프는 중복 되지 않습니다.)"</f>
        <v>10 초 동안 물리, 마법 방어력을 60 % 증가 시킨다. (모든 방어력 계열 버프는 중복 되지 않습니다.)</v>
      </c>
      <c r="G322" s="10">
        <v>1</v>
      </c>
      <c r="H322" s="2">
        <v>1</v>
      </c>
      <c r="I322" s="2">
        <v>10</v>
      </c>
      <c r="J322" s="2">
        <v>100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 t="s">
        <v>434</v>
      </c>
      <c r="Q322" s="2" t="str">
        <f t="shared" si="39"/>
        <v>SI_SA_COMMON_SHIELD_ADRENALIN</v>
      </c>
      <c r="R322" s="2" t="b">
        <v>0</v>
      </c>
      <c r="S322" s="2" t="b">
        <v>1</v>
      </c>
      <c r="T322" s="2">
        <v>1</v>
      </c>
      <c r="V322" s="1" t="s">
        <v>136</v>
      </c>
      <c r="W322" s="2">
        <v>1.6</v>
      </c>
      <c r="X322" s="1" t="s">
        <v>137</v>
      </c>
      <c r="Y322" s="10">
        <f>W322</f>
        <v>1.6</v>
      </c>
      <c r="Z322" s="1" t="s">
        <v>153</v>
      </c>
      <c r="AA322" s="2">
        <v>10</v>
      </c>
    </row>
    <row r="323" spans="1:27">
      <c r="A323" s="4">
        <v>308</v>
      </c>
      <c r="B323" s="7" t="str">
        <f>VLOOKUP($A323,SkillEnum!$A$2:$C$1020,2,FALSE)</f>
        <v>SI_SA_COMMON_SHIELD_ADRENALIN</v>
      </c>
      <c r="C323" s="7">
        <v>5</v>
      </c>
      <c r="D323" s="2" t="str">
        <f>VLOOKUP($C323,SkillEnum!$D$2:$E$10,2,FALSE)</f>
        <v>ST_BUFF</v>
      </c>
      <c r="E323" s="7" t="str">
        <f>VLOOKUP($A323,SkillEnum!$A$2:$C$1020,3,FALSE)</f>
        <v>실드 아드레날린</v>
      </c>
      <c r="F323" s="7" t="str">
        <f t="shared" ref="F323:F331" si="48">AA323&amp;" 초 동안 물리, 마법 방어력을 "&amp;ROUND((W323-1)*100,0)&amp;" % 증가 시킨다. (모든 방어력 계열 버프는 중복 되지 않습니다.)"</f>
        <v>10 초 동안 물리, 마법 방어력을 70 % 증가 시킨다. (모든 방어력 계열 버프는 중복 되지 않습니다.)</v>
      </c>
      <c r="G323" s="2">
        <v>2</v>
      </c>
      <c r="H323" s="2">
        <v>1</v>
      </c>
      <c r="I323" s="2">
        <v>10</v>
      </c>
      <c r="J323" s="2">
        <v>100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 t="s">
        <v>434</v>
      </c>
      <c r="Q323" s="2" t="str">
        <f t="shared" ref="Q323:Q386" si="49">B323</f>
        <v>SI_SA_COMMON_SHIELD_ADRENALIN</v>
      </c>
      <c r="R323" s="2" t="b">
        <v>0</v>
      </c>
      <c r="S323" s="2" t="b">
        <v>1</v>
      </c>
      <c r="T323" s="2">
        <v>1</v>
      </c>
      <c r="V323" s="1" t="s">
        <v>136</v>
      </c>
      <c r="W323" s="2">
        <v>1.7</v>
      </c>
      <c r="X323" s="1" t="s">
        <v>137</v>
      </c>
      <c r="Y323" s="2">
        <f>W323</f>
        <v>1.7</v>
      </c>
      <c r="Z323" s="1" t="s">
        <v>153</v>
      </c>
      <c r="AA323" s="2">
        <v>10</v>
      </c>
    </row>
    <row r="324" spans="1:27">
      <c r="A324" s="4">
        <v>308</v>
      </c>
      <c r="B324" s="7" t="str">
        <f>VLOOKUP($A324,SkillEnum!$A$2:$C$1020,2,FALSE)</f>
        <v>SI_SA_COMMON_SHIELD_ADRENALIN</v>
      </c>
      <c r="C324" s="7">
        <v>5</v>
      </c>
      <c r="D324" s="2" t="str">
        <f>VLOOKUP($C324,SkillEnum!$D$2:$E$10,2,FALSE)</f>
        <v>ST_BUFF</v>
      </c>
      <c r="E324" s="7" t="str">
        <f>VLOOKUP($A324,SkillEnum!$A$2:$C$1020,3,FALSE)</f>
        <v>실드 아드레날린</v>
      </c>
      <c r="F324" s="7" t="str">
        <f t="shared" si="48"/>
        <v>10 초 동안 물리, 마법 방어력을 80 % 증가 시킨다. (모든 방어력 계열 버프는 중복 되지 않습니다.)</v>
      </c>
      <c r="G324" s="2">
        <v>3</v>
      </c>
      <c r="H324" s="2">
        <v>1</v>
      </c>
      <c r="I324" s="2">
        <v>10</v>
      </c>
      <c r="J324" s="2">
        <v>100</v>
      </c>
      <c r="K324" s="2">
        <v>0</v>
      </c>
      <c r="L324" s="2">
        <v>0</v>
      </c>
      <c r="M324" s="2">
        <v>0</v>
      </c>
      <c r="N324" s="2">
        <v>0</v>
      </c>
      <c r="O324" s="2">
        <v>0</v>
      </c>
      <c r="P324" s="2" t="s">
        <v>434</v>
      </c>
      <c r="Q324" s="2" t="str">
        <f t="shared" si="49"/>
        <v>SI_SA_COMMON_SHIELD_ADRENALIN</v>
      </c>
      <c r="R324" s="2" t="b">
        <v>0</v>
      </c>
      <c r="S324" s="2" t="b">
        <v>1</v>
      </c>
      <c r="T324" s="2">
        <v>1</v>
      </c>
      <c r="V324" s="1" t="s">
        <v>136</v>
      </c>
      <c r="W324" s="2">
        <v>1.8</v>
      </c>
      <c r="X324" s="1" t="s">
        <v>137</v>
      </c>
      <c r="Y324" s="2">
        <f t="shared" ref="Y324:Y331" si="50">W324</f>
        <v>1.8</v>
      </c>
      <c r="Z324" s="1" t="s">
        <v>153</v>
      </c>
      <c r="AA324" s="2">
        <v>10</v>
      </c>
    </row>
    <row r="325" spans="1:27">
      <c r="A325" s="4">
        <v>308</v>
      </c>
      <c r="B325" s="7" t="str">
        <f>VLOOKUP($A325,SkillEnum!$A$2:$C$1020,2,FALSE)</f>
        <v>SI_SA_COMMON_SHIELD_ADRENALIN</v>
      </c>
      <c r="C325" s="7">
        <v>5</v>
      </c>
      <c r="D325" s="2" t="str">
        <f>VLOOKUP($C325,SkillEnum!$D$2:$E$10,2,FALSE)</f>
        <v>ST_BUFF</v>
      </c>
      <c r="E325" s="7" t="str">
        <f>VLOOKUP($A325,SkillEnum!$A$2:$C$1020,3,FALSE)</f>
        <v>실드 아드레날린</v>
      </c>
      <c r="F325" s="7" t="str">
        <f t="shared" si="48"/>
        <v>10 초 동안 물리, 마법 방어력을 90 % 증가 시킨다. (모든 방어력 계열 버프는 중복 되지 않습니다.)</v>
      </c>
      <c r="G325" s="2">
        <v>4</v>
      </c>
      <c r="H325" s="2">
        <v>1</v>
      </c>
      <c r="I325" s="2">
        <v>10</v>
      </c>
      <c r="J325" s="2">
        <v>100</v>
      </c>
      <c r="K325" s="2">
        <v>0</v>
      </c>
      <c r="L325" s="2">
        <v>0</v>
      </c>
      <c r="M325" s="2">
        <v>0</v>
      </c>
      <c r="N325" s="2">
        <v>0</v>
      </c>
      <c r="O325" s="2">
        <v>0</v>
      </c>
      <c r="P325" s="2" t="s">
        <v>434</v>
      </c>
      <c r="Q325" s="2" t="str">
        <f t="shared" si="49"/>
        <v>SI_SA_COMMON_SHIELD_ADRENALIN</v>
      </c>
      <c r="R325" s="2" t="b">
        <v>0</v>
      </c>
      <c r="S325" s="2" t="b">
        <v>1</v>
      </c>
      <c r="T325" s="2">
        <v>1</v>
      </c>
      <c r="V325" s="1" t="s">
        <v>136</v>
      </c>
      <c r="W325" s="2">
        <v>1.9</v>
      </c>
      <c r="X325" s="1" t="s">
        <v>137</v>
      </c>
      <c r="Y325" s="2">
        <f t="shared" si="50"/>
        <v>1.9</v>
      </c>
      <c r="Z325" s="1" t="s">
        <v>153</v>
      </c>
      <c r="AA325" s="2">
        <v>10</v>
      </c>
    </row>
    <row r="326" spans="1:27">
      <c r="A326" s="4">
        <v>308</v>
      </c>
      <c r="B326" s="7" t="str">
        <f>VLOOKUP($A326,SkillEnum!$A$2:$C$1020,2,FALSE)</f>
        <v>SI_SA_COMMON_SHIELD_ADRENALIN</v>
      </c>
      <c r="C326" s="7">
        <v>5</v>
      </c>
      <c r="D326" s="2" t="str">
        <f>VLOOKUP($C326,SkillEnum!$D$2:$E$10,2,FALSE)</f>
        <v>ST_BUFF</v>
      </c>
      <c r="E326" s="7" t="str">
        <f>VLOOKUP($A326,SkillEnum!$A$2:$C$1020,3,FALSE)</f>
        <v>실드 아드레날린</v>
      </c>
      <c r="F326" s="7" t="str">
        <f t="shared" si="48"/>
        <v>10 초 동안 물리, 마법 방어력을 100 % 증가 시킨다. (모든 방어력 계열 버프는 중복 되지 않습니다.)</v>
      </c>
      <c r="G326" s="2">
        <v>5</v>
      </c>
      <c r="H326" s="2">
        <v>1</v>
      </c>
      <c r="I326" s="2">
        <v>10</v>
      </c>
      <c r="J326" s="2">
        <v>100</v>
      </c>
      <c r="K326" s="2">
        <v>0</v>
      </c>
      <c r="L326" s="2">
        <v>0</v>
      </c>
      <c r="M326" s="2">
        <v>0</v>
      </c>
      <c r="N326" s="2">
        <v>0</v>
      </c>
      <c r="O326" s="2">
        <v>0</v>
      </c>
      <c r="P326" s="2" t="s">
        <v>434</v>
      </c>
      <c r="Q326" s="2" t="str">
        <f t="shared" si="49"/>
        <v>SI_SA_COMMON_SHIELD_ADRENALIN</v>
      </c>
      <c r="R326" s="2" t="b">
        <v>0</v>
      </c>
      <c r="S326" s="2" t="b">
        <v>1</v>
      </c>
      <c r="T326" s="2">
        <v>1</v>
      </c>
      <c r="V326" s="1" t="s">
        <v>136</v>
      </c>
      <c r="W326" s="2">
        <v>2</v>
      </c>
      <c r="X326" s="1" t="s">
        <v>137</v>
      </c>
      <c r="Y326" s="2">
        <f t="shared" si="50"/>
        <v>2</v>
      </c>
      <c r="Z326" s="1" t="s">
        <v>153</v>
      </c>
      <c r="AA326" s="2">
        <v>10</v>
      </c>
    </row>
    <row r="327" spans="1:27">
      <c r="A327" s="4">
        <v>308</v>
      </c>
      <c r="B327" s="7" t="str">
        <f>VLOOKUP($A327,SkillEnum!$A$2:$C$1020,2,FALSE)</f>
        <v>SI_SA_COMMON_SHIELD_ADRENALIN</v>
      </c>
      <c r="C327" s="7">
        <v>5</v>
      </c>
      <c r="D327" s="2" t="str">
        <f>VLOOKUP($C327,SkillEnum!$D$2:$E$10,2,FALSE)</f>
        <v>ST_BUFF</v>
      </c>
      <c r="E327" s="7" t="str">
        <f>VLOOKUP($A327,SkillEnum!$A$2:$C$1020,3,FALSE)</f>
        <v>실드 아드레날린</v>
      </c>
      <c r="F327" s="7" t="str">
        <f t="shared" si="48"/>
        <v>10 초 동안 물리, 마법 방어력을 110 % 증가 시킨다. (모든 방어력 계열 버프는 중복 되지 않습니다.)</v>
      </c>
      <c r="G327" s="2">
        <v>6</v>
      </c>
      <c r="H327" s="2">
        <v>1</v>
      </c>
      <c r="I327" s="2">
        <v>10</v>
      </c>
      <c r="J327" s="2">
        <v>100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 t="s">
        <v>434</v>
      </c>
      <c r="Q327" s="2" t="str">
        <f t="shared" si="49"/>
        <v>SI_SA_COMMON_SHIELD_ADRENALIN</v>
      </c>
      <c r="R327" s="2" t="b">
        <v>0</v>
      </c>
      <c r="S327" s="2" t="b">
        <v>1</v>
      </c>
      <c r="T327" s="2">
        <v>1</v>
      </c>
      <c r="V327" s="1" t="s">
        <v>136</v>
      </c>
      <c r="W327" s="2">
        <v>2.1</v>
      </c>
      <c r="X327" s="1" t="s">
        <v>137</v>
      </c>
      <c r="Y327" s="2">
        <f t="shared" si="50"/>
        <v>2.1</v>
      </c>
      <c r="Z327" s="1" t="s">
        <v>153</v>
      </c>
      <c r="AA327" s="2">
        <v>10</v>
      </c>
    </row>
    <row r="328" spans="1:27">
      <c r="A328" s="4">
        <v>308</v>
      </c>
      <c r="B328" s="7" t="str">
        <f>VLOOKUP($A328,SkillEnum!$A$2:$C$1020,2,FALSE)</f>
        <v>SI_SA_COMMON_SHIELD_ADRENALIN</v>
      </c>
      <c r="C328" s="7">
        <v>5</v>
      </c>
      <c r="D328" s="2" t="str">
        <f>VLOOKUP($C328,SkillEnum!$D$2:$E$10,2,FALSE)</f>
        <v>ST_BUFF</v>
      </c>
      <c r="E328" s="7" t="str">
        <f>VLOOKUP($A328,SkillEnum!$A$2:$C$1020,3,FALSE)</f>
        <v>실드 아드레날린</v>
      </c>
      <c r="F328" s="7" t="str">
        <f t="shared" si="48"/>
        <v>10 초 동안 물리, 마법 방어력을 120 % 증가 시킨다. (모든 방어력 계열 버프는 중복 되지 않습니다.)</v>
      </c>
      <c r="G328" s="2">
        <v>7</v>
      </c>
      <c r="H328" s="2">
        <v>1</v>
      </c>
      <c r="I328" s="2">
        <v>10</v>
      </c>
      <c r="J328" s="2">
        <v>100</v>
      </c>
      <c r="K328" s="2">
        <v>0</v>
      </c>
      <c r="L328" s="2">
        <v>0</v>
      </c>
      <c r="M328" s="2">
        <v>0</v>
      </c>
      <c r="N328" s="2">
        <v>0</v>
      </c>
      <c r="O328" s="2">
        <v>0</v>
      </c>
      <c r="P328" s="2" t="s">
        <v>434</v>
      </c>
      <c r="Q328" s="2" t="str">
        <f t="shared" si="49"/>
        <v>SI_SA_COMMON_SHIELD_ADRENALIN</v>
      </c>
      <c r="R328" s="2" t="b">
        <v>0</v>
      </c>
      <c r="S328" s="2" t="b">
        <v>1</v>
      </c>
      <c r="T328" s="2">
        <v>1</v>
      </c>
      <c r="V328" s="1" t="s">
        <v>136</v>
      </c>
      <c r="W328" s="2">
        <v>2.2000000000000002</v>
      </c>
      <c r="X328" s="1" t="s">
        <v>137</v>
      </c>
      <c r="Y328" s="2">
        <f t="shared" si="50"/>
        <v>2.2000000000000002</v>
      </c>
      <c r="Z328" s="1" t="s">
        <v>153</v>
      </c>
      <c r="AA328" s="2">
        <v>10</v>
      </c>
    </row>
    <row r="329" spans="1:27">
      <c r="A329" s="4">
        <v>308</v>
      </c>
      <c r="B329" s="7" t="str">
        <f>VLOOKUP($A329,SkillEnum!$A$2:$C$1020,2,FALSE)</f>
        <v>SI_SA_COMMON_SHIELD_ADRENALIN</v>
      </c>
      <c r="C329" s="7">
        <v>5</v>
      </c>
      <c r="D329" s="2" t="str">
        <f>VLOOKUP($C329,SkillEnum!$D$2:$E$10,2,FALSE)</f>
        <v>ST_BUFF</v>
      </c>
      <c r="E329" s="7" t="str">
        <f>VLOOKUP($A329,SkillEnum!$A$2:$C$1020,3,FALSE)</f>
        <v>실드 아드레날린</v>
      </c>
      <c r="F329" s="7" t="str">
        <f t="shared" si="48"/>
        <v>10 초 동안 물리, 마법 방어력을 130 % 증가 시킨다. (모든 방어력 계열 버프는 중복 되지 않습니다.)</v>
      </c>
      <c r="G329" s="2">
        <v>8</v>
      </c>
      <c r="H329" s="2">
        <v>1</v>
      </c>
      <c r="I329" s="2">
        <v>10</v>
      </c>
      <c r="J329" s="2">
        <v>100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 t="s">
        <v>434</v>
      </c>
      <c r="Q329" s="2" t="str">
        <f t="shared" si="49"/>
        <v>SI_SA_COMMON_SHIELD_ADRENALIN</v>
      </c>
      <c r="R329" s="2" t="b">
        <v>0</v>
      </c>
      <c r="S329" s="2" t="b">
        <v>1</v>
      </c>
      <c r="T329" s="2">
        <v>1</v>
      </c>
      <c r="V329" s="1" t="s">
        <v>136</v>
      </c>
      <c r="W329" s="2">
        <v>2.2999999999999998</v>
      </c>
      <c r="X329" s="1" t="s">
        <v>137</v>
      </c>
      <c r="Y329" s="2">
        <f t="shared" si="50"/>
        <v>2.2999999999999998</v>
      </c>
      <c r="Z329" s="1" t="s">
        <v>153</v>
      </c>
      <c r="AA329" s="2">
        <v>10</v>
      </c>
    </row>
    <row r="330" spans="1:27">
      <c r="A330" s="4">
        <v>308</v>
      </c>
      <c r="B330" s="7" t="str">
        <f>VLOOKUP($A330,SkillEnum!$A$2:$C$1020,2,FALSE)</f>
        <v>SI_SA_COMMON_SHIELD_ADRENALIN</v>
      </c>
      <c r="C330" s="7">
        <v>5</v>
      </c>
      <c r="D330" s="2" t="str">
        <f>VLOOKUP($C330,SkillEnum!$D$2:$E$10,2,FALSE)</f>
        <v>ST_BUFF</v>
      </c>
      <c r="E330" s="7" t="str">
        <f>VLOOKUP($A330,SkillEnum!$A$2:$C$1020,3,FALSE)</f>
        <v>실드 아드레날린</v>
      </c>
      <c r="F330" s="7" t="str">
        <f t="shared" si="48"/>
        <v>10 초 동안 물리, 마법 방어력을 140 % 증가 시킨다. (모든 방어력 계열 버프는 중복 되지 않습니다.)</v>
      </c>
      <c r="G330" s="2">
        <v>9</v>
      </c>
      <c r="H330" s="2">
        <v>1</v>
      </c>
      <c r="I330" s="2">
        <v>10</v>
      </c>
      <c r="J330" s="2">
        <v>100</v>
      </c>
      <c r="K330" s="2">
        <v>0</v>
      </c>
      <c r="L330" s="2">
        <v>0</v>
      </c>
      <c r="M330" s="2">
        <v>0</v>
      </c>
      <c r="N330" s="2">
        <v>0</v>
      </c>
      <c r="O330" s="2">
        <v>0</v>
      </c>
      <c r="P330" s="2" t="s">
        <v>434</v>
      </c>
      <c r="Q330" s="2" t="str">
        <f t="shared" si="49"/>
        <v>SI_SA_COMMON_SHIELD_ADRENALIN</v>
      </c>
      <c r="R330" s="2" t="b">
        <v>0</v>
      </c>
      <c r="S330" s="2" t="b">
        <v>1</v>
      </c>
      <c r="T330" s="2">
        <v>1</v>
      </c>
      <c r="V330" s="1" t="s">
        <v>136</v>
      </c>
      <c r="W330" s="2">
        <v>2.4</v>
      </c>
      <c r="X330" s="1" t="s">
        <v>137</v>
      </c>
      <c r="Y330" s="2">
        <f t="shared" si="50"/>
        <v>2.4</v>
      </c>
      <c r="Z330" s="1" t="s">
        <v>153</v>
      </c>
      <c r="AA330" s="2">
        <v>10</v>
      </c>
    </row>
    <row r="331" spans="1:27" s="5" customFormat="1">
      <c r="A331" s="6">
        <v>308</v>
      </c>
      <c r="B331" s="8" t="str">
        <f>VLOOKUP($A331,SkillEnum!$A$2:$C$1020,2,FALSE)</f>
        <v>SI_SA_COMMON_SHIELD_ADRENALIN</v>
      </c>
      <c r="C331" s="8">
        <v>5</v>
      </c>
      <c r="D331" s="5" t="str">
        <f>VLOOKUP($C331,SkillEnum!$D$2:$E$10,2,FALSE)</f>
        <v>ST_BUFF</v>
      </c>
      <c r="E331" s="8" t="str">
        <f>VLOOKUP($A331,SkillEnum!$A$2:$C$1020,3,FALSE)</f>
        <v>실드 아드레날린</v>
      </c>
      <c r="F331" s="8" t="str">
        <f t="shared" si="48"/>
        <v>10 초 동안 물리, 마법 방어력을 150 % 증가 시킨다. (모든 방어력 계열 버프는 중복 되지 않습니다.)</v>
      </c>
      <c r="G331" s="5">
        <v>10</v>
      </c>
      <c r="H331" s="5">
        <v>1</v>
      </c>
      <c r="I331" s="5">
        <v>10</v>
      </c>
      <c r="J331" s="5">
        <v>100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2" t="s">
        <v>434</v>
      </c>
      <c r="Q331" s="2" t="str">
        <f t="shared" si="49"/>
        <v>SI_SA_COMMON_SHIELD_ADRENALIN</v>
      </c>
      <c r="R331" s="5" t="b">
        <v>0</v>
      </c>
      <c r="S331" s="2" t="b">
        <v>1</v>
      </c>
      <c r="T331" s="2">
        <v>1</v>
      </c>
      <c r="U331" s="2"/>
      <c r="V331" s="5" t="s">
        <v>136</v>
      </c>
      <c r="W331" s="5">
        <v>2.5</v>
      </c>
      <c r="X331" s="5" t="s">
        <v>137</v>
      </c>
      <c r="Y331" s="5">
        <f t="shared" si="50"/>
        <v>2.5</v>
      </c>
      <c r="Z331" s="5" t="s">
        <v>153</v>
      </c>
      <c r="AA331" s="5">
        <v>10</v>
      </c>
    </row>
    <row r="332" spans="1:27">
      <c r="A332" s="4">
        <v>1000</v>
      </c>
      <c r="B332" s="7" t="str">
        <f>VLOOKUP($A332,SkillEnum!$A$2:$C$1020,2,FALSE)</f>
        <v>SI_SA_ES_MEGASLASH</v>
      </c>
      <c r="C332" s="7">
        <v>7</v>
      </c>
      <c r="D332" s="2" t="str">
        <f>VLOOKUP($C332,SkillEnum!$D$2:$E$10,2,FALSE)</f>
        <v>ST_SPECIAL_ACTIVE</v>
      </c>
      <c r="E332" s="11" t="str">
        <f>VLOOKUP($A332,SkillEnum!$A$2:$C$1020,3,FALSE)</f>
        <v>메가 슬래시</v>
      </c>
      <c r="F332" s="11" t="str">
        <f>"힘을 모아 강력하게 상대를 베어넘겨 물리 공격력의 "&amp;ROUND(7.4*1.2*H332*100,0)&amp;" % 데미지를 준다."</f>
        <v>힘을 모아 강력하게 상대를 베어넘겨 물리 공격력의 622 % 데미지를 준다.</v>
      </c>
      <c r="G332" s="10">
        <v>1</v>
      </c>
      <c r="H332" s="2">
        <v>0.7</v>
      </c>
      <c r="I332" s="2">
        <v>3</v>
      </c>
      <c r="J332" s="2">
        <v>100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 t="s">
        <v>435</v>
      </c>
      <c r="Q332" s="2" t="str">
        <f t="shared" si="49"/>
        <v>SI_SA_ES_MEGASLASH</v>
      </c>
      <c r="R332" s="2" t="b">
        <v>0</v>
      </c>
      <c r="S332" s="2" t="b">
        <v>1</v>
      </c>
      <c r="T332" s="2">
        <v>1</v>
      </c>
    </row>
    <row r="333" spans="1:27">
      <c r="A333" s="4">
        <v>1000</v>
      </c>
      <c r="B333" s="7" t="str">
        <f>VLOOKUP($A333,SkillEnum!$A$2:$C$1020,2,FALSE)</f>
        <v>SI_SA_ES_MEGASLASH</v>
      </c>
      <c r="C333" s="7">
        <v>7</v>
      </c>
      <c r="D333" s="2" t="str">
        <f>VLOOKUP($C333,SkillEnum!$D$2:$E$10,2,FALSE)</f>
        <v>ST_SPECIAL_ACTIVE</v>
      </c>
      <c r="E333" s="7" t="str">
        <f>VLOOKUP($A333,SkillEnum!$A$2:$C$1020,3,FALSE)</f>
        <v>메가 슬래시</v>
      </c>
      <c r="F333" s="7" t="str">
        <f t="shared" ref="F333:F341" si="51">"힘을 모아 강력하게 상대를 베어넘겨 물리 공격력의 "&amp;ROUND(7.4*1.2*H333*100,0)&amp;" % 데미지를 준다."</f>
        <v>힘을 모아 강력하게 상대를 베어넘겨 물리 공격력의 746 % 데미지를 준다.</v>
      </c>
      <c r="G333" s="2">
        <v>2</v>
      </c>
      <c r="H333" s="2">
        <v>0.84</v>
      </c>
      <c r="I333" s="2">
        <v>3</v>
      </c>
      <c r="J333" s="2">
        <v>100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 t="s">
        <v>435</v>
      </c>
      <c r="Q333" s="2" t="str">
        <f t="shared" si="49"/>
        <v>SI_SA_ES_MEGASLASH</v>
      </c>
      <c r="R333" s="2" t="b">
        <v>0</v>
      </c>
      <c r="S333" s="2" t="b">
        <v>1</v>
      </c>
      <c r="T333" s="2">
        <v>1</v>
      </c>
    </row>
    <row r="334" spans="1:27">
      <c r="A334" s="4">
        <v>1000</v>
      </c>
      <c r="B334" s="7" t="str">
        <f>VLOOKUP($A334,SkillEnum!$A$2:$C$1020,2,FALSE)</f>
        <v>SI_SA_ES_MEGASLASH</v>
      </c>
      <c r="C334" s="7">
        <v>7</v>
      </c>
      <c r="D334" s="2" t="str">
        <f>VLOOKUP($C334,SkillEnum!$D$2:$E$10,2,FALSE)</f>
        <v>ST_SPECIAL_ACTIVE</v>
      </c>
      <c r="E334" s="7" t="str">
        <f>VLOOKUP($A334,SkillEnum!$A$2:$C$1020,3,FALSE)</f>
        <v>메가 슬래시</v>
      </c>
      <c r="F334" s="7" t="str">
        <f t="shared" si="51"/>
        <v>힘을 모아 강력하게 상대를 베어넘겨 물리 공격력의 870 % 데미지를 준다.</v>
      </c>
      <c r="G334" s="2">
        <v>3</v>
      </c>
      <c r="H334" s="2">
        <v>0.98</v>
      </c>
      <c r="I334" s="2">
        <v>3</v>
      </c>
      <c r="J334" s="2">
        <v>100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 t="s">
        <v>435</v>
      </c>
      <c r="Q334" s="2" t="str">
        <f t="shared" si="49"/>
        <v>SI_SA_ES_MEGASLASH</v>
      </c>
      <c r="R334" s="2" t="b">
        <v>0</v>
      </c>
      <c r="S334" s="2" t="b">
        <v>1</v>
      </c>
      <c r="T334" s="2">
        <v>1</v>
      </c>
    </row>
    <row r="335" spans="1:27">
      <c r="A335" s="4">
        <v>1000</v>
      </c>
      <c r="B335" s="7" t="str">
        <f>VLOOKUP($A335,SkillEnum!$A$2:$C$1020,2,FALSE)</f>
        <v>SI_SA_ES_MEGASLASH</v>
      </c>
      <c r="C335" s="7">
        <v>7</v>
      </c>
      <c r="D335" s="2" t="str">
        <f>VLOOKUP($C335,SkillEnum!$D$2:$E$10,2,FALSE)</f>
        <v>ST_SPECIAL_ACTIVE</v>
      </c>
      <c r="E335" s="7" t="str">
        <f>VLOOKUP($A335,SkillEnum!$A$2:$C$1020,3,FALSE)</f>
        <v>메가 슬래시</v>
      </c>
      <c r="F335" s="7" t="str">
        <f t="shared" si="51"/>
        <v>힘을 모아 강력하게 상대를 베어넘겨 물리 공격력의 995 % 데미지를 준다.</v>
      </c>
      <c r="G335" s="2">
        <v>4</v>
      </c>
      <c r="H335" s="2">
        <v>1.1200000000000001</v>
      </c>
      <c r="I335" s="2">
        <v>3</v>
      </c>
      <c r="J335" s="2">
        <v>100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 t="s">
        <v>435</v>
      </c>
      <c r="Q335" s="2" t="str">
        <f t="shared" si="49"/>
        <v>SI_SA_ES_MEGASLASH</v>
      </c>
      <c r="R335" s="2" t="b">
        <v>0</v>
      </c>
      <c r="S335" s="2" t="b">
        <v>1</v>
      </c>
      <c r="T335" s="2">
        <v>1</v>
      </c>
    </row>
    <row r="336" spans="1:27">
      <c r="A336" s="4">
        <v>1000</v>
      </c>
      <c r="B336" s="7" t="str">
        <f>VLOOKUP($A336,SkillEnum!$A$2:$C$1020,2,FALSE)</f>
        <v>SI_SA_ES_MEGASLASH</v>
      </c>
      <c r="C336" s="7">
        <v>7</v>
      </c>
      <c r="D336" s="2" t="str">
        <f>VLOOKUP($C336,SkillEnum!$D$2:$E$10,2,FALSE)</f>
        <v>ST_SPECIAL_ACTIVE</v>
      </c>
      <c r="E336" s="7" t="str">
        <f>VLOOKUP($A336,SkillEnum!$A$2:$C$1020,3,FALSE)</f>
        <v>메가 슬래시</v>
      </c>
      <c r="F336" s="7" t="str">
        <f t="shared" si="51"/>
        <v>힘을 모아 강력하게 상대를 베어넘겨 물리 공격력의 1181 % 데미지를 준다.</v>
      </c>
      <c r="G336" s="2">
        <v>5</v>
      </c>
      <c r="H336" s="2">
        <v>1.33</v>
      </c>
      <c r="I336" s="2">
        <v>3</v>
      </c>
      <c r="J336" s="2">
        <v>100</v>
      </c>
      <c r="K336" s="2">
        <v>0</v>
      </c>
      <c r="L336" s="2">
        <v>0</v>
      </c>
      <c r="M336" s="2">
        <v>0</v>
      </c>
      <c r="N336" s="2">
        <v>0</v>
      </c>
      <c r="O336" s="2">
        <v>0</v>
      </c>
      <c r="P336" s="2" t="s">
        <v>435</v>
      </c>
      <c r="Q336" s="2" t="str">
        <f t="shared" si="49"/>
        <v>SI_SA_ES_MEGASLASH</v>
      </c>
      <c r="R336" s="2" t="b">
        <v>0</v>
      </c>
      <c r="S336" s="2" t="b">
        <v>1</v>
      </c>
      <c r="T336" s="2">
        <v>1</v>
      </c>
    </row>
    <row r="337" spans="1:21">
      <c r="A337" s="4">
        <v>1000</v>
      </c>
      <c r="B337" s="7" t="str">
        <f>VLOOKUP($A337,SkillEnum!$A$2:$C$1020,2,FALSE)</f>
        <v>SI_SA_ES_MEGASLASH</v>
      </c>
      <c r="C337" s="7">
        <v>7</v>
      </c>
      <c r="D337" s="2" t="str">
        <f>VLOOKUP($C337,SkillEnum!$D$2:$E$10,2,FALSE)</f>
        <v>ST_SPECIAL_ACTIVE</v>
      </c>
      <c r="E337" s="7" t="str">
        <f>VLOOKUP($A337,SkillEnum!$A$2:$C$1020,3,FALSE)</f>
        <v>메가 슬래시</v>
      </c>
      <c r="F337" s="7" t="str">
        <f t="shared" si="51"/>
        <v>힘을 모아 강력하게 상대를 베어넘겨 물리 공격력의 1368 % 데미지를 준다.</v>
      </c>
      <c r="G337" s="2">
        <v>6</v>
      </c>
      <c r="H337" s="2">
        <v>1.54</v>
      </c>
      <c r="I337" s="2">
        <v>3</v>
      </c>
      <c r="J337" s="2">
        <v>100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 t="s">
        <v>435</v>
      </c>
      <c r="Q337" s="2" t="str">
        <f t="shared" si="49"/>
        <v>SI_SA_ES_MEGASLASH</v>
      </c>
      <c r="R337" s="2" t="b">
        <v>0</v>
      </c>
      <c r="S337" s="2" t="b">
        <v>1</v>
      </c>
      <c r="T337" s="2">
        <v>1</v>
      </c>
    </row>
    <row r="338" spans="1:21">
      <c r="A338" s="4">
        <v>1000</v>
      </c>
      <c r="B338" s="7" t="str">
        <f>VLOOKUP($A338,SkillEnum!$A$2:$C$1020,2,FALSE)</f>
        <v>SI_SA_ES_MEGASLASH</v>
      </c>
      <c r="C338" s="7">
        <v>7</v>
      </c>
      <c r="D338" s="2" t="str">
        <f>VLOOKUP($C338,SkillEnum!$D$2:$E$10,2,FALSE)</f>
        <v>ST_SPECIAL_ACTIVE</v>
      </c>
      <c r="E338" s="7" t="str">
        <f>VLOOKUP($A338,SkillEnum!$A$2:$C$1020,3,FALSE)</f>
        <v>메가 슬래시</v>
      </c>
      <c r="F338" s="7" t="str">
        <f t="shared" si="51"/>
        <v>힘을 모아 강력하게 상대를 베어넘겨 물리 공격력의 1554 % 데미지를 준다.</v>
      </c>
      <c r="G338" s="2">
        <v>7</v>
      </c>
      <c r="H338" s="2">
        <v>1.75</v>
      </c>
      <c r="I338" s="2">
        <v>3</v>
      </c>
      <c r="J338" s="2">
        <v>100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 t="s">
        <v>435</v>
      </c>
      <c r="Q338" s="2" t="str">
        <f t="shared" si="49"/>
        <v>SI_SA_ES_MEGASLASH</v>
      </c>
      <c r="R338" s="2" t="b">
        <v>0</v>
      </c>
      <c r="S338" s="2" t="b">
        <v>1</v>
      </c>
      <c r="T338" s="2">
        <v>1</v>
      </c>
    </row>
    <row r="339" spans="1:21">
      <c r="A339" s="4">
        <v>1000</v>
      </c>
      <c r="B339" s="7" t="str">
        <f>VLOOKUP($A339,SkillEnum!$A$2:$C$1020,2,FALSE)</f>
        <v>SI_SA_ES_MEGASLASH</v>
      </c>
      <c r="C339" s="7">
        <v>7</v>
      </c>
      <c r="D339" s="2" t="str">
        <f>VLOOKUP($C339,SkillEnum!$D$2:$E$10,2,FALSE)</f>
        <v>ST_SPECIAL_ACTIVE</v>
      </c>
      <c r="E339" s="7" t="str">
        <f>VLOOKUP($A339,SkillEnum!$A$2:$C$1020,3,FALSE)</f>
        <v>메가 슬래시</v>
      </c>
      <c r="F339" s="7" t="str">
        <f t="shared" si="51"/>
        <v>힘을 모아 강력하게 상대를 베어넘겨 물리 공격력의 1740 % 데미지를 준다.</v>
      </c>
      <c r="G339" s="2">
        <v>8</v>
      </c>
      <c r="H339" s="2">
        <v>1.96</v>
      </c>
      <c r="I339" s="2">
        <v>3</v>
      </c>
      <c r="J339" s="2">
        <v>100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 t="s">
        <v>435</v>
      </c>
      <c r="Q339" s="2" t="str">
        <f t="shared" si="49"/>
        <v>SI_SA_ES_MEGASLASH</v>
      </c>
      <c r="R339" s="2" t="b">
        <v>0</v>
      </c>
      <c r="S339" s="2" t="b">
        <v>1</v>
      </c>
      <c r="T339" s="2">
        <v>1</v>
      </c>
    </row>
    <row r="340" spans="1:21">
      <c r="A340" s="4">
        <v>1000</v>
      </c>
      <c r="B340" s="7" t="str">
        <f>VLOOKUP($A340,SkillEnum!$A$2:$C$1020,2,FALSE)</f>
        <v>SI_SA_ES_MEGASLASH</v>
      </c>
      <c r="C340" s="7">
        <v>7</v>
      </c>
      <c r="D340" s="2" t="str">
        <f>VLOOKUP($C340,SkillEnum!$D$2:$E$10,2,FALSE)</f>
        <v>ST_SPECIAL_ACTIVE</v>
      </c>
      <c r="E340" s="7" t="str">
        <f>VLOOKUP($A340,SkillEnum!$A$2:$C$1020,3,FALSE)</f>
        <v>메가 슬래시</v>
      </c>
      <c r="F340" s="7" t="str">
        <f t="shared" si="51"/>
        <v>힘을 모아 강력하게 상대를 베어넘겨 물리 공격력의 1989 % 데미지를 준다.</v>
      </c>
      <c r="G340" s="2">
        <v>9</v>
      </c>
      <c r="H340" s="2">
        <v>2.2400000000000002</v>
      </c>
      <c r="I340" s="2">
        <v>3</v>
      </c>
      <c r="J340" s="2">
        <v>100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 t="s">
        <v>435</v>
      </c>
      <c r="Q340" s="2" t="str">
        <f t="shared" si="49"/>
        <v>SI_SA_ES_MEGASLASH</v>
      </c>
      <c r="R340" s="2" t="b">
        <v>0</v>
      </c>
      <c r="S340" s="2" t="b">
        <v>1</v>
      </c>
      <c r="T340" s="2">
        <v>1</v>
      </c>
    </row>
    <row r="341" spans="1:21" s="5" customFormat="1">
      <c r="A341" s="6">
        <v>1000</v>
      </c>
      <c r="B341" s="8" t="str">
        <f>VLOOKUP($A341,SkillEnum!$A$2:$C$1020,2,FALSE)</f>
        <v>SI_SA_ES_MEGASLASH</v>
      </c>
      <c r="C341" s="8">
        <v>7</v>
      </c>
      <c r="D341" s="5" t="str">
        <f>VLOOKUP($C341,SkillEnum!$D$2:$E$10,2,FALSE)</f>
        <v>ST_SPECIAL_ACTIVE</v>
      </c>
      <c r="E341" s="8" t="str">
        <f>VLOOKUP($A341,SkillEnum!$A$2:$C$1020,3,FALSE)</f>
        <v>메가 슬래시</v>
      </c>
      <c r="F341" s="8" t="str">
        <f t="shared" si="51"/>
        <v>힘을 모아 강력하게 상대를 베어넘겨 물리 공격력의 2238 % 데미지를 준다.</v>
      </c>
      <c r="G341" s="5">
        <v>10</v>
      </c>
      <c r="H341" s="5">
        <v>2.52</v>
      </c>
      <c r="I341" s="5">
        <v>3</v>
      </c>
      <c r="J341" s="5">
        <v>100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2" t="s">
        <v>435</v>
      </c>
      <c r="Q341" s="2" t="str">
        <f t="shared" si="49"/>
        <v>SI_SA_ES_MEGASLASH</v>
      </c>
      <c r="R341" s="5" t="b">
        <v>0</v>
      </c>
      <c r="S341" s="2" t="b">
        <v>1</v>
      </c>
      <c r="T341" s="2">
        <v>1</v>
      </c>
      <c r="U341" s="2"/>
    </row>
    <row r="342" spans="1:21">
      <c r="A342" s="4">
        <v>1001</v>
      </c>
      <c r="B342" s="7" t="str">
        <f>VLOOKUP($A342,SkillEnum!$A$2:$C$1020,2,FALSE)</f>
        <v>SI_SA_ES_ASSAULT_SLASH</v>
      </c>
      <c r="C342" s="7">
        <v>7</v>
      </c>
      <c r="D342" s="2" t="str">
        <f>VLOOKUP($C342,SkillEnum!$D$2:$E$10,2,FALSE)</f>
        <v>ST_SPECIAL_ACTIVE</v>
      </c>
      <c r="E342" s="11" t="str">
        <f>VLOOKUP($A342,SkillEnum!$A$2:$C$1020,3,FALSE)</f>
        <v>어설트 슬래시</v>
      </c>
      <c r="F342" s="7" t="str">
        <f t="shared" ref="F342:F351" si="52">"급속으로 전진하며 검을 내질러 물리 공격력의 "&amp;ROUND(1.85*H342*100,0)&amp;" % 로 연속타격을 한다."</f>
        <v>급속으로 전진하며 검을 내질러 물리 공격력의 130 % 로 연속타격을 한다.</v>
      </c>
      <c r="G342" s="10">
        <v>1</v>
      </c>
      <c r="H342" s="2">
        <v>0.7</v>
      </c>
      <c r="I342" s="2">
        <v>3</v>
      </c>
      <c r="J342" s="2">
        <v>100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 t="s">
        <v>435</v>
      </c>
      <c r="Q342" s="2" t="str">
        <f t="shared" si="49"/>
        <v>SI_SA_ES_ASSAULT_SLASH</v>
      </c>
      <c r="R342" s="2" t="b">
        <v>0</v>
      </c>
      <c r="S342" s="2" t="b">
        <v>1</v>
      </c>
      <c r="T342" s="2">
        <v>1</v>
      </c>
    </row>
    <row r="343" spans="1:21">
      <c r="A343" s="4">
        <v>1001</v>
      </c>
      <c r="B343" s="7" t="str">
        <f>VLOOKUP($A343,SkillEnum!$A$2:$C$1020,2,FALSE)</f>
        <v>SI_SA_ES_ASSAULT_SLASH</v>
      </c>
      <c r="C343" s="7">
        <v>7</v>
      </c>
      <c r="D343" s="2" t="str">
        <f>VLOOKUP($C343,SkillEnum!$D$2:$E$10,2,FALSE)</f>
        <v>ST_SPECIAL_ACTIVE</v>
      </c>
      <c r="E343" s="7" t="str">
        <f>VLOOKUP($A343,SkillEnum!$A$2:$C$1020,3,FALSE)</f>
        <v>어설트 슬래시</v>
      </c>
      <c r="F343" s="7" t="str">
        <f t="shared" si="52"/>
        <v>급속으로 전진하며 검을 내질러 물리 공격력의 155 % 로 연속타격을 한다.</v>
      </c>
      <c r="G343" s="2">
        <v>2</v>
      </c>
      <c r="H343" s="2">
        <v>0.84</v>
      </c>
      <c r="I343" s="2">
        <v>3</v>
      </c>
      <c r="J343" s="2">
        <v>100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 t="s">
        <v>435</v>
      </c>
      <c r="Q343" s="2" t="str">
        <f t="shared" si="49"/>
        <v>SI_SA_ES_ASSAULT_SLASH</v>
      </c>
      <c r="R343" s="2" t="b">
        <v>0</v>
      </c>
      <c r="S343" s="2" t="b">
        <v>1</v>
      </c>
      <c r="T343" s="2">
        <v>1</v>
      </c>
    </row>
    <row r="344" spans="1:21">
      <c r="A344" s="4">
        <v>1001</v>
      </c>
      <c r="B344" s="7" t="str">
        <f>VLOOKUP($A344,SkillEnum!$A$2:$C$1020,2,FALSE)</f>
        <v>SI_SA_ES_ASSAULT_SLASH</v>
      </c>
      <c r="C344" s="7">
        <v>7</v>
      </c>
      <c r="D344" s="2" t="str">
        <f>VLOOKUP($C344,SkillEnum!$D$2:$E$10,2,FALSE)</f>
        <v>ST_SPECIAL_ACTIVE</v>
      </c>
      <c r="E344" s="7" t="str">
        <f>VLOOKUP($A344,SkillEnum!$A$2:$C$1020,3,FALSE)</f>
        <v>어설트 슬래시</v>
      </c>
      <c r="F344" s="7" t="str">
        <f t="shared" si="52"/>
        <v>급속으로 전진하며 검을 내질러 물리 공격력의 181 % 로 연속타격을 한다.</v>
      </c>
      <c r="G344" s="2">
        <v>3</v>
      </c>
      <c r="H344" s="2">
        <v>0.98</v>
      </c>
      <c r="I344" s="2">
        <v>3</v>
      </c>
      <c r="J344" s="2">
        <v>100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 t="s">
        <v>435</v>
      </c>
      <c r="Q344" s="2" t="str">
        <f t="shared" si="49"/>
        <v>SI_SA_ES_ASSAULT_SLASH</v>
      </c>
      <c r="R344" s="2" t="b">
        <v>0</v>
      </c>
      <c r="S344" s="2" t="b">
        <v>1</v>
      </c>
      <c r="T344" s="2">
        <v>1</v>
      </c>
    </row>
    <row r="345" spans="1:21">
      <c r="A345" s="4">
        <v>1001</v>
      </c>
      <c r="B345" s="7" t="str">
        <f>VLOOKUP($A345,SkillEnum!$A$2:$C$1020,2,FALSE)</f>
        <v>SI_SA_ES_ASSAULT_SLASH</v>
      </c>
      <c r="C345" s="7">
        <v>7</v>
      </c>
      <c r="D345" s="2" t="str">
        <f>VLOOKUP($C345,SkillEnum!$D$2:$E$10,2,FALSE)</f>
        <v>ST_SPECIAL_ACTIVE</v>
      </c>
      <c r="E345" s="7" t="str">
        <f>VLOOKUP($A345,SkillEnum!$A$2:$C$1020,3,FALSE)</f>
        <v>어설트 슬래시</v>
      </c>
      <c r="F345" s="7" t="str">
        <f t="shared" si="52"/>
        <v>급속으로 전진하며 검을 내질러 물리 공격력의 207 % 로 연속타격을 한다.</v>
      </c>
      <c r="G345" s="2">
        <v>4</v>
      </c>
      <c r="H345" s="2">
        <v>1.1200000000000001</v>
      </c>
      <c r="I345" s="2">
        <v>3</v>
      </c>
      <c r="J345" s="2">
        <v>100</v>
      </c>
      <c r="K345" s="2">
        <v>0</v>
      </c>
      <c r="L345" s="2">
        <v>0</v>
      </c>
      <c r="M345" s="2">
        <v>0</v>
      </c>
      <c r="N345" s="2">
        <v>0</v>
      </c>
      <c r="O345" s="2">
        <v>0</v>
      </c>
      <c r="P345" s="2" t="s">
        <v>435</v>
      </c>
      <c r="Q345" s="2" t="str">
        <f t="shared" si="49"/>
        <v>SI_SA_ES_ASSAULT_SLASH</v>
      </c>
      <c r="R345" s="2" t="b">
        <v>0</v>
      </c>
      <c r="S345" s="2" t="b">
        <v>1</v>
      </c>
      <c r="T345" s="2">
        <v>1</v>
      </c>
    </row>
    <row r="346" spans="1:21">
      <c r="A346" s="4">
        <v>1001</v>
      </c>
      <c r="B346" s="7" t="str">
        <f>VLOOKUP($A346,SkillEnum!$A$2:$C$1020,2,FALSE)</f>
        <v>SI_SA_ES_ASSAULT_SLASH</v>
      </c>
      <c r="C346" s="7">
        <v>7</v>
      </c>
      <c r="D346" s="2" t="str">
        <f>VLOOKUP($C346,SkillEnum!$D$2:$E$10,2,FALSE)</f>
        <v>ST_SPECIAL_ACTIVE</v>
      </c>
      <c r="E346" s="7" t="str">
        <f>VLOOKUP($A346,SkillEnum!$A$2:$C$1020,3,FALSE)</f>
        <v>어설트 슬래시</v>
      </c>
      <c r="F346" s="7" t="str">
        <f t="shared" si="52"/>
        <v>급속으로 전진하며 검을 내질러 물리 공격력의 246 % 로 연속타격을 한다.</v>
      </c>
      <c r="G346" s="2">
        <v>5</v>
      </c>
      <c r="H346" s="2">
        <v>1.33</v>
      </c>
      <c r="I346" s="2">
        <v>3</v>
      </c>
      <c r="J346" s="2">
        <v>100</v>
      </c>
      <c r="K346" s="2">
        <v>0</v>
      </c>
      <c r="L346" s="2">
        <v>0</v>
      </c>
      <c r="M346" s="2">
        <v>0</v>
      </c>
      <c r="N346" s="2">
        <v>0</v>
      </c>
      <c r="O346" s="2">
        <v>0</v>
      </c>
      <c r="P346" s="2" t="s">
        <v>435</v>
      </c>
      <c r="Q346" s="2" t="str">
        <f t="shared" si="49"/>
        <v>SI_SA_ES_ASSAULT_SLASH</v>
      </c>
      <c r="R346" s="2" t="b">
        <v>0</v>
      </c>
      <c r="S346" s="2" t="b">
        <v>1</v>
      </c>
      <c r="T346" s="2">
        <v>1</v>
      </c>
    </row>
    <row r="347" spans="1:21">
      <c r="A347" s="4">
        <v>1001</v>
      </c>
      <c r="B347" s="7" t="str">
        <f>VLOOKUP($A347,SkillEnum!$A$2:$C$1020,2,FALSE)</f>
        <v>SI_SA_ES_ASSAULT_SLASH</v>
      </c>
      <c r="C347" s="7">
        <v>7</v>
      </c>
      <c r="D347" s="2" t="str">
        <f>VLOOKUP($C347,SkillEnum!$D$2:$E$10,2,FALSE)</f>
        <v>ST_SPECIAL_ACTIVE</v>
      </c>
      <c r="E347" s="7" t="str">
        <f>VLOOKUP($A347,SkillEnum!$A$2:$C$1020,3,FALSE)</f>
        <v>어설트 슬래시</v>
      </c>
      <c r="F347" s="7" t="str">
        <f t="shared" si="52"/>
        <v>급속으로 전진하며 검을 내질러 물리 공격력의 285 % 로 연속타격을 한다.</v>
      </c>
      <c r="G347" s="2">
        <v>6</v>
      </c>
      <c r="H347" s="2">
        <v>1.54</v>
      </c>
      <c r="I347" s="2">
        <v>3</v>
      </c>
      <c r="J347" s="2">
        <v>100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 t="s">
        <v>435</v>
      </c>
      <c r="Q347" s="2" t="str">
        <f t="shared" si="49"/>
        <v>SI_SA_ES_ASSAULT_SLASH</v>
      </c>
      <c r="R347" s="2" t="b">
        <v>0</v>
      </c>
      <c r="S347" s="2" t="b">
        <v>1</v>
      </c>
      <c r="T347" s="2">
        <v>1</v>
      </c>
    </row>
    <row r="348" spans="1:21">
      <c r="A348" s="4">
        <v>1001</v>
      </c>
      <c r="B348" s="7" t="str">
        <f>VLOOKUP($A348,SkillEnum!$A$2:$C$1020,2,FALSE)</f>
        <v>SI_SA_ES_ASSAULT_SLASH</v>
      </c>
      <c r="C348" s="7">
        <v>7</v>
      </c>
      <c r="D348" s="2" t="str">
        <f>VLOOKUP($C348,SkillEnum!$D$2:$E$10,2,FALSE)</f>
        <v>ST_SPECIAL_ACTIVE</v>
      </c>
      <c r="E348" s="7" t="str">
        <f>VLOOKUP($A348,SkillEnum!$A$2:$C$1020,3,FALSE)</f>
        <v>어설트 슬래시</v>
      </c>
      <c r="F348" s="7" t="str">
        <f t="shared" si="52"/>
        <v>급속으로 전진하며 검을 내질러 물리 공격력의 324 % 로 연속타격을 한다.</v>
      </c>
      <c r="G348" s="2">
        <v>7</v>
      </c>
      <c r="H348" s="2">
        <v>1.75</v>
      </c>
      <c r="I348" s="2">
        <v>3</v>
      </c>
      <c r="J348" s="2">
        <v>100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 t="s">
        <v>435</v>
      </c>
      <c r="Q348" s="2" t="str">
        <f t="shared" si="49"/>
        <v>SI_SA_ES_ASSAULT_SLASH</v>
      </c>
      <c r="R348" s="2" t="b">
        <v>0</v>
      </c>
      <c r="S348" s="2" t="b">
        <v>1</v>
      </c>
      <c r="T348" s="2">
        <v>1</v>
      </c>
    </row>
    <row r="349" spans="1:21">
      <c r="A349" s="4">
        <v>1001</v>
      </c>
      <c r="B349" s="7" t="str">
        <f>VLOOKUP($A349,SkillEnum!$A$2:$C$1020,2,FALSE)</f>
        <v>SI_SA_ES_ASSAULT_SLASH</v>
      </c>
      <c r="C349" s="7">
        <v>7</v>
      </c>
      <c r="D349" s="2" t="str">
        <f>VLOOKUP($C349,SkillEnum!$D$2:$E$10,2,FALSE)</f>
        <v>ST_SPECIAL_ACTIVE</v>
      </c>
      <c r="E349" s="7" t="str">
        <f>VLOOKUP($A349,SkillEnum!$A$2:$C$1020,3,FALSE)</f>
        <v>어설트 슬래시</v>
      </c>
      <c r="F349" s="7" t="str">
        <f t="shared" si="52"/>
        <v>급속으로 전진하며 검을 내질러 물리 공격력의 363 % 로 연속타격을 한다.</v>
      </c>
      <c r="G349" s="2">
        <v>8</v>
      </c>
      <c r="H349" s="2">
        <v>1.96</v>
      </c>
      <c r="I349" s="2">
        <v>3</v>
      </c>
      <c r="J349" s="2">
        <v>100</v>
      </c>
      <c r="K349" s="2">
        <v>0</v>
      </c>
      <c r="L349" s="2">
        <v>0</v>
      </c>
      <c r="M349" s="2">
        <v>0</v>
      </c>
      <c r="N349" s="2">
        <v>0</v>
      </c>
      <c r="O349" s="2">
        <v>0</v>
      </c>
      <c r="P349" s="2" t="s">
        <v>435</v>
      </c>
      <c r="Q349" s="2" t="str">
        <f t="shared" si="49"/>
        <v>SI_SA_ES_ASSAULT_SLASH</v>
      </c>
      <c r="R349" s="2" t="b">
        <v>0</v>
      </c>
      <c r="S349" s="2" t="b">
        <v>1</v>
      </c>
      <c r="T349" s="2">
        <v>1</v>
      </c>
    </row>
    <row r="350" spans="1:21">
      <c r="A350" s="4">
        <v>1001</v>
      </c>
      <c r="B350" s="7" t="str">
        <f>VLOOKUP($A350,SkillEnum!$A$2:$C$1020,2,FALSE)</f>
        <v>SI_SA_ES_ASSAULT_SLASH</v>
      </c>
      <c r="C350" s="7">
        <v>7</v>
      </c>
      <c r="D350" s="2" t="str">
        <f>VLOOKUP($C350,SkillEnum!$D$2:$E$10,2,FALSE)</f>
        <v>ST_SPECIAL_ACTIVE</v>
      </c>
      <c r="E350" s="7" t="str">
        <f>VLOOKUP($A350,SkillEnum!$A$2:$C$1020,3,FALSE)</f>
        <v>어설트 슬래시</v>
      </c>
      <c r="F350" s="7" t="str">
        <f t="shared" si="52"/>
        <v>급속으로 전진하며 검을 내질러 물리 공격력의 414 % 로 연속타격을 한다.</v>
      </c>
      <c r="G350" s="2">
        <v>9</v>
      </c>
      <c r="H350" s="2">
        <v>2.2400000000000002</v>
      </c>
      <c r="I350" s="2">
        <v>3</v>
      </c>
      <c r="J350" s="2">
        <v>100</v>
      </c>
      <c r="K350" s="2">
        <v>0</v>
      </c>
      <c r="L350" s="2">
        <v>0</v>
      </c>
      <c r="M350" s="2">
        <v>0</v>
      </c>
      <c r="N350" s="2">
        <v>0</v>
      </c>
      <c r="O350" s="2">
        <v>0</v>
      </c>
      <c r="P350" s="2" t="s">
        <v>435</v>
      </c>
      <c r="Q350" s="2" t="str">
        <f t="shared" si="49"/>
        <v>SI_SA_ES_ASSAULT_SLASH</v>
      </c>
      <c r="R350" s="2" t="b">
        <v>0</v>
      </c>
      <c r="S350" s="2" t="b">
        <v>1</v>
      </c>
      <c r="T350" s="2">
        <v>1</v>
      </c>
    </row>
    <row r="351" spans="1:21" s="5" customFormat="1">
      <c r="A351" s="6">
        <v>1001</v>
      </c>
      <c r="B351" s="8" t="str">
        <f>VLOOKUP($A351,SkillEnum!$A$2:$C$1020,2,FALSE)</f>
        <v>SI_SA_ES_ASSAULT_SLASH</v>
      </c>
      <c r="C351" s="8">
        <v>7</v>
      </c>
      <c r="D351" s="5" t="str">
        <f>VLOOKUP($C351,SkillEnum!$D$2:$E$10,2,FALSE)</f>
        <v>ST_SPECIAL_ACTIVE</v>
      </c>
      <c r="E351" s="8" t="str">
        <f>VLOOKUP($A351,SkillEnum!$A$2:$C$1020,3,FALSE)</f>
        <v>어설트 슬래시</v>
      </c>
      <c r="F351" s="7" t="str">
        <f t="shared" si="52"/>
        <v>급속으로 전진하며 검을 내질러 물리 공격력의 466 % 로 연속타격을 한다.</v>
      </c>
      <c r="G351" s="5">
        <v>10</v>
      </c>
      <c r="H351" s="5">
        <v>2.52</v>
      </c>
      <c r="I351" s="5">
        <v>3</v>
      </c>
      <c r="J351" s="5">
        <v>100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2" t="s">
        <v>435</v>
      </c>
      <c r="Q351" s="2" t="str">
        <f t="shared" si="49"/>
        <v>SI_SA_ES_ASSAULT_SLASH</v>
      </c>
      <c r="R351" s="5" t="b">
        <v>0</v>
      </c>
      <c r="S351" s="2" t="b">
        <v>1</v>
      </c>
      <c r="T351" s="2">
        <v>1</v>
      </c>
      <c r="U351" s="2"/>
    </row>
    <row r="352" spans="1:21">
      <c r="A352" s="4">
        <v>1002</v>
      </c>
      <c r="B352" s="7" t="str">
        <f>VLOOKUP($A352,SkillEnum!$A$2:$C$1020,2,FALSE)</f>
        <v>SI_SA_ES_FATAL_FURY</v>
      </c>
      <c r="C352" s="7">
        <v>7</v>
      </c>
      <c r="D352" s="2" t="str">
        <f>VLOOKUP($C352,SkillEnum!$D$2:$E$10,2,FALSE)</f>
        <v>ST_SPECIAL_ACTIVE</v>
      </c>
      <c r="E352" s="11" t="str">
        <f>VLOOKUP($A352,SkillEnum!$A$2:$C$1020,3,FALSE)</f>
        <v>페이탈 퓨리</v>
      </c>
      <c r="F352" s="11" t="str">
        <f t="shared" ref="F352:F361" si="53">"검강을 모아 물리공격력의 "&amp;ROUND(3*H352*100,0)&amp;" % 로 첫타를 가격한 후 같은 공격력으로 3번의 공격을 하고 역시 같은 공격력으로 마무리 일격을 한다."</f>
        <v>검강을 모아 물리공격력의 210 % 로 첫타를 가격한 후 같은 공격력으로 3번의 공격을 하고 역시 같은 공격력으로 마무리 일격을 한다.</v>
      </c>
      <c r="G352" s="10">
        <v>1</v>
      </c>
      <c r="H352" s="2">
        <v>0.7</v>
      </c>
      <c r="I352" s="2">
        <v>8</v>
      </c>
      <c r="J352" s="2">
        <v>170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 t="s">
        <v>435</v>
      </c>
      <c r="Q352" s="2" t="str">
        <f t="shared" si="49"/>
        <v>SI_SA_ES_FATAL_FURY</v>
      </c>
      <c r="R352" s="2" t="b">
        <v>0</v>
      </c>
      <c r="S352" s="2" t="b">
        <v>1</v>
      </c>
      <c r="T352" s="2">
        <v>1</v>
      </c>
    </row>
    <row r="353" spans="1:21">
      <c r="A353" s="4">
        <v>1002</v>
      </c>
      <c r="B353" s="7" t="str">
        <f>VLOOKUP($A353,SkillEnum!$A$2:$C$1020,2,FALSE)</f>
        <v>SI_SA_ES_FATAL_FURY</v>
      </c>
      <c r="C353" s="7">
        <v>7</v>
      </c>
      <c r="D353" s="2" t="str">
        <f>VLOOKUP($C353,SkillEnum!$D$2:$E$10,2,FALSE)</f>
        <v>ST_SPECIAL_ACTIVE</v>
      </c>
      <c r="E353" s="7" t="str">
        <f>VLOOKUP($A353,SkillEnum!$A$2:$C$1020,3,FALSE)</f>
        <v>페이탈 퓨리</v>
      </c>
      <c r="F353" s="7" t="str">
        <f t="shared" si="53"/>
        <v>검강을 모아 물리공격력의 252 % 로 첫타를 가격한 후 같은 공격력으로 3번의 공격을 하고 역시 같은 공격력으로 마무리 일격을 한다.</v>
      </c>
      <c r="G353" s="2">
        <v>2</v>
      </c>
      <c r="H353" s="2">
        <v>0.84</v>
      </c>
      <c r="I353" s="2">
        <v>8</v>
      </c>
      <c r="J353" s="2">
        <v>170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 t="s">
        <v>435</v>
      </c>
      <c r="Q353" s="2" t="str">
        <f t="shared" si="49"/>
        <v>SI_SA_ES_FATAL_FURY</v>
      </c>
      <c r="R353" s="2" t="b">
        <v>0</v>
      </c>
      <c r="S353" s="2" t="b">
        <v>1</v>
      </c>
      <c r="T353" s="2">
        <v>1</v>
      </c>
    </row>
    <row r="354" spans="1:21">
      <c r="A354" s="4">
        <v>1002</v>
      </c>
      <c r="B354" s="7" t="str">
        <f>VLOOKUP($A354,SkillEnum!$A$2:$C$1020,2,FALSE)</f>
        <v>SI_SA_ES_FATAL_FURY</v>
      </c>
      <c r="C354" s="7">
        <v>7</v>
      </c>
      <c r="D354" s="2" t="str">
        <f>VLOOKUP($C354,SkillEnum!$D$2:$E$10,2,FALSE)</f>
        <v>ST_SPECIAL_ACTIVE</v>
      </c>
      <c r="E354" s="7" t="str">
        <f>VLOOKUP($A354,SkillEnum!$A$2:$C$1020,3,FALSE)</f>
        <v>페이탈 퓨리</v>
      </c>
      <c r="F354" s="7" t="str">
        <f t="shared" si="53"/>
        <v>검강을 모아 물리공격력의 294 % 로 첫타를 가격한 후 같은 공격력으로 3번의 공격을 하고 역시 같은 공격력으로 마무리 일격을 한다.</v>
      </c>
      <c r="G354" s="2">
        <v>3</v>
      </c>
      <c r="H354" s="2">
        <v>0.98</v>
      </c>
      <c r="I354" s="2">
        <v>8</v>
      </c>
      <c r="J354" s="2">
        <v>170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 t="s">
        <v>435</v>
      </c>
      <c r="Q354" s="2" t="str">
        <f t="shared" si="49"/>
        <v>SI_SA_ES_FATAL_FURY</v>
      </c>
      <c r="R354" s="2" t="b">
        <v>0</v>
      </c>
      <c r="S354" s="2" t="b">
        <v>1</v>
      </c>
      <c r="T354" s="2">
        <v>1</v>
      </c>
    </row>
    <row r="355" spans="1:21">
      <c r="A355" s="4">
        <v>1002</v>
      </c>
      <c r="B355" s="7" t="str">
        <f>VLOOKUP($A355,SkillEnum!$A$2:$C$1020,2,FALSE)</f>
        <v>SI_SA_ES_FATAL_FURY</v>
      </c>
      <c r="C355" s="7">
        <v>7</v>
      </c>
      <c r="D355" s="2" t="str">
        <f>VLOOKUP($C355,SkillEnum!$D$2:$E$10,2,FALSE)</f>
        <v>ST_SPECIAL_ACTIVE</v>
      </c>
      <c r="E355" s="7" t="str">
        <f>VLOOKUP($A355,SkillEnum!$A$2:$C$1020,3,FALSE)</f>
        <v>페이탈 퓨리</v>
      </c>
      <c r="F355" s="7" t="str">
        <f t="shared" si="53"/>
        <v>검강을 모아 물리공격력의 336 % 로 첫타를 가격한 후 같은 공격력으로 3번의 공격을 하고 역시 같은 공격력으로 마무리 일격을 한다.</v>
      </c>
      <c r="G355" s="2">
        <v>4</v>
      </c>
      <c r="H355" s="2">
        <v>1.1200000000000001</v>
      </c>
      <c r="I355" s="2">
        <v>8</v>
      </c>
      <c r="J355" s="2">
        <v>170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 t="s">
        <v>435</v>
      </c>
      <c r="Q355" s="2" t="str">
        <f t="shared" si="49"/>
        <v>SI_SA_ES_FATAL_FURY</v>
      </c>
      <c r="R355" s="2" t="b">
        <v>0</v>
      </c>
      <c r="S355" s="2" t="b">
        <v>1</v>
      </c>
      <c r="T355" s="2">
        <v>1</v>
      </c>
    </row>
    <row r="356" spans="1:21">
      <c r="A356" s="4">
        <v>1002</v>
      </c>
      <c r="B356" s="7" t="str">
        <f>VLOOKUP($A356,SkillEnum!$A$2:$C$1020,2,FALSE)</f>
        <v>SI_SA_ES_FATAL_FURY</v>
      </c>
      <c r="C356" s="7">
        <v>7</v>
      </c>
      <c r="D356" s="2" t="str">
        <f>VLOOKUP($C356,SkillEnum!$D$2:$E$10,2,FALSE)</f>
        <v>ST_SPECIAL_ACTIVE</v>
      </c>
      <c r="E356" s="7" t="str">
        <f>VLOOKUP($A356,SkillEnum!$A$2:$C$1020,3,FALSE)</f>
        <v>페이탈 퓨리</v>
      </c>
      <c r="F356" s="7" t="str">
        <f t="shared" si="53"/>
        <v>검강을 모아 물리공격력의 399 % 로 첫타를 가격한 후 같은 공격력으로 3번의 공격을 하고 역시 같은 공격력으로 마무리 일격을 한다.</v>
      </c>
      <c r="G356" s="2">
        <v>5</v>
      </c>
      <c r="H356" s="2">
        <v>1.33</v>
      </c>
      <c r="I356" s="2">
        <v>8</v>
      </c>
      <c r="J356" s="2">
        <v>170</v>
      </c>
      <c r="K356" s="2">
        <v>0</v>
      </c>
      <c r="L356" s="2">
        <v>0</v>
      </c>
      <c r="M356" s="2">
        <v>0</v>
      </c>
      <c r="N356" s="2">
        <v>0</v>
      </c>
      <c r="O356" s="2">
        <v>0</v>
      </c>
      <c r="P356" s="2" t="s">
        <v>435</v>
      </c>
      <c r="Q356" s="2" t="str">
        <f t="shared" si="49"/>
        <v>SI_SA_ES_FATAL_FURY</v>
      </c>
      <c r="R356" s="2" t="b">
        <v>0</v>
      </c>
      <c r="S356" s="2" t="b">
        <v>1</v>
      </c>
      <c r="T356" s="2">
        <v>1</v>
      </c>
    </row>
    <row r="357" spans="1:21">
      <c r="A357" s="4">
        <v>1002</v>
      </c>
      <c r="B357" s="7" t="str">
        <f>VLOOKUP($A357,SkillEnum!$A$2:$C$1020,2,FALSE)</f>
        <v>SI_SA_ES_FATAL_FURY</v>
      </c>
      <c r="C357" s="7">
        <v>7</v>
      </c>
      <c r="D357" s="2" t="str">
        <f>VLOOKUP($C357,SkillEnum!$D$2:$E$10,2,FALSE)</f>
        <v>ST_SPECIAL_ACTIVE</v>
      </c>
      <c r="E357" s="7" t="str">
        <f>VLOOKUP($A357,SkillEnum!$A$2:$C$1020,3,FALSE)</f>
        <v>페이탈 퓨리</v>
      </c>
      <c r="F357" s="7" t="str">
        <f t="shared" si="53"/>
        <v>검강을 모아 물리공격력의 462 % 로 첫타를 가격한 후 같은 공격력으로 3번의 공격을 하고 역시 같은 공격력으로 마무리 일격을 한다.</v>
      </c>
      <c r="G357" s="2">
        <v>6</v>
      </c>
      <c r="H357" s="2">
        <v>1.54</v>
      </c>
      <c r="I357" s="2">
        <v>8</v>
      </c>
      <c r="J357" s="2">
        <v>170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 t="s">
        <v>435</v>
      </c>
      <c r="Q357" s="2" t="str">
        <f t="shared" si="49"/>
        <v>SI_SA_ES_FATAL_FURY</v>
      </c>
      <c r="R357" s="2" t="b">
        <v>0</v>
      </c>
      <c r="S357" s="2" t="b">
        <v>1</v>
      </c>
      <c r="T357" s="2">
        <v>1</v>
      </c>
    </row>
    <row r="358" spans="1:21">
      <c r="A358" s="4">
        <v>1002</v>
      </c>
      <c r="B358" s="7" t="str">
        <f>VLOOKUP($A358,SkillEnum!$A$2:$C$1020,2,FALSE)</f>
        <v>SI_SA_ES_FATAL_FURY</v>
      </c>
      <c r="C358" s="7">
        <v>7</v>
      </c>
      <c r="D358" s="2" t="str">
        <f>VLOOKUP($C358,SkillEnum!$D$2:$E$10,2,FALSE)</f>
        <v>ST_SPECIAL_ACTIVE</v>
      </c>
      <c r="E358" s="7" t="str">
        <f>VLOOKUP($A358,SkillEnum!$A$2:$C$1020,3,FALSE)</f>
        <v>페이탈 퓨리</v>
      </c>
      <c r="F358" s="7" t="str">
        <f t="shared" si="53"/>
        <v>검강을 모아 물리공격력의 525 % 로 첫타를 가격한 후 같은 공격력으로 3번의 공격을 하고 역시 같은 공격력으로 마무리 일격을 한다.</v>
      </c>
      <c r="G358" s="2">
        <v>7</v>
      </c>
      <c r="H358" s="2">
        <v>1.75</v>
      </c>
      <c r="I358" s="2">
        <v>8</v>
      </c>
      <c r="J358" s="2">
        <v>170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 t="s">
        <v>435</v>
      </c>
      <c r="Q358" s="2" t="str">
        <f t="shared" si="49"/>
        <v>SI_SA_ES_FATAL_FURY</v>
      </c>
      <c r="R358" s="2" t="b">
        <v>0</v>
      </c>
      <c r="S358" s="2" t="b">
        <v>1</v>
      </c>
      <c r="T358" s="2">
        <v>1</v>
      </c>
    </row>
    <row r="359" spans="1:21">
      <c r="A359" s="4">
        <v>1002</v>
      </c>
      <c r="B359" s="7" t="str">
        <f>VLOOKUP($A359,SkillEnum!$A$2:$C$1020,2,FALSE)</f>
        <v>SI_SA_ES_FATAL_FURY</v>
      </c>
      <c r="C359" s="7">
        <v>7</v>
      </c>
      <c r="D359" s="2" t="str">
        <f>VLOOKUP($C359,SkillEnum!$D$2:$E$10,2,FALSE)</f>
        <v>ST_SPECIAL_ACTIVE</v>
      </c>
      <c r="E359" s="7" t="str">
        <f>VLOOKUP($A359,SkillEnum!$A$2:$C$1020,3,FALSE)</f>
        <v>페이탈 퓨리</v>
      </c>
      <c r="F359" s="7" t="str">
        <f t="shared" si="53"/>
        <v>검강을 모아 물리공격력의 588 % 로 첫타를 가격한 후 같은 공격력으로 3번의 공격을 하고 역시 같은 공격력으로 마무리 일격을 한다.</v>
      </c>
      <c r="G359" s="2">
        <v>8</v>
      </c>
      <c r="H359" s="2">
        <v>1.96</v>
      </c>
      <c r="I359" s="2">
        <v>8</v>
      </c>
      <c r="J359" s="2">
        <v>170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 t="s">
        <v>435</v>
      </c>
      <c r="Q359" s="2" t="str">
        <f t="shared" si="49"/>
        <v>SI_SA_ES_FATAL_FURY</v>
      </c>
      <c r="R359" s="2" t="b">
        <v>0</v>
      </c>
      <c r="S359" s="2" t="b">
        <v>1</v>
      </c>
      <c r="T359" s="2">
        <v>1</v>
      </c>
    </row>
    <row r="360" spans="1:21">
      <c r="A360" s="4">
        <v>1002</v>
      </c>
      <c r="B360" s="7" t="str">
        <f>VLOOKUP($A360,SkillEnum!$A$2:$C$1020,2,FALSE)</f>
        <v>SI_SA_ES_FATAL_FURY</v>
      </c>
      <c r="C360" s="7">
        <v>7</v>
      </c>
      <c r="D360" s="2" t="str">
        <f>VLOOKUP($C360,SkillEnum!$D$2:$E$10,2,FALSE)</f>
        <v>ST_SPECIAL_ACTIVE</v>
      </c>
      <c r="E360" s="7" t="str">
        <f>VLOOKUP($A360,SkillEnum!$A$2:$C$1020,3,FALSE)</f>
        <v>페이탈 퓨리</v>
      </c>
      <c r="F360" s="7" t="str">
        <f t="shared" si="53"/>
        <v>검강을 모아 물리공격력의 672 % 로 첫타를 가격한 후 같은 공격력으로 3번의 공격을 하고 역시 같은 공격력으로 마무리 일격을 한다.</v>
      </c>
      <c r="G360" s="2">
        <v>9</v>
      </c>
      <c r="H360" s="2">
        <v>2.2400000000000002</v>
      </c>
      <c r="I360" s="2">
        <v>8</v>
      </c>
      <c r="J360" s="2">
        <v>170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 t="s">
        <v>435</v>
      </c>
      <c r="Q360" s="2" t="str">
        <f t="shared" si="49"/>
        <v>SI_SA_ES_FATAL_FURY</v>
      </c>
      <c r="R360" s="2" t="b">
        <v>0</v>
      </c>
      <c r="S360" s="2" t="b">
        <v>1</v>
      </c>
      <c r="T360" s="2">
        <v>1</v>
      </c>
    </row>
    <row r="361" spans="1:21" s="5" customFormat="1">
      <c r="A361" s="6">
        <v>1002</v>
      </c>
      <c r="B361" s="8" t="str">
        <f>VLOOKUP($A361,SkillEnum!$A$2:$C$1020,2,FALSE)</f>
        <v>SI_SA_ES_FATAL_FURY</v>
      </c>
      <c r="C361" s="8">
        <v>7</v>
      </c>
      <c r="D361" s="5" t="str">
        <f>VLOOKUP($C361,SkillEnum!$D$2:$E$10,2,FALSE)</f>
        <v>ST_SPECIAL_ACTIVE</v>
      </c>
      <c r="E361" s="8" t="str">
        <f>VLOOKUP($A361,SkillEnum!$A$2:$C$1020,3,FALSE)</f>
        <v>페이탈 퓨리</v>
      </c>
      <c r="F361" s="8" t="str">
        <f t="shared" si="53"/>
        <v>검강을 모아 물리공격력의 756 % 로 첫타를 가격한 후 같은 공격력으로 3번의 공격을 하고 역시 같은 공격력으로 마무리 일격을 한다.</v>
      </c>
      <c r="G361" s="5">
        <v>10</v>
      </c>
      <c r="H361" s="5">
        <v>2.52</v>
      </c>
      <c r="I361" s="5">
        <v>8</v>
      </c>
      <c r="J361" s="5">
        <v>170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2" t="s">
        <v>435</v>
      </c>
      <c r="Q361" s="2" t="str">
        <f t="shared" si="49"/>
        <v>SI_SA_ES_FATAL_FURY</v>
      </c>
      <c r="R361" s="5" t="b">
        <v>0</v>
      </c>
      <c r="S361" s="2" t="b">
        <v>1</v>
      </c>
      <c r="T361" s="2">
        <v>1</v>
      </c>
      <c r="U361" s="2"/>
    </row>
    <row r="362" spans="1:21">
      <c r="A362" s="4">
        <v>1003</v>
      </c>
      <c r="B362" s="7" t="str">
        <f>VLOOKUP($A362,SkillEnum!$A$2:$C$1020,2,FALSE)</f>
        <v>SI_SA_ES_FLAME_GEYSER</v>
      </c>
      <c r="C362" s="7">
        <v>7</v>
      </c>
      <c r="D362" s="2" t="str">
        <f>VLOOKUP($C362,SkillEnum!$D$2:$E$10,2,FALSE)</f>
        <v>ST_SPECIAL_ACTIVE</v>
      </c>
      <c r="E362" s="11" t="str">
        <f>VLOOKUP($A362,SkillEnum!$A$2:$C$1020,3,FALSE)</f>
        <v>플레임 게이저</v>
      </c>
      <c r="F362" s="11" t="str">
        <f t="shared" ref="F362:F371" si="54">"검을 힘껏 바닥으로 내려쳐 거대한 불기둥을 생성해 마법공격력의 "&amp;ROUND(3.1*1.2*H362*100,0)&amp;" % 로 연속타격을 한다."</f>
        <v>검을 힘껏 바닥으로 내려쳐 거대한 불기둥을 생성해 마법공격력의 260 % 로 연속타격을 한다.</v>
      </c>
      <c r="G362" s="10">
        <v>1</v>
      </c>
      <c r="H362" s="2">
        <v>0.7</v>
      </c>
      <c r="I362" s="2">
        <v>10</v>
      </c>
      <c r="J362" s="2">
        <v>200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 t="s">
        <v>435</v>
      </c>
      <c r="Q362" s="2" t="str">
        <f t="shared" si="49"/>
        <v>SI_SA_ES_FLAME_GEYSER</v>
      </c>
      <c r="R362" s="2" t="b">
        <v>0</v>
      </c>
      <c r="S362" s="2" t="b">
        <v>1</v>
      </c>
      <c r="T362" s="2">
        <v>1</v>
      </c>
    </row>
    <row r="363" spans="1:21">
      <c r="A363" s="4">
        <v>1003</v>
      </c>
      <c r="B363" s="7" t="str">
        <f>VLOOKUP($A363,SkillEnum!$A$2:$C$1020,2,FALSE)</f>
        <v>SI_SA_ES_FLAME_GEYSER</v>
      </c>
      <c r="C363" s="7">
        <v>7</v>
      </c>
      <c r="D363" s="2" t="str">
        <f>VLOOKUP($C363,SkillEnum!$D$2:$E$10,2,FALSE)</f>
        <v>ST_SPECIAL_ACTIVE</v>
      </c>
      <c r="E363" s="7" t="str">
        <f>VLOOKUP($A363,SkillEnum!$A$2:$C$1020,3,FALSE)</f>
        <v>플레임 게이저</v>
      </c>
      <c r="F363" s="7" t="str">
        <f t="shared" si="54"/>
        <v>검을 힘껏 바닥으로 내려쳐 거대한 불기둥을 생성해 마법공격력의 312 % 로 연속타격을 한다.</v>
      </c>
      <c r="G363" s="2">
        <v>2</v>
      </c>
      <c r="H363" s="2">
        <v>0.84</v>
      </c>
      <c r="I363" s="2">
        <v>10</v>
      </c>
      <c r="J363" s="2">
        <v>200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 t="s">
        <v>435</v>
      </c>
      <c r="Q363" s="2" t="str">
        <f t="shared" si="49"/>
        <v>SI_SA_ES_FLAME_GEYSER</v>
      </c>
      <c r="R363" s="2" t="b">
        <v>0</v>
      </c>
      <c r="S363" s="2" t="b">
        <v>1</v>
      </c>
      <c r="T363" s="2">
        <v>1</v>
      </c>
    </row>
    <row r="364" spans="1:21">
      <c r="A364" s="4">
        <v>1003</v>
      </c>
      <c r="B364" s="7" t="str">
        <f>VLOOKUP($A364,SkillEnum!$A$2:$C$1020,2,FALSE)</f>
        <v>SI_SA_ES_FLAME_GEYSER</v>
      </c>
      <c r="C364" s="7">
        <v>7</v>
      </c>
      <c r="D364" s="2" t="str">
        <f>VLOOKUP($C364,SkillEnum!$D$2:$E$10,2,FALSE)</f>
        <v>ST_SPECIAL_ACTIVE</v>
      </c>
      <c r="E364" s="7" t="str">
        <f>VLOOKUP($A364,SkillEnum!$A$2:$C$1020,3,FALSE)</f>
        <v>플레임 게이저</v>
      </c>
      <c r="F364" s="7" t="str">
        <f t="shared" si="54"/>
        <v>검을 힘껏 바닥으로 내려쳐 거대한 불기둥을 생성해 마법공격력의 365 % 로 연속타격을 한다.</v>
      </c>
      <c r="G364" s="2">
        <v>3</v>
      </c>
      <c r="H364" s="2">
        <v>0.98</v>
      </c>
      <c r="I364" s="2">
        <v>10</v>
      </c>
      <c r="J364" s="2">
        <v>200</v>
      </c>
      <c r="K364" s="2">
        <v>0</v>
      </c>
      <c r="L364" s="2">
        <v>0</v>
      </c>
      <c r="M364" s="2">
        <v>0</v>
      </c>
      <c r="N364" s="2">
        <v>0</v>
      </c>
      <c r="O364" s="2">
        <v>0</v>
      </c>
      <c r="P364" s="2" t="s">
        <v>435</v>
      </c>
      <c r="Q364" s="2" t="str">
        <f t="shared" si="49"/>
        <v>SI_SA_ES_FLAME_GEYSER</v>
      </c>
      <c r="R364" s="2" t="b">
        <v>0</v>
      </c>
      <c r="S364" s="2" t="b">
        <v>1</v>
      </c>
      <c r="T364" s="2">
        <v>1</v>
      </c>
    </row>
    <row r="365" spans="1:21">
      <c r="A365" s="4">
        <v>1003</v>
      </c>
      <c r="B365" s="7" t="str">
        <f>VLOOKUP($A365,SkillEnum!$A$2:$C$1020,2,FALSE)</f>
        <v>SI_SA_ES_FLAME_GEYSER</v>
      </c>
      <c r="C365" s="7">
        <v>7</v>
      </c>
      <c r="D365" s="2" t="str">
        <f>VLOOKUP($C365,SkillEnum!$D$2:$E$10,2,FALSE)</f>
        <v>ST_SPECIAL_ACTIVE</v>
      </c>
      <c r="E365" s="7" t="str">
        <f>VLOOKUP($A365,SkillEnum!$A$2:$C$1020,3,FALSE)</f>
        <v>플레임 게이저</v>
      </c>
      <c r="F365" s="7" t="str">
        <f t="shared" si="54"/>
        <v>검을 힘껏 바닥으로 내려쳐 거대한 불기둥을 생성해 마법공격력의 417 % 로 연속타격을 한다.</v>
      </c>
      <c r="G365" s="2">
        <v>4</v>
      </c>
      <c r="H365" s="2">
        <v>1.1200000000000001</v>
      </c>
      <c r="I365" s="2">
        <v>10</v>
      </c>
      <c r="J365" s="2">
        <v>200</v>
      </c>
      <c r="K365" s="2">
        <v>0</v>
      </c>
      <c r="L365" s="2">
        <v>0</v>
      </c>
      <c r="M365" s="2">
        <v>0</v>
      </c>
      <c r="N365" s="2">
        <v>0</v>
      </c>
      <c r="O365" s="2">
        <v>0</v>
      </c>
      <c r="P365" s="2" t="s">
        <v>435</v>
      </c>
      <c r="Q365" s="2" t="str">
        <f t="shared" si="49"/>
        <v>SI_SA_ES_FLAME_GEYSER</v>
      </c>
      <c r="R365" s="2" t="b">
        <v>0</v>
      </c>
      <c r="S365" s="2" t="b">
        <v>1</v>
      </c>
      <c r="T365" s="2">
        <v>1</v>
      </c>
    </row>
    <row r="366" spans="1:21">
      <c r="A366" s="4">
        <v>1003</v>
      </c>
      <c r="B366" s="7" t="str">
        <f>VLOOKUP($A366,SkillEnum!$A$2:$C$1020,2,FALSE)</f>
        <v>SI_SA_ES_FLAME_GEYSER</v>
      </c>
      <c r="C366" s="7">
        <v>7</v>
      </c>
      <c r="D366" s="2" t="str">
        <f>VLOOKUP($C366,SkillEnum!$D$2:$E$10,2,FALSE)</f>
        <v>ST_SPECIAL_ACTIVE</v>
      </c>
      <c r="E366" s="7" t="str">
        <f>VLOOKUP($A366,SkillEnum!$A$2:$C$1020,3,FALSE)</f>
        <v>플레임 게이저</v>
      </c>
      <c r="F366" s="7" t="str">
        <f t="shared" si="54"/>
        <v>검을 힘껏 바닥으로 내려쳐 거대한 불기둥을 생성해 마법공격력의 495 % 로 연속타격을 한다.</v>
      </c>
      <c r="G366" s="2">
        <v>5</v>
      </c>
      <c r="H366" s="2">
        <v>1.33</v>
      </c>
      <c r="I366" s="2">
        <v>10</v>
      </c>
      <c r="J366" s="2">
        <v>200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 t="s">
        <v>435</v>
      </c>
      <c r="Q366" s="2" t="str">
        <f t="shared" si="49"/>
        <v>SI_SA_ES_FLAME_GEYSER</v>
      </c>
      <c r="R366" s="2" t="b">
        <v>0</v>
      </c>
      <c r="S366" s="2" t="b">
        <v>1</v>
      </c>
      <c r="T366" s="2">
        <v>1</v>
      </c>
    </row>
    <row r="367" spans="1:21">
      <c r="A367" s="4">
        <v>1003</v>
      </c>
      <c r="B367" s="7" t="str">
        <f>VLOOKUP($A367,SkillEnum!$A$2:$C$1020,2,FALSE)</f>
        <v>SI_SA_ES_FLAME_GEYSER</v>
      </c>
      <c r="C367" s="7">
        <v>7</v>
      </c>
      <c r="D367" s="2" t="str">
        <f>VLOOKUP($C367,SkillEnum!$D$2:$E$10,2,FALSE)</f>
        <v>ST_SPECIAL_ACTIVE</v>
      </c>
      <c r="E367" s="7" t="str">
        <f>VLOOKUP($A367,SkillEnum!$A$2:$C$1020,3,FALSE)</f>
        <v>플레임 게이저</v>
      </c>
      <c r="F367" s="7" t="str">
        <f t="shared" si="54"/>
        <v>검을 힘껏 바닥으로 내려쳐 거대한 불기둥을 생성해 마법공격력의 573 % 로 연속타격을 한다.</v>
      </c>
      <c r="G367" s="2">
        <v>6</v>
      </c>
      <c r="H367" s="2">
        <v>1.54</v>
      </c>
      <c r="I367" s="2">
        <v>10</v>
      </c>
      <c r="J367" s="2">
        <v>200</v>
      </c>
      <c r="K367" s="2">
        <v>0</v>
      </c>
      <c r="L367" s="2">
        <v>0</v>
      </c>
      <c r="M367" s="2">
        <v>0</v>
      </c>
      <c r="N367" s="2">
        <v>0</v>
      </c>
      <c r="O367" s="2">
        <v>0</v>
      </c>
      <c r="P367" s="2" t="s">
        <v>435</v>
      </c>
      <c r="Q367" s="2" t="str">
        <f t="shared" si="49"/>
        <v>SI_SA_ES_FLAME_GEYSER</v>
      </c>
      <c r="R367" s="2" t="b">
        <v>0</v>
      </c>
      <c r="S367" s="2" t="b">
        <v>1</v>
      </c>
      <c r="T367" s="2">
        <v>1</v>
      </c>
    </row>
    <row r="368" spans="1:21">
      <c r="A368" s="4">
        <v>1003</v>
      </c>
      <c r="B368" s="7" t="str">
        <f>VLOOKUP($A368,SkillEnum!$A$2:$C$1020,2,FALSE)</f>
        <v>SI_SA_ES_FLAME_GEYSER</v>
      </c>
      <c r="C368" s="7">
        <v>7</v>
      </c>
      <c r="D368" s="2" t="str">
        <f>VLOOKUP($C368,SkillEnum!$D$2:$E$10,2,FALSE)</f>
        <v>ST_SPECIAL_ACTIVE</v>
      </c>
      <c r="E368" s="7" t="str">
        <f>VLOOKUP($A368,SkillEnum!$A$2:$C$1020,3,FALSE)</f>
        <v>플레임 게이저</v>
      </c>
      <c r="F368" s="7" t="str">
        <f t="shared" si="54"/>
        <v>검을 힘껏 바닥으로 내려쳐 거대한 불기둥을 생성해 마법공격력의 651 % 로 연속타격을 한다.</v>
      </c>
      <c r="G368" s="2">
        <v>7</v>
      </c>
      <c r="H368" s="2">
        <v>1.75</v>
      </c>
      <c r="I368" s="2">
        <v>10</v>
      </c>
      <c r="J368" s="2">
        <v>200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 t="s">
        <v>435</v>
      </c>
      <c r="Q368" s="2" t="str">
        <f t="shared" si="49"/>
        <v>SI_SA_ES_FLAME_GEYSER</v>
      </c>
      <c r="R368" s="2" t="b">
        <v>0</v>
      </c>
      <c r="S368" s="2" t="b">
        <v>1</v>
      </c>
      <c r="T368" s="2">
        <v>1</v>
      </c>
    </row>
    <row r="369" spans="1:21">
      <c r="A369" s="4">
        <v>1003</v>
      </c>
      <c r="B369" s="7" t="str">
        <f>VLOOKUP($A369,SkillEnum!$A$2:$C$1020,2,FALSE)</f>
        <v>SI_SA_ES_FLAME_GEYSER</v>
      </c>
      <c r="C369" s="7">
        <v>7</v>
      </c>
      <c r="D369" s="2" t="str">
        <f>VLOOKUP($C369,SkillEnum!$D$2:$E$10,2,FALSE)</f>
        <v>ST_SPECIAL_ACTIVE</v>
      </c>
      <c r="E369" s="7" t="str">
        <f>VLOOKUP($A369,SkillEnum!$A$2:$C$1020,3,FALSE)</f>
        <v>플레임 게이저</v>
      </c>
      <c r="F369" s="7" t="str">
        <f t="shared" si="54"/>
        <v>검을 힘껏 바닥으로 내려쳐 거대한 불기둥을 생성해 마법공격력의 729 % 로 연속타격을 한다.</v>
      </c>
      <c r="G369" s="2">
        <v>8</v>
      </c>
      <c r="H369" s="2">
        <v>1.96</v>
      </c>
      <c r="I369" s="2">
        <v>10</v>
      </c>
      <c r="J369" s="2">
        <v>200</v>
      </c>
      <c r="K369" s="2">
        <v>0</v>
      </c>
      <c r="L369" s="2">
        <v>0</v>
      </c>
      <c r="M369" s="2">
        <v>0</v>
      </c>
      <c r="N369" s="2">
        <v>0</v>
      </c>
      <c r="O369" s="2">
        <v>0</v>
      </c>
      <c r="P369" s="2" t="s">
        <v>435</v>
      </c>
      <c r="Q369" s="2" t="str">
        <f t="shared" si="49"/>
        <v>SI_SA_ES_FLAME_GEYSER</v>
      </c>
      <c r="R369" s="2" t="b">
        <v>0</v>
      </c>
      <c r="S369" s="2" t="b">
        <v>1</v>
      </c>
      <c r="T369" s="2">
        <v>1</v>
      </c>
    </row>
    <row r="370" spans="1:21">
      <c r="A370" s="4">
        <v>1003</v>
      </c>
      <c r="B370" s="7" t="str">
        <f>VLOOKUP($A370,SkillEnum!$A$2:$C$1020,2,FALSE)</f>
        <v>SI_SA_ES_FLAME_GEYSER</v>
      </c>
      <c r="C370" s="7">
        <v>7</v>
      </c>
      <c r="D370" s="2" t="str">
        <f>VLOOKUP($C370,SkillEnum!$D$2:$E$10,2,FALSE)</f>
        <v>ST_SPECIAL_ACTIVE</v>
      </c>
      <c r="E370" s="7" t="str">
        <f>VLOOKUP($A370,SkillEnum!$A$2:$C$1020,3,FALSE)</f>
        <v>플레임 게이저</v>
      </c>
      <c r="F370" s="7" t="str">
        <f t="shared" si="54"/>
        <v>검을 힘껏 바닥으로 내려쳐 거대한 불기둥을 생성해 마법공격력의 833 % 로 연속타격을 한다.</v>
      </c>
      <c r="G370" s="2">
        <v>9</v>
      </c>
      <c r="H370" s="2">
        <v>2.2400000000000002</v>
      </c>
      <c r="I370" s="2">
        <v>10</v>
      </c>
      <c r="J370" s="2">
        <v>200</v>
      </c>
      <c r="K370" s="2">
        <v>0</v>
      </c>
      <c r="L370" s="2">
        <v>0</v>
      </c>
      <c r="M370" s="2">
        <v>0</v>
      </c>
      <c r="N370" s="2">
        <v>0</v>
      </c>
      <c r="O370" s="2">
        <v>0</v>
      </c>
      <c r="P370" s="2" t="s">
        <v>435</v>
      </c>
      <c r="Q370" s="2" t="str">
        <f t="shared" si="49"/>
        <v>SI_SA_ES_FLAME_GEYSER</v>
      </c>
      <c r="R370" s="2" t="b">
        <v>0</v>
      </c>
      <c r="S370" s="2" t="b">
        <v>1</v>
      </c>
      <c r="T370" s="2">
        <v>1</v>
      </c>
    </row>
    <row r="371" spans="1:21" s="5" customFormat="1">
      <c r="A371" s="6">
        <v>1003</v>
      </c>
      <c r="B371" s="8" t="str">
        <f>VLOOKUP($A371,SkillEnum!$A$2:$C$1020,2,FALSE)</f>
        <v>SI_SA_ES_FLAME_GEYSER</v>
      </c>
      <c r="C371" s="8">
        <v>7</v>
      </c>
      <c r="D371" s="5" t="str">
        <f>VLOOKUP($C371,SkillEnum!$D$2:$E$10,2,FALSE)</f>
        <v>ST_SPECIAL_ACTIVE</v>
      </c>
      <c r="E371" s="8" t="str">
        <f>VLOOKUP($A371,SkillEnum!$A$2:$C$1020,3,FALSE)</f>
        <v>플레임 게이저</v>
      </c>
      <c r="F371" s="8" t="str">
        <f t="shared" si="54"/>
        <v>검을 힘껏 바닥으로 내려쳐 거대한 불기둥을 생성해 마법공격력의 937 % 로 연속타격을 한다.</v>
      </c>
      <c r="G371" s="5">
        <v>10</v>
      </c>
      <c r="H371" s="5">
        <v>2.52</v>
      </c>
      <c r="I371" s="5">
        <v>10</v>
      </c>
      <c r="J371" s="5">
        <v>200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2" t="s">
        <v>435</v>
      </c>
      <c r="Q371" s="2" t="str">
        <f t="shared" si="49"/>
        <v>SI_SA_ES_FLAME_GEYSER</v>
      </c>
      <c r="R371" s="5" t="b">
        <v>0</v>
      </c>
      <c r="S371" s="2" t="b">
        <v>1</v>
      </c>
      <c r="T371" s="2">
        <v>1</v>
      </c>
      <c r="U371" s="2"/>
    </row>
    <row r="372" spans="1:21" s="10" customFormat="1">
      <c r="A372" s="9">
        <v>1004</v>
      </c>
      <c r="B372" s="11" t="str">
        <f>VLOOKUP($A372,SkillEnum!$A$2:$C$1020,2,FALSE)</f>
        <v>SI_SA_ES_UNLIMITED_BLADE</v>
      </c>
      <c r="C372" s="11">
        <v>7</v>
      </c>
      <c r="D372" s="10" t="str">
        <f>VLOOKUP($C372,SkillEnum!$D$2:$E$10,2,FALSE)</f>
        <v>ST_SPECIAL_ACTIVE</v>
      </c>
      <c r="E372" s="11" t="str">
        <f>VLOOKUP($A372,SkillEnum!$A$2:$C$1020,3,FALSE)</f>
        <v>언리미티드 블레이드</v>
      </c>
      <c r="F372" s="11" t="str">
        <f>"신체의 한계점을 돌파해 타격 당 물리공격력의 "&amp;ROUND(1.75*1.2*H372*100,0)&amp;" % 으로 연속으로 타격하고, 마지막에 매가슬래시를 사용, 물리공격력의 "&amp;ROUND(7.4*1.2*H372*100,0)&amp;" % 데미지를 준다. (각성시 메가슬래시 대신 몸전체로 기운을 내뿜어 마법공격력의 "&amp;ROUND(2*1.2*H372*100,0)&amp;" % 로 연속타격 한다.)"</f>
        <v>신체의 한계점을 돌파해 타격 당 물리공격력의 147 % 으로 연속으로 타격하고, 마지막에 매가슬래시를 사용, 물리공격력의 622 % 데미지를 준다. (각성시 메가슬래시 대신 몸전체로 기운을 내뿜어 마법공격력의 168 % 로 연속타격 한다.)</v>
      </c>
      <c r="G372" s="10">
        <v>1</v>
      </c>
      <c r="H372" s="2">
        <v>0.7</v>
      </c>
      <c r="I372" s="2">
        <v>20</v>
      </c>
      <c r="J372" s="2">
        <v>250</v>
      </c>
      <c r="K372" s="2">
        <v>0</v>
      </c>
      <c r="L372" s="2">
        <v>0</v>
      </c>
      <c r="M372" s="2">
        <v>0</v>
      </c>
      <c r="N372" s="2">
        <v>0</v>
      </c>
      <c r="O372" s="2">
        <v>0</v>
      </c>
      <c r="P372" s="2" t="s">
        <v>435</v>
      </c>
      <c r="Q372" s="2" t="str">
        <f t="shared" si="49"/>
        <v>SI_SA_ES_UNLIMITED_BLADE</v>
      </c>
      <c r="R372" s="2" t="b">
        <v>0</v>
      </c>
      <c r="S372" s="2" t="b">
        <v>1</v>
      </c>
      <c r="T372" s="2">
        <v>1</v>
      </c>
      <c r="U372" s="2"/>
    </row>
    <row r="373" spans="1:21">
      <c r="A373" s="4">
        <v>1004</v>
      </c>
      <c r="B373" s="7" t="str">
        <f>VLOOKUP($A373,SkillEnum!$A$2:$C$1020,2,FALSE)</f>
        <v>SI_SA_ES_UNLIMITED_BLADE</v>
      </c>
      <c r="C373" s="7">
        <v>7</v>
      </c>
      <c r="D373" s="2" t="str">
        <f>VLOOKUP($C373,SkillEnum!$D$2:$E$10,2,FALSE)</f>
        <v>ST_SPECIAL_ACTIVE</v>
      </c>
      <c r="E373" s="7" t="str">
        <f>VLOOKUP($A373,SkillEnum!$A$2:$C$1020,3,FALSE)</f>
        <v>언리미티드 블레이드</v>
      </c>
      <c r="F373" s="7" t="str">
        <f t="shared" ref="F373:F381" si="55">"신체의 한계점을 돌파해 타격 당 물리공격력의 "&amp;ROUND(1.75*1.2*H373*100,0)&amp;" % 으로 연속으로 타격하고, 마지막에 매가슬래시를 사용, 물리공격력의 "&amp;ROUND(7.4*1.2*H373*100,0)&amp;" % 데미지를 준다. (각성시 메가슬래시 대신 몸전체로 기운을 내뿜어 마법공격력의 "&amp;ROUND(2*1.2*H373*100,0)&amp;" % 로 연속타격 한다.)"</f>
        <v>신체의 한계점을 돌파해 타격 당 물리공격력의 176 % 으로 연속으로 타격하고, 마지막에 매가슬래시를 사용, 물리공격력의 746 % 데미지를 준다. (각성시 메가슬래시 대신 몸전체로 기운을 내뿜어 마법공격력의 202 % 로 연속타격 한다.)</v>
      </c>
      <c r="G373" s="2">
        <v>2</v>
      </c>
      <c r="H373" s="2">
        <v>0.84</v>
      </c>
      <c r="I373" s="2">
        <v>20</v>
      </c>
      <c r="J373" s="2">
        <v>250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 t="s">
        <v>435</v>
      </c>
      <c r="Q373" s="2" t="str">
        <f t="shared" si="49"/>
        <v>SI_SA_ES_UNLIMITED_BLADE</v>
      </c>
      <c r="R373" s="2" t="b">
        <v>0</v>
      </c>
      <c r="S373" s="2" t="b">
        <v>1</v>
      </c>
      <c r="T373" s="2">
        <v>1</v>
      </c>
    </row>
    <row r="374" spans="1:21">
      <c r="A374" s="4">
        <v>1004</v>
      </c>
      <c r="B374" s="7" t="str">
        <f>VLOOKUP($A374,SkillEnum!$A$2:$C$1020,2,FALSE)</f>
        <v>SI_SA_ES_UNLIMITED_BLADE</v>
      </c>
      <c r="C374" s="7">
        <v>7</v>
      </c>
      <c r="D374" s="2" t="str">
        <f>VLOOKUP($C374,SkillEnum!$D$2:$E$10,2,FALSE)</f>
        <v>ST_SPECIAL_ACTIVE</v>
      </c>
      <c r="E374" s="7" t="str">
        <f>VLOOKUP($A374,SkillEnum!$A$2:$C$1020,3,FALSE)</f>
        <v>언리미티드 블레이드</v>
      </c>
      <c r="F374" s="7" t="str">
        <f t="shared" si="55"/>
        <v>신체의 한계점을 돌파해 타격 당 물리공격력의 206 % 으로 연속으로 타격하고, 마지막에 매가슬래시를 사용, 물리공격력의 870 % 데미지를 준다. (각성시 메가슬래시 대신 몸전체로 기운을 내뿜어 마법공격력의 235 % 로 연속타격 한다.)</v>
      </c>
      <c r="G374" s="2">
        <v>3</v>
      </c>
      <c r="H374" s="2">
        <v>0.98</v>
      </c>
      <c r="I374" s="2">
        <v>20</v>
      </c>
      <c r="J374" s="2">
        <v>250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 t="s">
        <v>435</v>
      </c>
      <c r="Q374" s="2" t="str">
        <f t="shared" si="49"/>
        <v>SI_SA_ES_UNLIMITED_BLADE</v>
      </c>
      <c r="R374" s="2" t="b">
        <v>0</v>
      </c>
      <c r="S374" s="2" t="b">
        <v>1</v>
      </c>
      <c r="T374" s="2">
        <v>1</v>
      </c>
    </row>
    <row r="375" spans="1:21">
      <c r="A375" s="4">
        <v>1004</v>
      </c>
      <c r="B375" s="7" t="str">
        <f>VLOOKUP($A375,SkillEnum!$A$2:$C$1020,2,FALSE)</f>
        <v>SI_SA_ES_UNLIMITED_BLADE</v>
      </c>
      <c r="C375" s="7">
        <v>7</v>
      </c>
      <c r="D375" s="2" t="str">
        <f>VLOOKUP($C375,SkillEnum!$D$2:$E$10,2,FALSE)</f>
        <v>ST_SPECIAL_ACTIVE</v>
      </c>
      <c r="E375" s="7" t="str">
        <f>VLOOKUP($A375,SkillEnum!$A$2:$C$1020,3,FALSE)</f>
        <v>언리미티드 블레이드</v>
      </c>
      <c r="F375" s="7" t="str">
        <f t="shared" si="55"/>
        <v>신체의 한계점을 돌파해 타격 당 물리공격력의 235 % 으로 연속으로 타격하고, 마지막에 매가슬래시를 사용, 물리공격력의 995 % 데미지를 준다. (각성시 메가슬래시 대신 몸전체로 기운을 내뿜어 마법공격력의 269 % 로 연속타격 한다.)</v>
      </c>
      <c r="G375" s="2">
        <v>4</v>
      </c>
      <c r="H375" s="2">
        <v>1.1200000000000001</v>
      </c>
      <c r="I375" s="2">
        <v>20</v>
      </c>
      <c r="J375" s="2">
        <v>250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 t="s">
        <v>435</v>
      </c>
      <c r="Q375" s="2" t="str">
        <f t="shared" si="49"/>
        <v>SI_SA_ES_UNLIMITED_BLADE</v>
      </c>
      <c r="R375" s="2" t="b">
        <v>0</v>
      </c>
      <c r="S375" s="2" t="b">
        <v>1</v>
      </c>
      <c r="T375" s="2">
        <v>1</v>
      </c>
    </row>
    <row r="376" spans="1:21">
      <c r="A376" s="4">
        <v>1004</v>
      </c>
      <c r="B376" s="7" t="str">
        <f>VLOOKUP($A376,SkillEnum!$A$2:$C$1020,2,FALSE)</f>
        <v>SI_SA_ES_UNLIMITED_BLADE</v>
      </c>
      <c r="C376" s="7">
        <v>7</v>
      </c>
      <c r="D376" s="2" t="str">
        <f>VLOOKUP($C376,SkillEnum!$D$2:$E$10,2,FALSE)</f>
        <v>ST_SPECIAL_ACTIVE</v>
      </c>
      <c r="E376" s="7" t="str">
        <f>VLOOKUP($A376,SkillEnum!$A$2:$C$1020,3,FALSE)</f>
        <v>언리미티드 블레이드</v>
      </c>
      <c r="F376" s="7" t="str">
        <f t="shared" si="55"/>
        <v>신체의 한계점을 돌파해 타격 당 물리공격력의 279 % 으로 연속으로 타격하고, 마지막에 매가슬래시를 사용, 물리공격력의 1181 % 데미지를 준다. (각성시 메가슬래시 대신 몸전체로 기운을 내뿜어 마법공격력의 319 % 로 연속타격 한다.)</v>
      </c>
      <c r="G376" s="2">
        <v>5</v>
      </c>
      <c r="H376" s="2">
        <v>1.33</v>
      </c>
      <c r="I376" s="2">
        <v>20</v>
      </c>
      <c r="J376" s="2">
        <v>250</v>
      </c>
      <c r="K376" s="2">
        <v>0</v>
      </c>
      <c r="L376" s="2">
        <v>0</v>
      </c>
      <c r="M376" s="2">
        <v>0</v>
      </c>
      <c r="N376" s="2">
        <v>0</v>
      </c>
      <c r="O376" s="2">
        <v>0</v>
      </c>
      <c r="P376" s="2" t="s">
        <v>435</v>
      </c>
      <c r="Q376" s="2" t="str">
        <f t="shared" si="49"/>
        <v>SI_SA_ES_UNLIMITED_BLADE</v>
      </c>
      <c r="R376" s="2" t="b">
        <v>0</v>
      </c>
      <c r="S376" s="2" t="b">
        <v>1</v>
      </c>
      <c r="T376" s="2">
        <v>1</v>
      </c>
    </row>
    <row r="377" spans="1:21">
      <c r="A377" s="4">
        <v>1004</v>
      </c>
      <c r="B377" s="7" t="str">
        <f>VLOOKUP($A377,SkillEnum!$A$2:$C$1020,2,FALSE)</f>
        <v>SI_SA_ES_UNLIMITED_BLADE</v>
      </c>
      <c r="C377" s="7">
        <v>7</v>
      </c>
      <c r="D377" s="2" t="str">
        <f>VLOOKUP($C377,SkillEnum!$D$2:$E$10,2,FALSE)</f>
        <v>ST_SPECIAL_ACTIVE</v>
      </c>
      <c r="E377" s="7" t="str">
        <f>VLOOKUP($A377,SkillEnum!$A$2:$C$1020,3,FALSE)</f>
        <v>언리미티드 블레이드</v>
      </c>
      <c r="F377" s="7" t="str">
        <f t="shared" si="55"/>
        <v>신체의 한계점을 돌파해 타격 당 물리공격력의 323 % 으로 연속으로 타격하고, 마지막에 매가슬래시를 사용, 물리공격력의 1368 % 데미지를 준다. (각성시 메가슬래시 대신 몸전체로 기운을 내뿜어 마법공격력의 370 % 로 연속타격 한다.)</v>
      </c>
      <c r="G377" s="2">
        <v>6</v>
      </c>
      <c r="H377" s="2">
        <v>1.54</v>
      </c>
      <c r="I377" s="2">
        <v>20</v>
      </c>
      <c r="J377" s="2">
        <v>250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 t="s">
        <v>435</v>
      </c>
      <c r="Q377" s="2" t="str">
        <f t="shared" si="49"/>
        <v>SI_SA_ES_UNLIMITED_BLADE</v>
      </c>
      <c r="R377" s="2" t="b">
        <v>0</v>
      </c>
      <c r="S377" s="2" t="b">
        <v>1</v>
      </c>
      <c r="T377" s="2">
        <v>1</v>
      </c>
    </row>
    <row r="378" spans="1:21">
      <c r="A378" s="4">
        <v>1004</v>
      </c>
      <c r="B378" s="7" t="str">
        <f>VLOOKUP($A378,SkillEnum!$A$2:$C$1020,2,FALSE)</f>
        <v>SI_SA_ES_UNLIMITED_BLADE</v>
      </c>
      <c r="C378" s="7">
        <v>7</v>
      </c>
      <c r="D378" s="2" t="str">
        <f>VLOOKUP($C378,SkillEnum!$D$2:$E$10,2,FALSE)</f>
        <v>ST_SPECIAL_ACTIVE</v>
      </c>
      <c r="E378" s="7" t="str">
        <f>VLOOKUP($A378,SkillEnum!$A$2:$C$1020,3,FALSE)</f>
        <v>언리미티드 블레이드</v>
      </c>
      <c r="F378" s="7" t="str">
        <f t="shared" si="55"/>
        <v>신체의 한계점을 돌파해 타격 당 물리공격력의 368 % 으로 연속으로 타격하고, 마지막에 매가슬래시를 사용, 물리공격력의 1554 % 데미지를 준다. (각성시 메가슬래시 대신 몸전체로 기운을 내뿜어 마법공격력의 420 % 로 연속타격 한다.)</v>
      </c>
      <c r="G378" s="2">
        <v>7</v>
      </c>
      <c r="H378" s="2">
        <v>1.75</v>
      </c>
      <c r="I378" s="2">
        <v>20</v>
      </c>
      <c r="J378" s="2">
        <v>250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 t="s">
        <v>435</v>
      </c>
      <c r="Q378" s="2" t="str">
        <f t="shared" si="49"/>
        <v>SI_SA_ES_UNLIMITED_BLADE</v>
      </c>
      <c r="R378" s="2" t="b">
        <v>0</v>
      </c>
      <c r="S378" s="2" t="b">
        <v>1</v>
      </c>
      <c r="T378" s="2">
        <v>1</v>
      </c>
    </row>
    <row r="379" spans="1:21">
      <c r="A379" s="4">
        <v>1004</v>
      </c>
      <c r="B379" s="7" t="str">
        <f>VLOOKUP($A379,SkillEnum!$A$2:$C$1020,2,FALSE)</f>
        <v>SI_SA_ES_UNLIMITED_BLADE</v>
      </c>
      <c r="C379" s="7">
        <v>7</v>
      </c>
      <c r="D379" s="2" t="str">
        <f>VLOOKUP($C379,SkillEnum!$D$2:$E$10,2,FALSE)</f>
        <v>ST_SPECIAL_ACTIVE</v>
      </c>
      <c r="E379" s="7" t="str">
        <f>VLOOKUP($A379,SkillEnum!$A$2:$C$1020,3,FALSE)</f>
        <v>언리미티드 블레이드</v>
      </c>
      <c r="F379" s="7" t="str">
        <f t="shared" si="55"/>
        <v>신체의 한계점을 돌파해 타격 당 물리공격력의 412 % 으로 연속으로 타격하고, 마지막에 매가슬래시를 사용, 물리공격력의 1740 % 데미지를 준다. (각성시 메가슬래시 대신 몸전체로 기운을 내뿜어 마법공격력의 470 % 로 연속타격 한다.)</v>
      </c>
      <c r="G379" s="2">
        <v>8</v>
      </c>
      <c r="H379" s="2">
        <v>1.96</v>
      </c>
      <c r="I379" s="2">
        <v>20</v>
      </c>
      <c r="J379" s="2">
        <v>250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 t="s">
        <v>435</v>
      </c>
      <c r="Q379" s="2" t="str">
        <f t="shared" si="49"/>
        <v>SI_SA_ES_UNLIMITED_BLADE</v>
      </c>
      <c r="R379" s="2" t="b">
        <v>0</v>
      </c>
      <c r="S379" s="2" t="b">
        <v>1</v>
      </c>
      <c r="T379" s="2">
        <v>1</v>
      </c>
    </row>
    <row r="380" spans="1:21">
      <c r="A380" s="4">
        <v>1004</v>
      </c>
      <c r="B380" s="7" t="str">
        <f>VLOOKUP($A380,SkillEnum!$A$2:$C$1020,2,FALSE)</f>
        <v>SI_SA_ES_UNLIMITED_BLADE</v>
      </c>
      <c r="C380" s="7">
        <v>7</v>
      </c>
      <c r="D380" s="2" t="str">
        <f>VLOOKUP($C380,SkillEnum!$D$2:$E$10,2,FALSE)</f>
        <v>ST_SPECIAL_ACTIVE</v>
      </c>
      <c r="E380" s="7" t="str">
        <f>VLOOKUP($A380,SkillEnum!$A$2:$C$1020,3,FALSE)</f>
        <v>언리미티드 블레이드</v>
      </c>
      <c r="F380" s="7" t="str">
        <f t="shared" si="55"/>
        <v>신체의 한계점을 돌파해 타격 당 물리공격력의 470 % 으로 연속으로 타격하고, 마지막에 매가슬래시를 사용, 물리공격력의 1989 % 데미지를 준다. (각성시 메가슬래시 대신 몸전체로 기운을 내뿜어 마법공격력의 538 % 로 연속타격 한다.)</v>
      </c>
      <c r="G380" s="2">
        <v>9</v>
      </c>
      <c r="H380" s="2">
        <v>2.2400000000000002</v>
      </c>
      <c r="I380" s="2">
        <v>20</v>
      </c>
      <c r="J380" s="2">
        <v>250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 t="s">
        <v>435</v>
      </c>
      <c r="Q380" s="2" t="str">
        <f t="shared" si="49"/>
        <v>SI_SA_ES_UNLIMITED_BLADE</v>
      </c>
      <c r="R380" s="2" t="b">
        <v>0</v>
      </c>
      <c r="S380" s="2" t="b">
        <v>1</v>
      </c>
      <c r="T380" s="2">
        <v>1</v>
      </c>
    </row>
    <row r="381" spans="1:21" s="5" customFormat="1">
      <c r="A381" s="6">
        <v>1004</v>
      </c>
      <c r="B381" s="8" t="str">
        <f>VLOOKUP($A381,SkillEnum!$A$2:$C$1020,2,FALSE)</f>
        <v>SI_SA_ES_UNLIMITED_BLADE</v>
      </c>
      <c r="C381" s="8">
        <v>7</v>
      </c>
      <c r="D381" s="5" t="str">
        <f>VLOOKUP($C381,SkillEnum!$D$2:$E$10,2,FALSE)</f>
        <v>ST_SPECIAL_ACTIVE</v>
      </c>
      <c r="E381" s="8" t="str">
        <f>VLOOKUP($A381,SkillEnum!$A$2:$C$1020,3,FALSE)</f>
        <v>언리미티드 블레이드</v>
      </c>
      <c r="F381" s="8" t="str">
        <f t="shared" si="55"/>
        <v>신체의 한계점을 돌파해 타격 당 물리공격력의 529 % 으로 연속으로 타격하고, 마지막에 매가슬래시를 사용, 물리공격력의 2238 % 데미지를 준다. (각성시 메가슬래시 대신 몸전체로 기운을 내뿜어 마법공격력의 605 % 로 연속타격 한다.)</v>
      </c>
      <c r="G381" s="5">
        <v>10</v>
      </c>
      <c r="H381" s="5">
        <v>2.52</v>
      </c>
      <c r="I381" s="5">
        <v>20</v>
      </c>
      <c r="J381" s="5">
        <v>250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2" t="s">
        <v>435</v>
      </c>
      <c r="Q381" s="2" t="str">
        <f t="shared" si="49"/>
        <v>SI_SA_ES_UNLIMITED_BLADE</v>
      </c>
      <c r="R381" s="5" t="b">
        <v>0</v>
      </c>
      <c r="S381" s="2" t="b">
        <v>1</v>
      </c>
      <c r="T381" s="2">
        <v>1</v>
      </c>
      <c r="U381" s="2"/>
    </row>
    <row r="382" spans="1:21" s="10" customFormat="1">
      <c r="A382" s="9">
        <v>1005</v>
      </c>
      <c r="B382" s="11" t="str">
        <f>VLOOKUP($A382,SkillEnum!$A$2:$C$1020,2,FALSE)</f>
        <v>SI_SA_ES_TRIPLE_GEYSER</v>
      </c>
      <c r="C382" s="11">
        <v>7</v>
      </c>
      <c r="D382" s="10" t="str">
        <f>VLOOKUP($C382,SkillEnum!$D$2:$E$10,2,FALSE)</f>
        <v>ST_SPECIAL_ACTIVE</v>
      </c>
      <c r="E382" s="11" t="str">
        <f>VLOOKUP($A382,SkillEnum!$A$2:$C$1020,3,FALSE)</f>
        <v>트리플 게이저</v>
      </c>
      <c r="F382" s="11" t="str">
        <f t="shared" ref="F382:F391" si="56">"검을 힘껏 바닥으로 내려쳐 거대한 불기둥을 3개 연속으로 생성해 마법공격력의 "&amp;ROUND(3.3*1.2*H382*100,0)&amp;" % 로 연속타격을 한다."</f>
        <v>검을 힘껏 바닥으로 내려쳐 거대한 불기둥을 3개 연속으로 생성해 마법공격력의 277 % 로 연속타격을 한다.</v>
      </c>
      <c r="G382" s="10">
        <v>1</v>
      </c>
      <c r="H382" s="2">
        <v>0.7</v>
      </c>
      <c r="I382" s="2">
        <v>30</v>
      </c>
      <c r="J382" s="2">
        <v>300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 t="s">
        <v>435</v>
      </c>
      <c r="Q382" s="2" t="str">
        <f t="shared" si="49"/>
        <v>SI_SA_ES_TRIPLE_GEYSER</v>
      </c>
      <c r="R382" s="2" t="b">
        <v>0</v>
      </c>
      <c r="S382" s="2" t="b">
        <v>1</v>
      </c>
      <c r="T382" s="2">
        <v>1</v>
      </c>
      <c r="U382" s="2"/>
    </row>
    <row r="383" spans="1:21">
      <c r="A383" s="4">
        <v>1005</v>
      </c>
      <c r="B383" s="7" t="str">
        <f>VLOOKUP($A383,SkillEnum!$A$2:$C$1020,2,FALSE)</f>
        <v>SI_SA_ES_TRIPLE_GEYSER</v>
      </c>
      <c r="C383" s="7">
        <v>7</v>
      </c>
      <c r="D383" s="2" t="str">
        <f>VLOOKUP($C383,SkillEnum!$D$2:$E$10,2,FALSE)</f>
        <v>ST_SPECIAL_ACTIVE</v>
      </c>
      <c r="E383" s="7" t="str">
        <f>VLOOKUP($A383,SkillEnum!$A$2:$C$1020,3,FALSE)</f>
        <v>트리플 게이저</v>
      </c>
      <c r="F383" s="7" t="str">
        <f t="shared" si="56"/>
        <v>검을 힘껏 바닥으로 내려쳐 거대한 불기둥을 3개 연속으로 생성해 마법공격력의 333 % 로 연속타격을 한다.</v>
      </c>
      <c r="G383" s="2">
        <v>2</v>
      </c>
      <c r="H383" s="2">
        <v>0.84</v>
      </c>
      <c r="I383" s="2">
        <v>30</v>
      </c>
      <c r="J383" s="2">
        <v>300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 t="s">
        <v>435</v>
      </c>
      <c r="Q383" s="2" t="str">
        <f t="shared" si="49"/>
        <v>SI_SA_ES_TRIPLE_GEYSER</v>
      </c>
      <c r="R383" s="2" t="b">
        <v>0</v>
      </c>
      <c r="S383" s="2" t="b">
        <v>1</v>
      </c>
      <c r="T383" s="2">
        <v>1</v>
      </c>
    </row>
    <row r="384" spans="1:21">
      <c r="A384" s="4">
        <v>1005</v>
      </c>
      <c r="B384" s="7" t="str">
        <f>VLOOKUP($A384,SkillEnum!$A$2:$C$1020,2,FALSE)</f>
        <v>SI_SA_ES_TRIPLE_GEYSER</v>
      </c>
      <c r="C384" s="7">
        <v>7</v>
      </c>
      <c r="D384" s="2" t="str">
        <f>VLOOKUP($C384,SkillEnum!$D$2:$E$10,2,FALSE)</f>
        <v>ST_SPECIAL_ACTIVE</v>
      </c>
      <c r="E384" s="7" t="str">
        <f>VLOOKUP($A384,SkillEnum!$A$2:$C$1020,3,FALSE)</f>
        <v>트리플 게이저</v>
      </c>
      <c r="F384" s="7" t="str">
        <f t="shared" si="56"/>
        <v>검을 힘껏 바닥으로 내려쳐 거대한 불기둥을 3개 연속으로 생성해 마법공격력의 388 % 로 연속타격을 한다.</v>
      </c>
      <c r="G384" s="2">
        <v>3</v>
      </c>
      <c r="H384" s="2">
        <v>0.98</v>
      </c>
      <c r="I384" s="2">
        <v>30</v>
      </c>
      <c r="J384" s="2">
        <v>300</v>
      </c>
      <c r="K384" s="2">
        <v>0</v>
      </c>
      <c r="L384" s="2">
        <v>0</v>
      </c>
      <c r="M384" s="2">
        <v>0</v>
      </c>
      <c r="N384" s="2">
        <v>0</v>
      </c>
      <c r="O384" s="2">
        <v>0</v>
      </c>
      <c r="P384" s="2" t="s">
        <v>435</v>
      </c>
      <c r="Q384" s="2" t="str">
        <f t="shared" si="49"/>
        <v>SI_SA_ES_TRIPLE_GEYSER</v>
      </c>
      <c r="R384" s="2" t="b">
        <v>0</v>
      </c>
      <c r="S384" s="2" t="b">
        <v>1</v>
      </c>
      <c r="T384" s="2">
        <v>1</v>
      </c>
    </row>
    <row r="385" spans="1:21">
      <c r="A385" s="4">
        <v>1005</v>
      </c>
      <c r="B385" s="7" t="str">
        <f>VLOOKUP($A385,SkillEnum!$A$2:$C$1020,2,FALSE)</f>
        <v>SI_SA_ES_TRIPLE_GEYSER</v>
      </c>
      <c r="C385" s="7">
        <v>7</v>
      </c>
      <c r="D385" s="2" t="str">
        <f>VLOOKUP($C385,SkillEnum!$D$2:$E$10,2,FALSE)</f>
        <v>ST_SPECIAL_ACTIVE</v>
      </c>
      <c r="E385" s="7" t="str">
        <f>VLOOKUP($A385,SkillEnum!$A$2:$C$1020,3,FALSE)</f>
        <v>트리플 게이저</v>
      </c>
      <c r="F385" s="7" t="str">
        <f t="shared" si="56"/>
        <v>검을 힘껏 바닥으로 내려쳐 거대한 불기둥을 3개 연속으로 생성해 마법공격력의 444 % 로 연속타격을 한다.</v>
      </c>
      <c r="G385" s="2">
        <v>4</v>
      </c>
      <c r="H385" s="2">
        <v>1.1200000000000001</v>
      </c>
      <c r="I385" s="2">
        <v>30</v>
      </c>
      <c r="J385" s="2">
        <v>300</v>
      </c>
      <c r="K385" s="2">
        <v>0</v>
      </c>
      <c r="L385" s="2">
        <v>0</v>
      </c>
      <c r="M385" s="2">
        <v>0</v>
      </c>
      <c r="N385" s="2">
        <v>0</v>
      </c>
      <c r="O385" s="2">
        <v>0</v>
      </c>
      <c r="P385" s="2" t="s">
        <v>435</v>
      </c>
      <c r="Q385" s="2" t="str">
        <f t="shared" si="49"/>
        <v>SI_SA_ES_TRIPLE_GEYSER</v>
      </c>
      <c r="R385" s="2" t="b">
        <v>0</v>
      </c>
      <c r="S385" s="2" t="b">
        <v>1</v>
      </c>
      <c r="T385" s="2">
        <v>1</v>
      </c>
    </row>
    <row r="386" spans="1:21">
      <c r="A386" s="4">
        <v>1005</v>
      </c>
      <c r="B386" s="7" t="str">
        <f>VLOOKUP($A386,SkillEnum!$A$2:$C$1020,2,FALSE)</f>
        <v>SI_SA_ES_TRIPLE_GEYSER</v>
      </c>
      <c r="C386" s="7">
        <v>7</v>
      </c>
      <c r="D386" s="2" t="str">
        <f>VLOOKUP($C386,SkillEnum!$D$2:$E$10,2,FALSE)</f>
        <v>ST_SPECIAL_ACTIVE</v>
      </c>
      <c r="E386" s="7" t="str">
        <f>VLOOKUP($A386,SkillEnum!$A$2:$C$1020,3,FALSE)</f>
        <v>트리플 게이저</v>
      </c>
      <c r="F386" s="7" t="str">
        <f t="shared" si="56"/>
        <v>검을 힘껏 바닥으로 내려쳐 거대한 불기둥을 3개 연속으로 생성해 마법공격력의 527 % 로 연속타격을 한다.</v>
      </c>
      <c r="G386" s="2">
        <v>5</v>
      </c>
      <c r="H386" s="2">
        <v>1.33</v>
      </c>
      <c r="I386" s="2">
        <v>30</v>
      </c>
      <c r="J386" s="2">
        <v>300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 t="s">
        <v>435</v>
      </c>
      <c r="Q386" s="2" t="str">
        <f t="shared" si="49"/>
        <v>SI_SA_ES_TRIPLE_GEYSER</v>
      </c>
      <c r="R386" s="2" t="b">
        <v>0</v>
      </c>
      <c r="S386" s="2" t="b">
        <v>1</v>
      </c>
      <c r="T386" s="2">
        <v>1</v>
      </c>
    </row>
    <row r="387" spans="1:21">
      <c r="A387" s="4">
        <v>1005</v>
      </c>
      <c r="B387" s="7" t="str">
        <f>VLOOKUP($A387,SkillEnum!$A$2:$C$1020,2,FALSE)</f>
        <v>SI_SA_ES_TRIPLE_GEYSER</v>
      </c>
      <c r="C387" s="7">
        <v>7</v>
      </c>
      <c r="D387" s="2" t="str">
        <f>VLOOKUP($C387,SkillEnum!$D$2:$E$10,2,FALSE)</f>
        <v>ST_SPECIAL_ACTIVE</v>
      </c>
      <c r="E387" s="7" t="str">
        <f>VLOOKUP($A387,SkillEnum!$A$2:$C$1020,3,FALSE)</f>
        <v>트리플 게이저</v>
      </c>
      <c r="F387" s="7" t="str">
        <f t="shared" si="56"/>
        <v>검을 힘껏 바닥으로 내려쳐 거대한 불기둥을 3개 연속으로 생성해 마법공격력의 610 % 로 연속타격을 한다.</v>
      </c>
      <c r="G387" s="2">
        <v>6</v>
      </c>
      <c r="H387" s="2">
        <v>1.54</v>
      </c>
      <c r="I387" s="2">
        <v>30</v>
      </c>
      <c r="J387" s="2">
        <v>300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 t="s">
        <v>435</v>
      </c>
      <c r="Q387" s="2" t="str">
        <f t="shared" ref="Q387:Q450" si="57">B387</f>
        <v>SI_SA_ES_TRIPLE_GEYSER</v>
      </c>
      <c r="R387" s="2" t="b">
        <v>0</v>
      </c>
      <c r="S387" s="2" t="b">
        <v>1</v>
      </c>
      <c r="T387" s="2">
        <v>1</v>
      </c>
    </row>
    <row r="388" spans="1:21">
      <c r="A388" s="4">
        <v>1005</v>
      </c>
      <c r="B388" s="7" t="str">
        <f>VLOOKUP($A388,SkillEnum!$A$2:$C$1020,2,FALSE)</f>
        <v>SI_SA_ES_TRIPLE_GEYSER</v>
      </c>
      <c r="C388" s="7">
        <v>7</v>
      </c>
      <c r="D388" s="2" t="str">
        <f>VLOOKUP($C388,SkillEnum!$D$2:$E$10,2,FALSE)</f>
        <v>ST_SPECIAL_ACTIVE</v>
      </c>
      <c r="E388" s="7" t="str">
        <f>VLOOKUP($A388,SkillEnum!$A$2:$C$1020,3,FALSE)</f>
        <v>트리플 게이저</v>
      </c>
      <c r="F388" s="7" t="str">
        <f t="shared" si="56"/>
        <v>검을 힘껏 바닥으로 내려쳐 거대한 불기둥을 3개 연속으로 생성해 마법공격력의 693 % 로 연속타격을 한다.</v>
      </c>
      <c r="G388" s="2">
        <v>7</v>
      </c>
      <c r="H388" s="2">
        <v>1.75</v>
      </c>
      <c r="I388" s="2">
        <v>30</v>
      </c>
      <c r="J388" s="2">
        <v>300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 t="s">
        <v>435</v>
      </c>
      <c r="Q388" s="2" t="str">
        <f t="shared" si="57"/>
        <v>SI_SA_ES_TRIPLE_GEYSER</v>
      </c>
      <c r="R388" s="2" t="b">
        <v>0</v>
      </c>
      <c r="S388" s="2" t="b">
        <v>1</v>
      </c>
      <c r="T388" s="2">
        <v>1</v>
      </c>
    </row>
    <row r="389" spans="1:21">
      <c r="A389" s="4">
        <v>1005</v>
      </c>
      <c r="B389" s="7" t="str">
        <f>VLOOKUP($A389,SkillEnum!$A$2:$C$1020,2,FALSE)</f>
        <v>SI_SA_ES_TRIPLE_GEYSER</v>
      </c>
      <c r="C389" s="7">
        <v>7</v>
      </c>
      <c r="D389" s="2" t="str">
        <f>VLOOKUP($C389,SkillEnum!$D$2:$E$10,2,FALSE)</f>
        <v>ST_SPECIAL_ACTIVE</v>
      </c>
      <c r="E389" s="7" t="str">
        <f>VLOOKUP($A389,SkillEnum!$A$2:$C$1020,3,FALSE)</f>
        <v>트리플 게이저</v>
      </c>
      <c r="F389" s="7" t="str">
        <f t="shared" si="56"/>
        <v>검을 힘껏 바닥으로 내려쳐 거대한 불기둥을 3개 연속으로 생성해 마법공격력의 776 % 로 연속타격을 한다.</v>
      </c>
      <c r="G389" s="2">
        <v>8</v>
      </c>
      <c r="H389" s="2">
        <v>1.96</v>
      </c>
      <c r="I389" s="2">
        <v>30</v>
      </c>
      <c r="J389" s="2">
        <v>300</v>
      </c>
      <c r="K389" s="2">
        <v>0</v>
      </c>
      <c r="L389" s="2">
        <v>0</v>
      </c>
      <c r="M389" s="2">
        <v>0</v>
      </c>
      <c r="N389" s="2">
        <v>0</v>
      </c>
      <c r="O389" s="2">
        <v>0</v>
      </c>
      <c r="P389" s="2" t="s">
        <v>435</v>
      </c>
      <c r="Q389" s="2" t="str">
        <f t="shared" si="57"/>
        <v>SI_SA_ES_TRIPLE_GEYSER</v>
      </c>
      <c r="R389" s="2" t="b">
        <v>0</v>
      </c>
      <c r="S389" s="2" t="b">
        <v>1</v>
      </c>
      <c r="T389" s="2">
        <v>1</v>
      </c>
    </row>
    <row r="390" spans="1:21">
      <c r="A390" s="4">
        <v>1005</v>
      </c>
      <c r="B390" s="7" t="str">
        <f>VLOOKUP($A390,SkillEnum!$A$2:$C$1020,2,FALSE)</f>
        <v>SI_SA_ES_TRIPLE_GEYSER</v>
      </c>
      <c r="C390" s="7">
        <v>7</v>
      </c>
      <c r="D390" s="2" t="str">
        <f>VLOOKUP($C390,SkillEnum!$D$2:$E$10,2,FALSE)</f>
        <v>ST_SPECIAL_ACTIVE</v>
      </c>
      <c r="E390" s="7" t="str">
        <f>VLOOKUP($A390,SkillEnum!$A$2:$C$1020,3,FALSE)</f>
        <v>트리플 게이저</v>
      </c>
      <c r="F390" s="7" t="str">
        <f t="shared" si="56"/>
        <v>검을 힘껏 바닥으로 내려쳐 거대한 불기둥을 3개 연속으로 생성해 마법공격력의 887 % 로 연속타격을 한다.</v>
      </c>
      <c r="G390" s="2">
        <v>9</v>
      </c>
      <c r="H390" s="2">
        <v>2.2400000000000002</v>
      </c>
      <c r="I390" s="2">
        <v>30</v>
      </c>
      <c r="J390" s="2">
        <v>300</v>
      </c>
      <c r="K390" s="2">
        <v>0</v>
      </c>
      <c r="L390" s="2">
        <v>0</v>
      </c>
      <c r="M390" s="2">
        <v>0</v>
      </c>
      <c r="N390" s="2">
        <v>0</v>
      </c>
      <c r="O390" s="2">
        <v>0</v>
      </c>
      <c r="P390" s="2" t="s">
        <v>435</v>
      </c>
      <c r="Q390" s="2" t="str">
        <f t="shared" si="57"/>
        <v>SI_SA_ES_TRIPLE_GEYSER</v>
      </c>
      <c r="R390" s="2" t="b">
        <v>0</v>
      </c>
      <c r="S390" s="2" t="b">
        <v>1</v>
      </c>
      <c r="T390" s="2">
        <v>1</v>
      </c>
    </row>
    <row r="391" spans="1:21" s="5" customFormat="1">
      <c r="A391" s="6">
        <v>1005</v>
      </c>
      <c r="B391" s="8" t="str">
        <f>VLOOKUP($A391,SkillEnum!$A$2:$C$1020,2,FALSE)</f>
        <v>SI_SA_ES_TRIPLE_GEYSER</v>
      </c>
      <c r="C391" s="8">
        <v>7</v>
      </c>
      <c r="D391" s="5" t="str">
        <f>VLOOKUP($C391,SkillEnum!$D$2:$E$10,2,FALSE)</f>
        <v>ST_SPECIAL_ACTIVE</v>
      </c>
      <c r="E391" s="8" t="str">
        <f>VLOOKUP($A391,SkillEnum!$A$2:$C$1020,3,FALSE)</f>
        <v>트리플 게이저</v>
      </c>
      <c r="F391" s="8" t="str">
        <f t="shared" si="56"/>
        <v>검을 힘껏 바닥으로 내려쳐 거대한 불기둥을 3개 연속으로 생성해 마법공격력의 998 % 로 연속타격을 한다.</v>
      </c>
      <c r="G391" s="5">
        <v>10</v>
      </c>
      <c r="H391" s="5">
        <v>2.52</v>
      </c>
      <c r="I391" s="5">
        <v>30</v>
      </c>
      <c r="J391" s="5">
        <v>300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2" t="s">
        <v>435</v>
      </c>
      <c r="Q391" s="2" t="str">
        <f t="shared" si="57"/>
        <v>SI_SA_ES_TRIPLE_GEYSER</v>
      </c>
      <c r="R391" s="5" t="b">
        <v>0</v>
      </c>
      <c r="S391" s="2" t="b">
        <v>1</v>
      </c>
      <c r="T391" s="2">
        <v>1</v>
      </c>
      <c r="U391" s="2"/>
    </row>
    <row r="392" spans="1:21" s="10" customFormat="1">
      <c r="A392" s="9">
        <v>1006</v>
      </c>
      <c r="B392" s="11" t="str">
        <f>VLOOKUP($A392,SkillEnum!$A$2:$C$1020,2,FALSE)</f>
        <v>SI_SA_ESK_AIR_SLASH</v>
      </c>
      <c r="C392" s="11">
        <v>7</v>
      </c>
      <c r="D392" s="10" t="str">
        <f>VLOOKUP($C392,SkillEnum!$D$2:$E$10,2,FALSE)</f>
        <v>ST_SPECIAL_ACTIVE</v>
      </c>
      <c r="E392" s="11" t="str">
        <f>VLOOKUP($A392,SkillEnum!$A$2:$C$1020,3,FALSE)</f>
        <v>에어 슬래시</v>
      </c>
      <c r="F392" s="11" t="str">
        <f>"물리 공격력의 "&amp;ROUND(2.9*1.2*H392*100,0)&amp;" %에 달하는 두번의 강한베기 공격으로 적을 공중으로 띄워 추가 공격이 가능한 상태로 만든다."</f>
        <v>물리 공격력의 244 %에 달하는 두번의 강한베기 공격으로 적을 공중으로 띄워 추가 공격이 가능한 상태로 만든다.</v>
      </c>
      <c r="G392" s="10">
        <v>1</v>
      </c>
      <c r="H392" s="2">
        <v>0.7</v>
      </c>
      <c r="I392" s="2">
        <v>3</v>
      </c>
      <c r="J392" s="2">
        <v>110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 t="s">
        <v>435</v>
      </c>
      <c r="Q392" s="2" t="str">
        <f t="shared" si="57"/>
        <v>SI_SA_ESK_AIR_SLASH</v>
      </c>
      <c r="R392" s="2" t="b">
        <v>0</v>
      </c>
      <c r="S392" s="2" t="b">
        <v>1</v>
      </c>
      <c r="T392" s="2">
        <v>1</v>
      </c>
      <c r="U392" s="2"/>
    </row>
    <row r="393" spans="1:21">
      <c r="A393" s="4">
        <v>1006</v>
      </c>
      <c r="B393" s="7" t="str">
        <f>VLOOKUP($A393,SkillEnum!$A$2:$C$1020,2,FALSE)</f>
        <v>SI_SA_ESK_AIR_SLASH</v>
      </c>
      <c r="C393" s="7">
        <v>7</v>
      </c>
      <c r="D393" s="2" t="str">
        <f>VLOOKUP($C393,SkillEnum!$D$2:$E$10,2,FALSE)</f>
        <v>ST_SPECIAL_ACTIVE</v>
      </c>
      <c r="E393" s="7" t="str">
        <f>VLOOKUP($A393,SkillEnum!$A$2:$C$1020,3,FALSE)</f>
        <v>에어 슬래시</v>
      </c>
      <c r="F393" s="7" t="str">
        <f t="shared" ref="F393:F401" si="58">"물리 공격력의 "&amp;ROUND(2.9*1.2*H393*100,0)&amp;" %에 달하는 두번의 강한베기 공격으로 적을 공중으로 띄워 추가 공격이 가능한 상태로 만든다."</f>
        <v>물리 공격력의 292 %에 달하는 두번의 강한베기 공격으로 적을 공중으로 띄워 추가 공격이 가능한 상태로 만든다.</v>
      </c>
      <c r="G393" s="2">
        <v>2</v>
      </c>
      <c r="H393" s="2">
        <v>0.84</v>
      </c>
      <c r="I393" s="2">
        <v>3</v>
      </c>
      <c r="J393" s="2">
        <v>110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 t="s">
        <v>435</v>
      </c>
      <c r="Q393" s="2" t="str">
        <f t="shared" si="57"/>
        <v>SI_SA_ESK_AIR_SLASH</v>
      </c>
      <c r="R393" s="2" t="b">
        <v>0</v>
      </c>
      <c r="S393" s="2" t="b">
        <v>1</v>
      </c>
      <c r="T393" s="2">
        <v>1</v>
      </c>
    </row>
    <row r="394" spans="1:21">
      <c r="A394" s="4">
        <v>1006</v>
      </c>
      <c r="B394" s="7" t="str">
        <f>VLOOKUP($A394,SkillEnum!$A$2:$C$1020,2,FALSE)</f>
        <v>SI_SA_ESK_AIR_SLASH</v>
      </c>
      <c r="C394" s="7">
        <v>7</v>
      </c>
      <c r="D394" s="2" t="str">
        <f>VLOOKUP($C394,SkillEnum!$D$2:$E$10,2,FALSE)</f>
        <v>ST_SPECIAL_ACTIVE</v>
      </c>
      <c r="E394" s="7" t="str">
        <f>VLOOKUP($A394,SkillEnum!$A$2:$C$1020,3,FALSE)</f>
        <v>에어 슬래시</v>
      </c>
      <c r="F394" s="7" t="str">
        <f t="shared" si="58"/>
        <v>물리 공격력의 341 %에 달하는 두번의 강한베기 공격으로 적을 공중으로 띄워 추가 공격이 가능한 상태로 만든다.</v>
      </c>
      <c r="G394" s="2">
        <v>3</v>
      </c>
      <c r="H394" s="2">
        <v>0.98</v>
      </c>
      <c r="I394" s="2">
        <v>3</v>
      </c>
      <c r="J394" s="2">
        <v>110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 t="s">
        <v>435</v>
      </c>
      <c r="Q394" s="2" t="str">
        <f t="shared" si="57"/>
        <v>SI_SA_ESK_AIR_SLASH</v>
      </c>
      <c r="R394" s="2" t="b">
        <v>0</v>
      </c>
      <c r="S394" s="2" t="b">
        <v>1</v>
      </c>
      <c r="T394" s="2">
        <v>1</v>
      </c>
    </row>
    <row r="395" spans="1:21">
      <c r="A395" s="4">
        <v>1006</v>
      </c>
      <c r="B395" s="7" t="str">
        <f>VLOOKUP($A395,SkillEnum!$A$2:$C$1020,2,FALSE)</f>
        <v>SI_SA_ESK_AIR_SLASH</v>
      </c>
      <c r="C395" s="7">
        <v>7</v>
      </c>
      <c r="D395" s="2" t="str">
        <f>VLOOKUP($C395,SkillEnum!$D$2:$E$10,2,FALSE)</f>
        <v>ST_SPECIAL_ACTIVE</v>
      </c>
      <c r="E395" s="7" t="str">
        <f>VLOOKUP($A395,SkillEnum!$A$2:$C$1020,3,FALSE)</f>
        <v>에어 슬래시</v>
      </c>
      <c r="F395" s="7" t="str">
        <f t="shared" si="58"/>
        <v>물리 공격력의 390 %에 달하는 두번의 강한베기 공격으로 적을 공중으로 띄워 추가 공격이 가능한 상태로 만든다.</v>
      </c>
      <c r="G395" s="2">
        <v>4</v>
      </c>
      <c r="H395" s="2">
        <v>1.1200000000000001</v>
      </c>
      <c r="I395" s="2">
        <v>3</v>
      </c>
      <c r="J395" s="2">
        <v>110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 t="s">
        <v>435</v>
      </c>
      <c r="Q395" s="2" t="str">
        <f t="shared" si="57"/>
        <v>SI_SA_ESK_AIR_SLASH</v>
      </c>
      <c r="R395" s="2" t="b">
        <v>0</v>
      </c>
      <c r="S395" s="2" t="b">
        <v>1</v>
      </c>
      <c r="T395" s="2">
        <v>1</v>
      </c>
    </row>
    <row r="396" spans="1:21">
      <c r="A396" s="4">
        <v>1006</v>
      </c>
      <c r="B396" s="7" t="str">
        <f>VLOOKUP($A396,SkillEnum!$A$2:$C$1020,2,FALSE)</f>
        <v>SI_SA_ESK_AIR_SLASH</v>
      </c>
      <c r="C396" s="7">
        <v>7</v>
      </c>
      <c r="D396" s="2" t="str">
        <f>VLOOKUP($C396,SkillEnum!$D$2:$E$10,2,FALSE)</f>
        <v>ST_SPECIAL_ACTIVE</v>
      </c>
      <c r="E396" s="7" t="str">
        <f>VLOOKUP($A396,SkillEnum!$A$2:$C$1020,3,FALSE)</f>
        <v>에어 슬래시</v>
      </c>
      <c r="F396" s="7" t="str">
        <f t="shared" si="58"/>
        <v>물리 공격력의 463 %에 달하는 두번의 강한베기 공격으로 적을 공중으로 띄워 추가 공격이 가능한 상태로 만든다.</v>
      </c>
      <c r="G396" s="2">
        <v>5</v>
      </c>
      <c r="H396" s="2">
        <v>1.33</v>
      </c>
      <c r="I396" s="2">
        <v>3</v>
      </c>
      <c r="J396" s="2">
        <v>110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 t="s">
        <v>435</v>
      </c>
      <c r="Q396" s="2" t="str">
        <f t="shared" si="57"/>
        <v>SI_SA_ESK_AIR_SLASH</v>
      </c>
      <c r="R396" s="2" t="b">
        <v>0</v>
      </c>
      <c r="S396" s="2" t="b">
        <v>1</v>
      </c>
      <c r="T396" s="2">
        <v>1</v>
      </c>
    </row>
    <row r="397" spans="1:21">
      <c r="A397" s="4">
        <v>1006</v>
      </c>
      <c r="B397" s="7" t="str">
        <f>VLOOKUP($A397,SkillEnum!$A$2:$C$1020,2,FALSE)</f>
        <v>SI_SA_ESK_AIR_SLASH</v>
      </c>
      <c r="C397" s="7">
        <v>7</v>
      </c>
      <c r="D397" s="2" t="str">
        <f>VLOOKUP($C397,SkillEnum!$D$2:$E$10,2,FALSE)</f>
        <v>ST_SPECIAL_ACTIVE</v>
      </c>
      <c r="E397" s="7" t="str">
        <f>VLOOKUP($A397,SkillEnum!$A$2:$C$1020,3,FALSE)</f>
        <v>에어 슬래시</v>
      </c>
      <c r="F397" s="7" t="str">
        <f t="shared" si="58"/>
        <v>물리 공격력의 536 %에 달하는 두번의 강한베기 공격으로 적을 공중으로 띄워 추가 공격이 가능한 상태로 만든다.</v>
      </c>
      <c r="G397" s="2">
        <v>6</v>
      </c>
      <c r="H397" s="2">
        <v>1.54</v>
      </c>
      <c r="I397" s="2">
        <v>3</v>
      </c>
      <c r="J397" s="2">
        <v>110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 t="s">
        <v>435</v>
      </c>
      <c r="Q397" s="2" t="str">
        <f t="shared" si="57"/>
        <v>SI_SA_ESK_AIR_SLASH</v>
      </c>
      <c r="R397" s="2" t="b">
        <v>0</v>
      </c>
      <c r="S397" s="2" t="b">
        <v>1</v>
      </c>
      <c r="T397" s="2">
        <v>1</v>
      </c>
    </row>
    <row r="398" spans="1:21">
      <c r="A398" s="4">
        <v>1006</v>
      </c>
      <c r="B398" s="7" t="str">
        <f>VLOOKUP($A398,SkillEnum!$A$2:$C$1020,2,FALSE)</f>
        <v>SI_SA_ESK_AIR_SLASH</v>
      </c>
      <c r="C398" s="7">
        <v>7</v>
      </c>
      <c r="D398" s="2" t="str">
        <f>VLOOKUP($C398,SkillEnum!$D$2:$E$10,2,FALSE)</f>
        <v>ST_SPECIAL_ACTIVE</v>
      </c>
      <c r="E398" s="7" t="str">
        <f>VLOOKUP($A398,SkillEnum!$A$2:$C$1020,3,FALSE)</f>
        <v>에어 슬래시</v>
      </c>
      <c r="F398" s="7" t="str">
        <f t="shared" si="58"/>
        <v>물리 공격력의 609 %에 달하는 두번의 강한베기 공격으로 적을 공중으로 띄워 추가 공격이 가능한 상태로 만든다.</v>
      </c>
      <c r="G398" s="2">
        <v>7</v>
      </c>
      <c r="H398" s="2">
        <v>1.75</v>
      </c>
      <c r="I398" s="2">
        <v>3</v>
      </c>
      <c r="J398" s="2">
        <v>110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 t="s">
        <v>435</v>
      </c>
      <c r="Q398" s="2" t="str">
        <f t="shared" si="57"/>
        <v>SI_SA_ESK_AIR_SLASH</v>
      </c>
      <c r="R398" s="2" t="b">
        <v>0</v>
      </c>
      <c r="S398" s="2" t="b">
        <v>1</v>
      </c>
      <c r="T398" s="2">
        <v>1</v>
      </c>
    </row>
    <row r="399" spans="1:21">
      <c r="A399" s="4">
        <v>1006</v>
      </c>
      <c r="B399" s="7" t="str">
        <f>VLOOKUP($A399,SkillEnum!$A$2:$C$1020,2,FALSE)</f>
        <v>SI_SA_ESK_AIR_SLASH</v>
      </c>
      <c r="C399" s="7">
        <v>7</v>
      </c>
      <c r="D399" s="2" t="str">
        <f>VLOOKUP($C399,SkillEnum!$D$2:$E$10,2,FALSE)</f>
        <v>ST_SPECIAL_ACTIVE</v>
      </c>
      <c r="E399" s="7" t="str">
        <f>VLOOKUP($A399,SkillEnum!$A$2:$C$1020,3,FALSE)</f>
        <v>에어 슬래시</v>
      </c>
      <c r="F399" s="7" t="str">
        <f t="shared" si="58"/>
        <v>물리 공격력의 682 %에 달하는 두번의 강한베기 공격으로 적을 공중으로 띄워 추가 공격이 가능한 상태로 만든다.</v>
      </c>
      <c r="G399" s="2">
        <v>8</v>
      </c>
      <c r="H399" s="2">
        <v>1.96</v>
      </c>
      <c r="I399" s="2">
        <v>3</v>
      </c>
      <c r="J399" s="2">
        <v>110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 t="s">
        <v>435</v>
      </c>
      <c r="Q399" s="2" t="str">
        <f t="shared" si="57"/>
        <v>SI_SA_ESK_AIR_SLASH</v>
      </c>
      <c r="R399" s="2" t="b">
        <v>0</v>
      </c>
      <c r="S399" s="2" t="b">
        <v>1</v>
      </c>
      <c r="T399" s="2">
        <v>1</v>
      </c>
    </row>
    <row r="400" spans="1:21">
      <c r="A400" s="4">
        <v>1006</v>
      </c>
      <c r="B400" s="7" t="str">
        <f>VLOOKUP($A400,SkillEnum!$A$2:$C$1020,2,FALSE)</f>
        <v>SI_SA_ESK_AIR_SLASH</v>
      </c>
      <c r="C400" s="7">
        <v>7</v>
      </c>
      <c r="D400" s="2" t="str">
        <f>VLOOKUP($C400,SkillEnum!$D$2:$E$10,2,FALSE)</f>
        <v>ST_SPECIAL_ACTIVE</v>
      </c>
      <c r="E400" s="7" t="str">
        <f>VLOOKUP($A400,SkillEnum!$A$2:$C$1020,3,FALSE)</f>
        <v>에어 슬래시</v>
      </c>
      <c r="F400" s="7" t="str">
        <f t="shared" si="58"/>
        <v>물리 공격력의 780 %에 달하는 두번의 강한베기 공격으로 적을 공중으로 띄워 추가 공격이 가능한 상태로 만든다.</v>
      </c>
      <c r="G400" s="2">
        <v>9</v>
      </c>
      <c r="H400" s="2">
        <v>2.2400000000000002</v>
      </c>
      <c r="I400" s="2">
        <v>3</v>
      </c>
      <c r="J400" s="2">
        <v>110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 t="s">
        <v>435</v>
      </c>
      <c r="Q400" s="2" t="str">
        <f t="shared" si="57"/>
        <v>SI_SA_ESK_AIR_SLASH</v>
      </c>
      <c r="R400" s="2" t="b">
        <v>0</v>
      </c>
      <c r="S400" s="2" t="b">
        <v>1</v>
      </c>
      <c r="T400" s="2">
        <v>1</v>
      </c>
    </row>
    <row r="401" spans="1:21" s="5" customFormat="1">
      <c r="A401" s="6">
        <v>1006</v>
      </c>
      <c r="B401" s="8" t="str">
        <f>VLOOKUP($A401,SkillEnum!$A$2:$C$1020,2,FALSE)</f>
        <v>SI_SA_ESK_AIR_SLASH</v>
      </c>
      <c r="C401" s="8">
        <v>7</v>
      </c>
      <c r="D401" s="5" t="str">
        <f>VLOOKUP($C401,SkillEnum!$D$2:$E$10,2,FALSE)</f>
        <v>ST_SPECIAL_ACTIVE</v>
      </c>
      <c r="E401" s="8" t="str">
        <f>VLOOKUP($A401,SkillEnum!$A$2:$C$1020,3,FALSE)</f>
        <v>에어 슬래시</v>
      </c>
      <c r="F401" s="8" t="str">
        <f t="shared" si="58"/>
        <v>물리 공격력의 877 %에 달하는 두번의 강한베기 공격으로 적을 공중으로 띄워 추가 공격이 가능한 상태로 만든다.</v>
      </c>
      <c r="G401" s="5">
        <v>10</v>
      </c>
      <c r="H401" s="5">
        <v>2.52</v>
      </c>
      <c r="I401" s="5">
        <v>3</v>
      </c>
      <c r="J401" s="5">
        <v>110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2" t="s">
        <v>435</v>
      </c>
      <c r="Q401" s="2" t="str">
        <f t="shared" si="57"/>
        <v>SI_SA_ESK_AIR_SLASH</v>
      </c>
      <c r="R401" s="5" t="b">
        <v>0</v>
      </c>
      <c r="S401" s="2" t="b">
        <v>1</v>
      </c>
      <c r="T401" s="2">
        <v>1</v>
      </c>
      <c r="U401" s="2"/>
    </row>
    <row r="402" spans="1:21" s="10" customFormat="1">
      <c r="A402" s="9">
        <v>1007</v>
      </c>
      <c r="B402" s="11" t="str">
        <f>VLOOKUP($A402,SkillEnum!$A$2:$C$1020,2,FALSE)</f>
        <v>SI_SA_ESK_SPIRAL_BLAST</v>
      </c>
      <c r="C402" s="11">
        <v>7</v>
      </c>
      <c r="D402" s="10" t="str">
        <f>VLOOKUP($C402,SkillEnum!$D$2:$E$10,2,FALSE)</f>
        <v>ST_SPECIAL_ACTIVE</v>
      </c>
      <c r="E402" s="11" t="str">
        <f>VLOOKUP($A402,SkillEnum!$A$2:$C$1020,3,FALSE)</f>
        <v>스파이럴 블래스트</v>
      </c>
      <c r="F402" s="11" t="str">
        <f>"강하게 베어 물리공격력의 "&amp;ROUND(4*H402*100,0)&amp;" % 로 첫타 가격 후 검의 기운을 전방으로 뿌려 마법공격력의 "&amp;ROUND(2.6*H402*100,0)&amp;" %로 연속타격을 한다."</f>
        <v>강하게 베어 물리공격력의 280 % 로 첫타 가격 후 검의 기운을 전방으로 뿌려 마법공격력의 182 %로 연속타격을 한다.</v>
      </c>
      <c r="G402" s="10">
        <v>1</v>
      </c>
      <c r="H402" s="2">
        <v>0.7</v>
      </c>
      <c r="I402" s="2">
        <v>6</v>
      </c>
      <c r="J402" s="2">
        <v>150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 t="s">
        <v>435</v>
      </c>
      <c r="Q402" s="2" t="str">
        <f t="shared" si="57"/>
        <v>SI_SA_ESK_SPIRAL_BLAST</v>
      </c>
      <c r="R402" s="2" t="b">
        <v>0</v>
      </c>
      <c r="S402" s="2" t="b">
        <v>1</v>
      </c>
      <c r="T402" s="2">
        <v>1</v>
      </c>
      <c r="U402" s="2"/>
    </row>
    <row r="403" spans="1:21">
      <c r="A403" s="4">
        <v>1007</v>
      </c>
      <c r="B403" s="7" t="str">
        <f>VLOOKUP($A403,SkillEnum!$A$2:$C$1020,2,FALSE)</f>
        <v>SI_SA_ESK_SPIRAL_BLAST</v>
      </c>
      <c r="C403" s="7">
        <v>7</v>
      </c>
      <c r="D403" s="2" t="str">
        <f>VLOOKUP($C403,SkillEnum!$D$2:$E$10,2,FALSE)</f>
        <v>ST_SPECIAL_ACTIVE</v>
      </c>
      <c r="E403" s="7" t="str">
        <f>VLOOKUP($A403,SkillEnum!$A$2:$C$1020,3,FALSE)</f>
        <v>스파이럴 블래스트</v>
      </c>
      <c r="F403" s="7" t="str">
        <f t="shared" ref="F403:F411" si="59">"강하게 베어 물리공격력의 "&amp;ROUND(4*H403*100,0)&amp;" % 로 첫타 가격 후 검의 기운을 전방으로 뿌려 마법공격력의 "&amp;ROUND(2.6*H403*100,0)&amp;" %로 연속타격을 한다."</f>
        <v>강하게 베어 물리공격력의 336 % 로 첫타 가격 후 검의 기운을 전방으로 뿌려 마법공격력의 218 %로 연속타격을 한다.</v>
      </c>
      <c r="G403" s="2">
        <v>2</v>
      </c>
      <c r="H403" s="2">
        <v>0.84</v>
      </c>
      <c r="I403" s="2">
        <v>6</v>
      </c>
      <c r="J403" s="2">
        <v>150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 t="s">
        <v>435</v>
      </c>
      <c r="Q403" s="2" t="str">
        <f t="shared" si="57"/>
        <v>SI_SA_ESK_SPIRAL_BLAST</v>
      </c>
      <c r="R403" s="2" t="b">
        <v>0</v>
      </c>
      <c r="S403" s="2" t="b">
        <v>1</v>
      </c>
      <c r="T403" s="2">
        <v>1</v>
      </c>
    </row>
    <row r="404" spans="1:21">
      <c r="A404" s="4">
        <v>1007</v>
      </c>
      <c r="B404" s="7" t="str">
        <f>VLOOKUP($A404,SkillEnum!$A$2:$C$1020,2,FALSE)</f>
        <v>SI_SA_ESK_SPIRAL_BLAST</v>
      </c>
      <c r="C404" s="7">
        <v>7</v>
      </c>
      <c r="D404" s="2" t="str">
        <f>VLOOKUP($C404,SkillEnum!$D$2:$E$10,2,FALSE)</f>
        <v>ST_SPECIAL_ACTIVE</v>
      </c>
      <c r="E404" s="7" t="str">
        <f>VLOOKUP($A404,SkillEnum!$A$2:$C$1020,3,FALSE)</f>
        <v>스파이럴 블래스트</v>
      </c>
      <c r="F404" s="7" t="str">
        <f t="shared" si="59"/>
        <v>강하게 베어 물리공격력의 392 % 로 첫타 가격 후 검의 기운을 전방으로 뿌려 마법공격력의 255 %로 연속타격을 한다.</v>
      </c>
      <c r="G404" s="2">
        <v>3</v>
      </c>
      <c r="H404" s="2">
        <v>0.98</v>
      </c>
      <c r="I404" s="2">
        <v>6</v>
      </c>
      <c r="J404" s="2">
        <v>150</v>
      </c>
      <c r="K404" s="2">
        <v>0</v>
      </c>
      <c r="L404" s="2">
        <v>0</v>
      </c>
      <c r="M404" s="2">
        <v>0</v>
      </c>
      <c r="N404" s="2">
        <v>0</v>
      </c>
      <c r="O404" s="2">
        <v>0</v>
      </c>
      <c r="P404" s="2" t="s">
        <v>435</v>
      </c>
      <c r="Q404" s="2" t="str">
        <f t="shared" si="57"/>
        <v>SI_SA_ESK_SPIRAL_BLAST</v>
      </c>
      <c r="R404" s="2" t="b">
        <v>0</v>
      </c>
      <c r="S404" s="2" t="b">
        <v>1</v>
      </c>
      <c r="T404" s="2">
        <v>1</v>
      </c>
    </row>
    <row r="405" spans="1:21">
      <c r="A405" s="4">
        <v>1007</v>
      </c>
      <c r="B405" s="7" t="str">
        <f>VLOOKUP($A405,SkillEnum!$A$2:$C$1020,2,FALSE)</f>
        <v>SI_SA_ESK_SPIRAL_BLAST</v>
      </c>
      <c r="C405" s="7">
        <v>7</v>
      </c>
      <c r="D405" s="2" t="str">
        <f>VLOOKUP($C405,SkillEnum!$D$2:$E$10,2,FALSE)</f>
        <v>ST_SPECIAL_ACTIVE</v>
      </c>
      <c r="E405" s="7" t="str">
        <f>VLOOKUP($A405,SkillEnum!$A$2:$C$1020,3,FALSE)</f>
        <v>스파이럴 블래스트</v>
      </c>
      <c r="F405" s="7" t="str">
        <f t="shared" si="59"/>
        <v>강하게 베어 물리공격력의 448 % 로 첫타 가격 후 검의 기운을 전방으로 뿌려 마법공격력의 291 %로 연속타격을 한다.</v>
      </c>
      <c r="G405" s="2">
        <v>4</v>
      </c>
      <c r="H405" s="2">
        <v>1.1200000000000001</v>
      </c>
      <c r="I405" s="2">
        <v>6</v>
      </c>
      <c r="J405" s="2">
        <v>150</v>
      </c>
      <c r="K405" s="2">
        <v>0</v>
      </c>
      <c r="L405" s="2">
        <v>0</v>
      </c>
      <c r="M405" s="2">
        <v>0</v>
      </c>
      <c r="N405" s="2">
        <v>0</v>
      </c>
      <c r="O405" s="2">
        <v>0</v>
      </c>
      <c r="P405" s="2" t="s">
        <v>435</v>
      </c>
      <c r="Q405" s="2" t="str">
        <f t="shared" si="57"/>
        <v>SI_SA_ESK_SPIRAL_BLAST</v>
      </c>
      <c r="R405" s="2" t="b">
        <v>0</v>
      </c>
      <c r="S405" s="2" t="b">
        <v>1</v>
      </c>
      <c r="T405" s="2">
        <v>1</v>
      </c>
    </row>
    <row r="406" spans="1:21">
      <c r="A406" s="4">
        <v>1007</v>
      </c>
      <c r="B406" s="7" t="str">
        <f>VLOOKUP($A406,SkillEnum!$A$2:$C$1020,2,FALSE)</f>
        <v>SI_SA_ESK_SPIRAL_BLAST</v>
      </c>
      <c r="C406" s="7">
        <v>7</v>
      </c>
      <c r="D406" s="2" t="str">
        <f>VLOOKUP($C406,SkillEnum!$D$2:$E$10,2,FALSE)</f>
        <v>ST_SPECIAL_ACTIVE</v>
      </c>
      <c r="E406" s="7" t="str">
        <f>VLOOKUP($A406,SkillEnum!$A$2:$C$1020,3,FALSE)</f>
        <v>스파이럴 블래스트</v>
      </c>
      <c r="F406" s="7" t="str">
        <f t="shared" si="59"/>
        <v>강하게 베어 물리공격력의 532 % 로 첫타 가격 후 검의 기운을 전방으로 뿌려 마법공격력의 346 %로 연속타격을 한다.</v>
      </c>
      <c r="G406" s="2">
        <v>5</v>
      </c>
      <c r="H406" s="2">
        <v>1.33</v>
      </c>
      <c r="I406" s="2">
        <v>6</v>
      </c>
      <c r="J406" s="2">
        <v>150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 t="s">
        <v>435</v>
      </c>
      <c r="Q406" s="2" t="str">
        <f t="shared" si="57"/>
        <v>SI_SA_ESK_SPIRAL_BLAST</v>
      </c>
      <c r="R406" s="2" t="b">
        <v>0</v>
      </c>
      <c r="S406" s="2" t="b">
        <v>1</v>
      </c>
      <c r="T406" s="2">
        <v>1</v>
      </c>
    </row>
    <row r="407" spans="1:21">
      <c r="A407" s="4">
        <v>1007</v>
      </c>
      <c r="B407" s="7" t="str">
        <f>VLOOKUP($A407,SkillEnum!$A$2:$C$1020,2,FALSE)</f>
        <v>SI_SA_ESK_SPIRAL_BLAST</v>
      </c>
      <c r="C407" s="7">
        <v>7</v>
      </c>
      <c r="D407" s="2" t="str">
        <f>VLOOKUP($C407,SkillEnum!$D$2:$E$10,2,FALSE)</f>
        <v>ST_SPECIAL_ACTIVE</v>
      </c>
      <c r="E407" s="7" t="str">
        <f>VLOOKUP($A407,SkillEnum!$A$2:$C$1020,3,FALSE)</f>
        <v>스파이럴 블래스트</v>
      </c>
      <c r="F407" s="7" t="str">
        <f t="shared" si="59"/>
        <v>강하게 베어 물리공격력의 616 % 로 첫타 가격 후 검의 기운을 전방으로 뿌려 마법공격력의 400 %로 연속타격을 한다.</v>
      </c>
      <c r="G407" s="2">
        <v>6</v>
      </c>
      <c r="H407" s="2">
        <v>1.54</v>
      </c>
      <c r="I407" s="2">
        <v>6</v>
      </c>
      <c r="J407" s="2">
        <v>150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 t="s">
        <v>435</v>
      </c>
      <c r="Q407" s="2" t="str">
        <f t="shared" si="57"/>
        <v>SI_SA_ESK_SPIRAL_BLAST</v>
      </c>
      <c r="R407" s="2" t="b">
        <v>0</v>
      </c>
      <c r="S407" s="2" t="b">
        <v>1</v>
      </c>
      <c r="T407" s="2">
        <v>1</v>
      </c>
    </row>
    <row r="408" spans="1:21">
      <c r="A408" s="4">
        <v>1007</v>
      </c>
      <c r="B408" s="7" t="str">
        <f>VLOOKUP($A408,SkillEnum!$A$2:$C$1020,2,FALSE)</f>
        <v>SI_SA_ESK_SPIRAL_BLAST</v>
      </c>
      <c r="C408" s="7">
        <v>7</v>
      </c>
      <c r="D408" s="2" t="str">
        <f>VLOOKUP($C408,SkillEnum!$D$2:$E$10,2,FALSE)</f>
        <v>ST_SPECIAL_ACTIVE</v>
      </c>
      <c r="E408" s="7" t="str">
        <f>VLOOKUP($A408,SkillEnum!$A$2:$C$1020,3,FALSE)</f>
        <v>스파이럴 블래스트</v>
      </c>
      <c r="F408" s="7" t="str">
        <f t="shared" si="59"/>
        <v>강하게 베어 물리공격력의 700 % 로 첫타 가격 후 검의 기운을 전방으로 뿌려 마법공격력의 455 %로 연속타격을 한다.</v>
      </c>
      <c r="G408" s="2">
        <v>7</v>
      </c>
      <c r="H408" s="2">
        <v>1.75</v>
      </c>
      <c r="I408" s="2">
        <v>6</v>
      </c>
      <c r="J408" s="2">
        <v>150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 t="s">
        <v>435</v>
      </c>
      <c r="Q408" s="2" t="str">
        <f t="shared" si="57"/>
        <v>SI_SA_ESK_SPIRAL_BLAST</v>
      </c>
      <c r="R408" s="2" t="b">
        <v>0</v>
      </c>
      <c r="S408" s="2" t="b">
        <v>1</v>
      </c>
      <c r="T408" s="2">
        <v>1</v>
      </c>
    </row>
    <row r="409" spans="1:21">
      <c r="A409" s="4">
        <v>1007</v>
      </c>
      <c r="B409" s="7" t="str">
        <f>VLOOKUP($A409,SkillEnum!$A$2:$C$1020,2,FALSE)</f>
        <v>SI_SA_ESK_SPIRAL_BLAST</v>
      </c>
      <c r="C409" s="7">
        <v>7</v>
      </c>
      <c r="D409" s="2" t="str">
        <f>VLOOKUP($C409,SkillEnum!$D$2:$E$10,2,FALSE)</f>
        <v>ST_SPECIAL_ACTIVE</v>
      </c>
      <c r="E409" s="7" t="str">
        <f>VLOOKUP($A409,SkillEnum!$A$2:$C$1020,3,FALSE)</f>
        <v>스파이럴 블래스트</v>
      </c>
      <c r="F409" s="7" t="str">
        <f t="shared" si="59"/>
        <v>강하게 베어 물리공격력의 784 % 로 첫타 가격 후 검의 기운을 전방으로 뿌려 마법공격력의 510 %로 연속타격을 한다.</v>
      </c>
      <c r="G409" s="2">
        <v>8</v>
      </c>
      <c r="H409" s="2">
        <v>1.96</v>
      </c>
      <c r="I409" s="2">
        <v>6</v>
      </c>
      <c r="J409" s="2">
        <v>150</v>
      </c>
      <c r="K409" s="2">
        <v>0</v>
      </c>
      <c r="L409" s="2">
        <v>0</v>
      </c>
      <c r="M409" s="2">
        <v>0</v>
      </c>
      <c r="N409" s="2">
        <v>0</v>
      </c>
      <c r="O409" s="2">
        <v>0</v>
      </c>
      <c r="P409" s="2" t="s">
        <v>435</v>
      </c>
      <c r="Q409" s="2" t="str">
        <f t="shared" si="57"/>
        <v>SI_SA_ESK_SPIRAL_BLAST</v>
      </c>
      <c r="R409" s="2" t="b">
        <v>0</v>
      </c>
      <c r="S409" s="2" t="b">
        <v>1</v>
      </c>
      <c r="T409" s="2">
        <v>1</v>
      </c>
    </row>
    <row r="410" spans="1:21">
      <c r="A410" s="4">
        <v>1007</v>
      </c>
      <c r="B410" s="7" t="str">
        <f>VLOOKUP($A410,SkillEnum!$A$2:$C$1020,2,FALSE)</f>
        <v>SI_SA_ESK_SPIRAL_BLAST</v>
      </c>
      <c r="C410" s="7">
        <v>7</v>
      </c>
      <c r="D410" s="2" t="str">
        <f>VLOOKUP($C410,SkillEnum!$D$2:$E$10,2,FALSE)</f>
        <v>ST_SPECIAL_ACTIVE</v>
      </c>
      <c r="E410" s="7" t="str">
        <f>VLOOKUP($A410,SkillEnum!$A$2:$C$1020,3,FALSE)</f>
        <v>스파이럴 블래스트</v>
      </c>
      <c r="F410" s="7" t="str">
        <f t="shared" si="59"/>
        <v>강하게 베어 물리공격력의 896 % 로 첫타 가격 후 검의 기운을 전방으로 뿌려 마법공격력의 582 %로 연속타격을 한다.</v>
      </c>
      <c r="G410" s="2">
        <v>9</v>
      </c>
      <c r="H410" s="2">
        <v>2.2400000000000002</v>
      </c>
      <c r="I410" s="2">
        <v>6</v>
      </c>
      <c r="J410" s="2">
        <v>150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 t="s">
        <v>435</v>
      </c>
      <c r="Q410" s="2" t="str">
        <f t="shared" si="57"/>
        <v>SI_SA_ESK_SPIRAL_BLAST</v>
      </c>
      <c r="R410" s="2" t="b">
        <v>0</v>
      </c>
      <c r="S410" s="2" t="b">
        <v>1</v>
      </c>
      <c r="T410" s="2">
        <v>1</v>
      </c>
    </row>
    <row r="411" spans="1:21" s="5" customFormat="1">
      <c r="A411" s="6">
        <v>1007</v>
      </c>
      <c r="B411" s="8" t="str">
        <f>VLOOKUP($A411,SkillEnum!$A$2:$C$1020,2,FALSE)</f>
        <v>SI_SA_ESK_SPIRAL_BLAST</v>
      </c>
      <c r="C411" s="8">
        <v>7</v>
      </c>
      <c r="D411" s="5" t="str">
        <f>VLOOKUP($C411,SkillEnum!$D$2:$E$10,2,FALSE)</f>
        <v>ST_SPECIAL_ACTIVE</v>
      </c>
      <c r="E411" s="8" t="str">
        <f>VLOOKUP($A411,SkillEnum!$A$2:$C$1020,3,FALSE)</f>
        <v>스파이럴 블래스트</v>
      </c>
      <c r="F411" s="8" t="str">
        <f t="shared" si="59"/>
        <v>강하게 베어 물리공격력의 1008 % 로 첫타 가격 후 검의 기운을 전방으로 뿌려 마법공격력의 655 %로 연속타격을 한다.</v>
      </c>
      <c r="G411" s="5">
        <v>10</v>
      </c>
      <c r="H411" s="5">
        <v>2.52</v>
      </c>
      <c r="I411" s="5">
        <v>6</v>
      </c>
      <c r="J411" s="5">
        <v>150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2" t="s">
        <v>435</v>
      </c>
      <c r="Q411" s="2" t="str">
        <f t="shared" si="57"/>
        <v>SI_SA_ESK_SPIRAL_BLAST</v>
      </c>
      <c r="R411" s="5" t="b">
        <v>0</v>
      </c>
      <c r="S411" s="2" t="b">
        <v>1</v>
      </c>
      <c r="T411" s="2">
        <v>1</v>
      </c>
      <c r="U411" s="2"/>
    </row>
    <row r="412" spans="1:21" s="10" customFormat="1">
      <c r="A412" s="9">
        <v>1008</v>
      </c>
      <c r="B412" s="11" t="str">
        <f>VLOOKUP($A412,SkillEnum!$A$2:$C$1020,2,FALSE)</f>
        <v>SI_SA_ESK_ARMAGEDON_BLADE</v>
      </c>
      <c r="C412" s="11">
        <v>7</v>
      </c>
      <c r="D412" s="10" t="str">
        <f>VLOOKUP($C412,SkillEnum!$D$2:$E$10,2,FALSE)</f>
        <v>ST_SPECIAL_ACTIVE</v>
      </c>
      <c r="E412" s="11" t="str">
        <f>VLOOKUP($A412,SkillEnum!$A$2:$C$1020,3,FALSE)</f>
        <v>아마겟돈 블레이드</v>
      </c>
      <c r="F412" s="11" t="str">
        <f>"큰검기를 검신에 생성하여 전방의 적에게 물리공격력의 "&amp;ROUND(10*1.2*H412*100,0)&amp;" % 데미지를 주고, 15초 동안 큰검기를 직접 다룬다. (각성시 지속시간 20초로 증가)"</f>
        <v>큰검기를 검신에 생성하여 전방의 적에게 물리공격력의 840 % 데미지를 주고, 15초 동안 큰검기를 직접 다룬다. (각성시 지속시간 20초로 증가)</v>
      </c>
      <c r="G412" s="10">
        <v>1</v>
      </c>
      <c r="H412" s="2">
        <v>0.7</v>
      </c>
      <c r="I412" s="2">
        <v>30</v>
      </c>
      <c r="J412" s="2">
        <v>300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 t="s">
        <v>435</v>
      </c>
      <c r="Q412" s="2" t="str">
        <f t="shared" si="57"/>
        <v>SI_SA_ESK_ARMAGEDON_BLADE</v>
      </c>
      <c r="R412" s="2" t="b">
        <v>0</v>
      </c>
      <c r="S412" s="2" t="b">
        <v>1</v>
      </c>
      <c r="T412" s="2">
        <v>1</v>
      </c>
      <c r="U412" s="2"/>
    </row>
    <row r="413" spans="1:21">
      <c r="A413" s="4">
        <v>1008</v>
      </c>
      <c r="B413" s="7" t="str">
        <f>VLOOKUP($A413,SkillEnum!$A$2:$C$1020,2,FALSE)</f>
        <v>SI_SA_ESK_ARMAGEDON_BLADE</v>
      </c>
      <c r="C413" s="7">
        <v>7</v>
      </c>
      <c r="D413" s="2" t="str">
        <f>VLOOKUP($C413,SkillEnum!$D$2:$E$10,2,FALSE)</f>
        <v>ST_SPECIAL_ACTIVE</v>
      </c>
      <c r="E413" s="7" t="str">
        <f>VLOOKUP($A413,SkillEnum!$A$2:$C$1020,3,FALSE)</f>
        <v>아마겟돈 블레이드</v>
      </c>
      <c r="F413" s="7" t="str">
        <f t="shared" ref="F413:F421" si="60">"큰검기를 검신에 생성하여 전방의 적에게 물리공격력의 "&amp;ROUND(10*1.2*H413*100,0)&amp;" % 데미지를 주고, 15초 동안 큰검기를 직접 다룬다. (각성시 지속시간 20초로 증가)"</f>
        <v>큰검기를 검신에 생성하여 전방의 적에게 물리공격력의 1008 % 데미지를 주고, 15초 동안 큰검기를 직접 다룬다. (각성시 지속시간 20초로 증가)</v>
      </c>
      <c r="G413" s="2">
        <v>2</v>
      </c>
      <c r="H413" s="2">
        <v>0.84</v>
      </c>
      <c r="I413" s="2">
        <v>30</v>
      </c>
      <c r="J413" s="2">
        <v>300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 t="s">
        <v>435</v>
      </c>
      <c r="Q413" s="2" t="str">
        <f t="shared" si="57"/>
        <v>SI_SA_ESK_ARMAGEDON_BLADE</v>
      </c>
      <c r="R413" s="2" t="b">
        <v>0</v>
      </c>
      <c r="S413" s="2" t="b">
        <v>1</v>
      </c>
      <c r="T413" s="2">
        <v>1</v>
      </c>
    </row>
    <row r="414" spans="1:21">
      <c r="A414" s="4">
        <v>1008</v>
      </c>
      <c r="B414" s="7" t="str">
        <f>VLOOKUP($A414,SkillEnum!$A$2:$C$1020,2,FALSE)</f>
        <v>SI_SA_ESK_ARMAGEDON_BLADE</v>
      </c>
      <c r="C414" s="7">
        <v>7</v>
      </c>
      <c r="D414" s="2" t="str">
        <f>VLOOKUP($C414,SkillEnum!$D$2:$E$10,2,FALSE)</f>
        <v>ST_SPECIAL_ACTIVE</v>
      </c>
      <c r="E414" s="7" t="str">
        <f>VLOOKUP($A414,SkillEnum!$A$2:$C$1020,3,FALSE)</f>
        <v>아마겟돈 블레이드</v>
      </c>
      <c r="F414" s="7" t="str">
        <f t="shared" si="60"/>
        <v>큰검기를 검신에 생성하여 전방의 적에게 물리공격력의 1176 % 데미지를 주고, 15초 동안 큰검기를 직접 다룬다. (각성시 지속시간 20초로 증가)</v>
      </c>
      <c r="G414" s="2">
        <v>3</v>
      </c>
      <c r="H414" s="2">
        <v>0.98</v>
      </c>
      <c r="I414" s="2">
        <v>30</v>
      </c>
      <c r="J414" s="2">
        <v>300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 t="s">
        <v>435</v>
      </c>
      <c r="Q414" s="2" t="str">
        <f t="shared" si="57"/>
        <v>SI_SA_ESK_ARMAGEDON_BLADE</v>
      </c>
      <c r="R414" s="2" t="b">
        <v>0</v>
      </c>
      <c r="S414" s="2" t="b">
        <v>1</v>
      </c>
      <c r="T414" s="2">
        <v>1</v>
      </c>
    </row>
    <row r="415" spans="1:21">
      <c r="A415" s="4">
        <v>1008</v>
      </c>
      <c r="B415" s="7" t="str">
        <f>VLOOKUP($A415,SkillEnum!$A$2:$C$1020,2,FALSE)</f>
        <v>SI_SA_ESK_ARMAGEDON_BLADE</v>
      </c>
      <c r="C415" s="7">
        <v>7</v>
      </c>
      <c r="D415" s="2" t="str">
        <f>VLOOKUP($C415,SkillEnum!$D$2:$E$10,2,FALSE)</f>
        <v>ST_SPECIAL_ACTIVE</v>
      </c>
      <c r="E415" s="7" t="str">
        <f>VLOOKUP($A415,SkillEnum!$A$2:$C$1020,3,FALSE)</f>
        <v>아마겟돈 블레이드</v>
      </c>
      <c r="F415" s="7" t="str">
        <f t="shared" si="60"/>
        <v>큰검기를 검신에 생성하여 전방의 적에게 물리공격력의 1344 % 데미지를 주고, 15초 동안 큰검기를 직접 다룬다. (각성시 지속시간 20초로 증가)</v>
      </c>
      <c r="G415" s="2">
        <v>4</v>
      </c>
      <c r="H415" s="2">
        <v>1.1200000000000001</v>
      </c>
      <c r="I415" s="2">
        <v>30</v>
      </c>
      <c r="J415" s="2">
        <v>300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 t="s">
        <v>435</v>
      </c>
      <c r="Q415" s="2" t="str">
        <f t="shared" si="57"/>
        <v>SI_SA_ESK_ARMAGEDON_BLADE</v>
      </c>
      <c r="R415" s="2" t="b">
        <v>0</v>
      </c>
      <c r="S415" s="2" t="b">
        <v>1</v>
      </c>
      <c r="T415" s="2">
        <v>1</v>
      </c>
    </row>
    <row r="416" spans="1:21">
      <c r="A416" s="4">
        <v>1008</v>
      </c>
      <c r="B416" s="7" t="str">
        <f>VLOOKUP($A416,SkillEnum!$A$2:$C$1020,2,FALSE)</f>
        <v>SI_SA_ESK_ARMAGEDON_BLADE</v>
      </c>
      <c r="C416" s="7">
        <v>7</v>
      </c>
      <c r="D416" s="2" t="str">
        <f>VLOOKUP($C416,SkillEnum!$D$2:$E$10,2,FALSE)</f>
        <v>ST_SPECIAL_ACTIVE</v>
      </c>
      <c r="E416" s="7" t="str">
        <f>VLOOKUP($A416,SkillEnum!$A$2:$C$1020,3,FALSE)</f>
        <v>아마겟돈 블레이드</v>
      </c>
      <c r="F416" s="7" t="str">
        <f t="shared" si="60"/>
        <v>큰검기를 검신에 생성하여 전방의 적에게 물리공격력의 1596 % 데미지를 주고, 15초 동안 큰검기를 직접 다룬다. (각성시 지속시간 20초로 증가)</v>
      </c>
      <c r="G416" s="2">
        <v>5</v>
      </c>
      <c r="H416" s="2">
        <v>1.33</v>
      </c>
      <c r="I416" s="2">
        <v>30</v>
      </c>
      <c r="J416" s="2">
        <v>300</v>
      </c>
      <c r="K416" s="2">
        <v>0</v>
      </c>
      <c r="L416" s="2">
        <v>0</v>
      </c>
      <c r="M416" s="2">
        <v>0</v>
      </c>
      <c r="N416" s="2">
        <v>0</v>
      </c>
      <c r="O416" s="2">
        <v>0</v>
      </c>
      <c r="P416" s="2" t="s">
        <v>435</v>
      </c>
      <c r="Q416" s="2" t="str">
        <f t="shared" si="57"/>
        <v>SI_SA_ESK_ARMAGEDON_BLADE</v>
      </c>
      <c r="R416" s="2" t="b">
        <v>0</v>
      </c>
      <c r="S416" s="2" t="b">
        <v>1</v>
      </c>
      <c r="T416" s="2">
        <v>1</v>
      </c>
    </row>
    <row r="417" spans="1:21">
      <c r="A417" s="4">
        <v>1008</v>
      </c>
      <c r="B417" s="7" t="str">
        <f>VLOOKUP($A417,SkillEnum!$A$2:$C$1020,2,FALSE)</f>
        <v>SI_SA_ESK_ARMAGEDON_BLADE</v>
      </c>
      <c r="C417" s="7">
        <v>7</v>
      </c>
      <c r="D417" s="2" t="str">
        <f>VLOOKUP($C417,SkillEnum!$D$2:$E$10,2,FALSE)</f>
        <v>ST_SPECIAL_ACTIVE</v>
      </c>
      <c r="E417" s="7" t="str">
        <f>VLOOKUP($A417,SkillEnum!$A$2:$C$1020,3,FALSE)</f>
        <v>아마겟돈 블레이드</v>
      </c>
      <c r="F417" s="7" t="str">
        <f t="shared" si="60"/>
        <v>큰검기를 검신에 생성하여 전방의 적에게 물리공격력의 1848 % 데미지를 주고, 15초 동안 큰검기를 직접 다룬다. (각성시 지속시간 20초로 증가)</v>
      </c>
      <c r="G417" s="2">
        <v>6</v>
      </c>
      <c r="H417" s="2">
        <v>1.54</v>
      </c>
      <c r="I417" s="2">
        <v>30</v>
      </c>
      <c r="J417" s="2">
        <v>300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 t="s">
        <v>435</v>
      </c>
      <c r="Q417" s="2" t="str">
        <f t="shared" si="57"/>
        <v>SI_SA_ESK_ARMAGEDON_BLADE</v>
      </c>
      <c r="R417" s="2" t="b">
        <v>0</v>
      </c>
      <c r="S417" s="2" t="b">
        <v>1</v>
      </c>
      <c r="T417" s="2">
        <v>1</v>
      </c>
    </row>
    <row r="418" spans="1:21">
      <c r="A418" s="4">
        <v>1008</v>
      </c>
      <c r="B418" s="7" t="str">
        <f>VLOOKUP($A418,SkillEnum!$A$2:$C$1020,2,FALSE)</f>
        <v>SI_SA_ESK_ARMAGEDON_BLADE</v>
      </c>
      <c r="C418" s="7">
        <v>7</v>
      </c>
      <c r="D418" s="2" t="str">
        <f>VLOOKUP($C418,SkillEnum!$D$2:$E$10,2,FALSE)</f>
        <v>ST_SPECIAL_ACTIVE</v>
      </c>
      <c r="E418" s="7" t="str">
        <f>VLOOKUP($A418,SkillEnum!$A$2:$C$1020,3,FALSE)</f>
        <v>아마겟돈 블레이드</v>
      </c>
      <c r="F418" s="7" t="str">
        <f t="shared" si="60"/>
        <v>큰검기를 검신에 생성하여 전방의 적에게 물리공격력의 2100 % 데미지를 주고, 15초 동안 큰검기를 직접 다룬다. (각성시 지속시간 20초로 증가)</v>
      </c>
      <c r="G418" s="2">
        <v>7</v>
      </c>
      <c r="H418" s="2">
        <v>1.75</v>
      </c>
      <c r="I418" s="2">
        <v>30</v>
      </c>
      <c r="J418" s="2">
        <v>300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 t="s">
        <v>435</v>
      </c>
      <c r="Q418" s="2" t="str">
        <f t="shared" si="57"/>
        <v>SI_SA_ESK_ARMAGEDON_BLADE</v>
      </c>
      <c r="R418" s="2" t="b">
        <v>0</v>
      </c>
      <c r="S418" s="2" t="b">
        <v>1</v>
      </c>
      <c r="T418" s="2">
        <v>1</v>
      </c>
    </row>
    <row r="419" spans="1:21">
      <c r="A419" s="4">
        <v>1008</v>
      </c>
      <c r="B419" s="7" t="str">
        <f>VLOOKUP($A419,SkillEnum!$A$2:$C$1020,2,FALSE)</f>
        <v>SI_SA_ESK_ARMAGEDON_BLADE</v>
      </c>
      <c r="C419" s="7">
        <v>7</v>
      </c>
      <c r="D419" s="2" t="str">
        <f>VLOOKUP($C419,SkillEnum!$D$2:$E$10,2,FALSE)</f>
        <v>ST_SPECIAL_ACTIVE</v>
      </c>
      <c r="E419" s="7" t="str">
        <f>VLOOKUP($A419,SkillEnum!$A$2:$C$1020,3,FALSE)</f>
        <v>아마겟돈 블레이드</v>
      </c>
      <c r="F419" s="7" t="str">
        <f t="shared" si="60"/>
        <v>큰검기를 검신에 생성하여 전방의 적에게 물리공격력의 2352 % 데미지를 주고, 15초 동안 큰검기를 직접 다룬다. (각성시 지속시간 20초로 증가)</v>
      </c>
      <c r="G419" s="2">
        <v>8</v>
      </c>
      <c r="H419" s="2">
        <v>1.96</v>
      </c>
      <c r="I419" s="2">
        <v>30</v>
      </c>
      <c r="J419" s="2">
        <v>300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 t="s">
        <v>435</v>
      </c>
      <c r="Q419" s="2" t="str">
        <f t="shared" si="57"/>
        <v>SI_SA_ESK_ARMAGEDON_BLADE</v>
      </c>
      <c r="R419" s="2" t="b">
        <v>0</v>
      </c>
      <c r="S419" s="2" t="b">
        <v>1</v>
      </c>
      <c r="T419" s="2">
        <v>1</v>
      </c>
    </row>
    <row r="420" spans="1:21">
      <c r="A420" s="4">
        <v>1008</v>
      </c>
      <c r="B420" s="7" t="str">
        <f>VLOOKUP($A420,SkillEnum!$A$2:$C$1020,2,FALSE)</f>
        <v>SI_SA_ESK_ARMAGEDON_BLADE</v>
      </c>
      <c r="C420" s="7">
        <v>7</v>
      </c>
      <c r="D420" s="2" t="str">
        <f>VLOOKUP($C420,SkillEnum!$D$2:$E$10,2,FALSE)</f>
        <v>ST_SPECIAL_ACTIVE</v>
      </c>
      <c r="E420" s="7" t="str">
        <f>VLOOKUP($A420,SkillEnum!$A$2:$C$1020,3,FALSE)</f>
        <v>아마겟돈 블레이드</v>
      </c>
      <c r="F420" s="7" t="str">
        <f t="shared" si="60"/>
        <v>큰검기를 검신에 생성하여 전방의 적에게 물리공격력의 2688 % 데미지를 주고, 15초 동안 큰검기를 직접 다룬다. (각성시 지속시간 20초로 증가)</v>
      </c>
      <c r="G420" s="2">
        <v>9</v>
      </c>
      <c r="H420" s="2">
        <v>2.2400000000000002</v>
      </c>
      <c r="I420" s="2">
        <v>30</v>
      </c>
      <c r="J420" s="2">
        <v>300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 t="s">
        <v>435</v>
      </c>
      <c r="Q420" s="2" t="str">
        <f t="shared" si="57"/>
        <v>SI_SA_ESK_ARMAGEDON_BLADE</v>
      </c>
      <c r="R420" s="2" t="b">
        <v>0</v>
      </c>
      <c r="S420" s="2" t="b">
        <v>1</v>
      </c>
      <c r="T420" s="2">
        <v>1</v>
      </c>
    </row>
    <row r="421" spans="1:21" s="5" customFormat="1">
      <c r="A421" s="6">
        <v>1008</v>
      </c>
      <c r="B421" s="8" t="str">
        <f>VLOOKUP($A421,SkillEnum!$A$2:$C$1020,2,FALSE)</f>
        <v>SI_SA_ESK_ARMAGEDON_BLADE</v>
      </c>
      <c r="C421" s="8">
        <v>7</v>
      </c>
      <c r="D421" s="5" t="str">
        <f>VLOOKUP($C421,SkillEnum!$D$2:$E$10,2,FALSE)</f>
        <v>ST_SPECIAL_ACTIVE</v>
      </c>
      <c r="E421" s="8" t="str">
        <f>VLOOKUP($A421,SkillEnum!$A$2:$C$1020,3,FALSE)</f>
        <v>아마겟돈 블레이드</v>
      </c>
      <c r="F421" s="8" t="str">
        <f t="shared" si="60"/>
        <v>큰검기를 검신에 생성하여 전방의 적에게 물리공격력의 3024 % 데미지를 주고, 15초 동안 큰검기를 직접 다룬다. (각성시 지속시간 20초로 증가)</v>
      </c>
      <c r="G421" s="5">
        <v>10</v>
      </c>
      <c r="H421" s="5">
        <v>2.52</v>
      </c>
      <c r="I421" s="5">
        <v>30</v>
      </c>
      <c r="J421" s="5">
        <v>300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2" t="s">
        <v>435</v>
      </c>
      <c r="Q421" s="2" t="str">
        <f t="shared" si="57"/>
        <v>SI_SA_ESK_ARMAGEDON_BLADE</v>
      </c>
      <c r="R421" s="5" t="b">
        <v>0</v>
      </c>
      <c r="S421" s="2" t="b">
        <v>1</v>
      </c>
      <c r="T421" s="2">
        <v>1</v>
      </c>
      <c r="U421" s="2"/>
    </row>
    <row r="422" spans="1:21" s="10" customFormat="1">
      <c r="A422" s="9">
        <v>1009</v>
      </c>
      <c r="B422" s="11" t="str">
        <f>VLOOKUP($A422,SkillEnum!$A$2:$C$1020,2,FALSE)</f>
        <v>SI_SA_EMK_WIND_BLADE</v>
      </c>
      <c r="C422" s="11">
        <v>7</v>
      </c>
      <c r="D422" s="10" t="str">
        <f>VLOOKUP($C422,SkillEnum!$D$2:$E$10,2,FALSE)</f>
        <v>ST_SPECIAL_ACTIVE</v>
      </c>
      <c r="E422" s="11" t="str">
        <f>VLOOKUP($A422,SkillEnum!$A$2:$C$1020,3,FALSE)</f>
        <v>윈드 블레이드</v>
      </c>
      <c r="F422" s="7" t="str">
        <f>"큰 검기를 소환하여 상대를 타격해 마법 공격력의 "&amp;ROUND(8*1.2*H422*100,0)&amp;" % 데미지를 준다."</f>
        <v>큰 검기를 소환하여 상대를 타격해 마법 공격력의 672 % 데미지를 준다.</v>
      </c>
      <c r="G422" s="10">
        <v>1</v>
      </c>
      <c r="H422" s="2">
        <v>0.7</v>
      </c>
      <c r="I422" s="2">
        <v>3</v>
      </c>
      <c r="J422" s="2">
        <v>110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 t="s">
        <v>435</v>
      </c>
      <c r="Q422" s="2" t="str">
        <f t="shared" si="57"/>
        <v>SI_SA_EMK_WIND_BLADE</v>
      </c>
      <c r="R422" s="2" t="b">
        <v>0</v>
      </c>
      <c r="S422" s="2" t="b">
        <v>1</v>
      </c>
      <c r="T422" s="2">
        <v>1</v>
      </c>
      <c r="U422" s="2"/>
    </row>
    <row r="423" spans="1:21">
      <c r="A423" s="4">
        <v>1009</v>
      </c>
      <c r="B423" s="7" t="str">
        <f>VLOOKUP($A423,SkillEnum!$A$2:$C$1020,2,FALSE)</f>
        <v>SI_SA_EMK_WIND_BLADE</v>
      </c>
      <c r="C423" s="7">
        <v>7</v>
      </c>
      <c r="D423" s="2" t="str">
        <f>VLOOKUP($C423,SkillEnum!$D$2:$E$10,2,FALSE)</f>
        <v>ST_SPECIAL_ACTIVE</v>
      </c>
      <c r="E423" s="7" t="str">
        <f>VLOOKUP($A423,SkillEnum!$A$2:$C$1020,3,FALSE)</f>
        <v>윈드 블레이드</v>
      </c>
      <c r="F423" s="7" t="str">
        <f t="shared" ref="F423:F431" si="61">"큰 검기를 소환하여 상대를 타격해 마법 공격력의 "&amp;ROUND(8*1.2*H423*100,0)&amp;" % 데미지를 준다."</f>
        <v>큰 검기를 소환하여 상대를 타격해 마법 공격력의 806 % 데미지를 준다.</v>
      </c>
      <c r="G423" s="2">
        <v>2</v>
      </c>
      <c r="H423" s="2">
        <v>0.84</v>
      </c>
      <c r="I423" s="2">
        <v>3</v>
      </c>
      <c r="J423" s="2">
        <v>110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 t="s">
        <v>435</v>
      </c>
      <c r="Q423" s="2" t="str">
        <f t="shared" si="57"/>
        <v>SI_SA_EMK_WIND_BLADE</v>
      </c>
      <c r="R423" s="2" t="b">
        <v>0</v>
      </c>
      <c r="S423" s="2" t="b">
        <v>1</v>
      </c>
      <c r="T423" s="2">
        <v>1</v>
      </c>
    </row>
    <row r="424" spans="1:21">
      <c r="A424" s="4">
        <v>1009</v>
      </c>
      <c r="B424" s="7" t="str">
        <f>VLOOKUP($A424,SkillEnum!$A$2:$C$1020,2,FALSE)</f>
        <v>SI_SA_EMK_WIND_BLADE</v>
      </c>
      <c r="C424" s="7">
        <v>7</v>
      </c>
      <c r="D424" s="2" t="str">
        <f>VLOOKUP($C424,SkillEnum!$D$2:$E$10,2,FALSE)</f>
        <v>ST_SPECIAL_ACTIVE</v>
      </c>
      <c r="E424" s="7" t="str">
        <f>VLOOKUP($A424,SkillEnum!$A$2:$C$1020,3,FALSE)</f>
        <v>윈드 블레이드</v>
      </c>
      <c r="F424" s="7" t="str">
        <f t="shared" si="61"/>
        <v>큰 검기를 소환하여 상대를 타격해 마법 공격력의 941 % 데미지를 준다.</v>
      </c>
      <c r="G424" s="2">
        <v>3</v>
      </c>
      <c r="H424" s="2">
        <v>0.98</v>
      </c>
      <c r="I424" s="2">
        <v>3</v>
      </c>
      <c r="J424" s="2">
        <v>110</v>
      </c>
      <c r="K424" s="2">
        <v>0</v>
      </c>
      <c r="L424" s="2">
        <v>0</v>
      </c>
      <c r="M424" s="2">
        <v>0</v>
      </c>
      <c r="N424" s="2">
        <v>0</v>
      </c>
      <c r="O424" s="2">
        <v>0</v>
      </c>
      <c r="P424" s="2" t="s">
        <v>435</v>
      </c>
      <c r="Q424" s="2" t="str">
        <f t="shared" si="57"/>
        <v>SI_SA_EMK_WIND_BLADE</v>
      </c>
      <c r="R424" s="2" t="b">
        <v>0</v>
      </c>
      <c r="S424" s="2" t="b">
        <v>1</v>
      </c>
      <c r="T424" s="2">
        <v>1</v>
      </c>
    </row>
    <row r="425" spans="1:21">
      <c r="A425" s="4">
        <v>1009</v>
      </c>
      <c r="B425" s="7" t="str">
        <f>VLOOKUP($A425,SkillEnum!$A$2:$C$1020,2,FALSE)</f>
        <v>SI_SA_EMK_WIND_BLADE</v>
      </c>
      <c r="C425" s="7">
        <v>7</v>
      </c>
      <c r="D425" s="2" t="str">
        <f>VLOOKUP($C425,SkillEnum!$D$2:$E$10,2,FALSE)</f>
        <v>ST_SPECIAL_ACTIVE</v>
      </c>
      <c r="E425" s="7" t="str">
        <f>VLOOKUP($A425,SkillEnum!$A$2:$C$1020,3,FALSE)</f>
        <v>윈드 블레이드</v>
      </c>
      <c r="F425" s="7" t="str">
        <f t="shared" si="61"/>
        <v>큰 검기를 소환하여 상대를 타격해 마법 공격력의 1075 % 데미지를 준다.</v>
      </c>
      <c r="G425" s="2">
        <v>4</v>
      </c>
      <c r="H425" s="2">
        <v>1.1200000000000001</v>
      </c>
      <c r="I425" s="2">
        <v>3</v>
      </c>
      <c r="J425" s="2">
        <v>110</v>
      </c>
      <c r="K425" s="2">
        <v>0</v>
      </c>
      <c r="L425" s="2">
        <v>0</v>
      </c>
      <c r="M425" s="2">
        <v>0</v>
      </c>
      <c r="N425" s="2">
        <v>0</v>
      </c>
      <c r="O425" s="2">
        <v>0</v>
      </c>
      <c r="P425" s="2" t="s">
        <v>435</v>
      </c>
      <c r="Q425" s="2" t="str">
        <f t="shared" si="57"/>
        <v>SI_SA_EMK_WIND_BLADE</v>
      </c>
      <c r="R425" s="2" t="b">
        <v>0</v>
      </c>
      <c r="S425" s="2" t="b">
        <v>1</v>
      </c>
      <c r="T425" s="2">
        <v>1</v>
      </c>
    </row>
    <row r="426" spans="1:21">
      <c r="A426" s="4">
        <v>1009</v>
      </c>
      <c r="B426" s="7" t="str">
        <f>VLOOKUP($A426,SkillEnum!$A$2:$C$1020,2,FALSE)</f>
        <v>SI_SA_EMK_WIND_BLADE</v>
      </c>
      <c r="C426" s="7">
        <v>7</v>
      </c>
      <c r="D426" s="2" t="str">
        <f>VLOOKUP($C426,SkillEnum!$D$2:$E$10,2,FALSE)</f>
        <v>ST_SPECIAL_ACTIVE</v>
      </c>
      <c r="E426" s="7" t="str">
        <f>VLOOKUP($A426,SkillEnum!$A$2:$C$1020,3,FALSE)</f>
        <v>윈드 블레이드</v>
      </c>
      <c r="F426" s="7" t="str">
        <f t="shared" si="61"/>
        <v>큰 검기를 소환하여 상대를 타격해 마법 공격력의 1277 % 데미지를 준다.</v>
      </c>
      <c r="G426" s="2">
        <v>5</v>
      </c>
      <c r="H426" s="2">
        <v>1.33</v>
      </c>
      <c r="I426" s="2">
        <v>3</v>
      </c>
      <c r="J426" s="2">
        <v>110</v>
      </c>
      <c r="K426" s="2">
        <v>0</v>
      </c>
      <c r="L426" s="2">
        <v>0</v>
      </c>
      <c r="M426" s="2">
        <v>0</v>
      </c>
      <c r="N426" s="2">
        <v>0</v>
      </c>
      <c r="O426" s="2">
        <v>0</v>
      </c>
      <c r="P426" s="2" t="s">
        <v>435</v>
      </c>
      <c r="Q426" s="2" t="str">
        <f t="shared" si="57"/>
        <v>SI_SA_EMK_WIND_BLADE</v>
      </c>
      <c r="R426" s="2" t="b">
        <v>0</v>
      </c>
      <c r="S426" s="2" t="b">
        <v>1</v>
      </c>
      <c r="T426" s="2">
        <v>1</v>
      </c>
    </row>
    <row r="427" spans="1:21">
      <c r="A427" s="4">
        <v>1009</v>
      </c>
      <c r="B427" s="7" t="str">
        <f>VLOOKUP($A427,SkillEnum!$A$2:$C$1020,2,FALSE)</f>
        <v>SI_SA_EMK_WIND_BLADE</v>
      </c>
      <c r="C427" s="7">
        <v>7</v>
      </c>
      <c r="D427" s="2" t="str">
        <f>VLOOKUP($C427,SkillEnum!$D$2:$E$10,2,FALSE)</f>
        <v>ST_SPECIAL_ACTIVE</v>
      </c>
      <c r="E427" s="7" t="str">
        <f>VLOOKUP($A427,SkillEnum!$A$2:$C$1020,3,FALSE)</f>
        <v>윈드 블레이드</v>
      </c>
      <c r="F427" s="7" t="str">
        <f t="shared" si="61"/>
        <v>큰 검기를 소환하여 상대를 타격해 마법 공격력의 1478 % 데미지를 준다.</v>
      </c>
      <c r="G427" s="2">
        <v>6</v>
      </c>
      <c r="H427" s="2">
        <v>1.54</v>
      </c>
      <c r="I427" s="2">
        <v>3</v>
      </c>
      <c r="J427" s="2">
        <v>110</v>
      </c>
      <c r="K427" s="2">
        <v>0</v>
      </c>
      <c r="L427" s="2">
        <v>0</v>
      </c>
      <c r="M427" s="2">
        <v>0</v>
      </c>
      <c r="N427" s="2">
        <v>0</v>
      </c>
      <c r="O427" s="2">
        <v>0</v>
      </c>
      <c r="P427" s="2" t="s">
        <v>435</v>
      </c>
      <c r="Q427" s="2" t="str">
        <f t="shared" si="57"/>
        <v>SI_SA_EMK_WIND_BLADE</v>
      </c>
      <c r="R427" s="2" t="b">
        <v>0</v>
      </c>
      <c r="S427" s="2" t="b">
        <v>1</v>
      </c>
      <c r="T427" s="2">
        <v>1</v>
      </c>
    </row>
    <row r="428" spans="1:21">
      <c r="A428" s="4">
        <v>1009</v>
      </c>
      <c r="B428" s="7" t="str">
        <f>VLOOKUP($A428,SkillEnum!$A$2:$C$1020,2,FALSE)</f>
        <v>SI_SA_EMK_WIND_BLADE</v>
      </c>
      <c r="C428" s="7">
        <v>7</v>
      </c>
      <c r="D428" s="2" t="str">
        <f>VLOOKUP($C428,SkillEnum!$D$2:$E$10,2,FALSE)</f>
        <v>ST_SPECIAL_ACTIVE</v>
      </c>
      <c r="E428" s="7" t="str">
        <f>VLOOKUP($A428,SkillEnum!$A$2:$C$1020,3,FALSE)</f>
        <v>윈드 블레이드</v>
      </c>
      <c r="F428" s="7" t="str">
        <f t="shared" si="61"/>
        <v>큰 검기를 소환하여 상대를 타격해 마법 공격력의 1680 % 데미지를 준다.</v>
      </c>
      <c r="G428" s="2">
        <v>7</v>
      </c>
      <c r="H428" s="2">
        <v>1.75</v>
      </c>
      <c r="I428" s="2">
        <v>3</v>
      </c>
      <c r="J428" s="2">
        <v>110</v>
      </c>
      <c r="K428" s="2">
        <v>0</v>
      </c>
      <c r="L428" s="2">
        <v>0</v>
      </c>
      <c r="M428" s="2">
        <v>0</v>
      </c>
      <c r="N428" s="2">
        <v>0</v>
      </c>
      <c r="O428" s="2">
        <v>0</v>
      </c>
      <c r="P428" s="2" t="s">
        <v>435</v>
      </c>
      <c r="Q428" s="2" t="str">
        <f t="shared" si="57"/>
        <v>SI_SA_EMK_WIND_BLADE</v>
      </c>
      <c r="R428" s="2" t="b">
        <v>0</v>
      </c>
      <c r="S428" s="2" t="b">
        <v>1</v>
      </c>
      <c r="T428" s="2">
        <v>1</v>
      </c>
    </row>
    <row r="429" spans="1:21">
      <c r="A429" s="4">
        <v>1009</v>
      </c>
      <c r="B429" s="7" t="str">
        <f>VLOOKUP($A429,SkillEnum!$A$2:$C$1020,2,FALSE)</f>
        <v>SI_SA_EMK_WIND_BLADE</v>
      </c>
      <c r="C429" s="7">
        <v>7</v>
      </c>
      <c r="D429" s="2" t="str">
        <f>VLOOKUP($C429,SkillEnum!$D$2:$E$10,2,FALSE)</f>
        <v>ST_SPECIAL_ACTIVE</v>
      </c>
      <c r="E429" s="7" t="str">
        <f>VLOOKUP($A429,SkillEnum!$A$2:$C$1020,3,FALSE)</f>
        <v>윈드 블레이드</v>
      </c>
      <c r="F429" s="7" t="str">
        <f t="shared" si="61"/>
        <v>큰 검기를 소환하여 상대를 타격해 마법 공격력의 1882 % 데미지를 준다.</v>
      </c>
      <c r="G429" s="2">
        <v>8</v>
      </c>
      <c r="H429" s="2">
        <v>1.96</v>
      </c>
      <c r="I429" s="2">
        <v>3</v>
      </c>
      <c r="J429" s="2">
        <v>110</v>
      </c>
      <c r="K429" s="2">
        <v>0</v>
      </c>
      <c r="L429" s="2">
        <v>0</v>
      </c>
      <c r="M429" s="2">
        <v>0</v>
      </c>
      <c r="N429" s="2">
        <v>0</v>
      </c>
      <c r="O429" s="2">
        <v>0</v>
      </c>
      <c r="P429" s="2" t="s">
        <v>435</v>
      </c>
      <c r="Q429" s="2" t="str">
        <f t="shared" si="57"/>
        <v>SI_SA_EMK_WIND_BLADE</v>
      </c>
      <c r="R429" s="2" t="b">
        <v>0</v>
      </c>
      <c r="S429" s="2" t="b">
        <v>1</v>
      </c>
      <c r="T429" s="2">
        <v>1</v>
      </c>
    </row>
    <row r="430" spans="1:21">
      <c r="A430" s="4">
        <v>1009</v>
      </c>
      <c r="B430" s="7" t="str">
        <f>VLOOKUP($A430,SkillEnum!$A$2:$C$1020,2,FALSE)</f>
        <v>SI_SA_EMK_WIND_BLADE</v>
      </c>
      <c r="C430" s="7">
        <v>7</v>
      </c>
      <c r="D430" s="2" t="str">
        <f>VLOOKUP($C430,SkillEnum!$D$2:$E$10,2,FALSE)</f>
        <v>ST_SPECIAL_ACTIVE</v>
      </c>
      <c r="E430" s="7" t="str">
        <f>VLOOKUP($A430,SkillEnum!$A$2:$C$1020,3,FALSE)</f>
        <v>윈드 블레이드</v>
      </c>
      <c r="F430" s="7" t="str">
        <f t="shared" si="61"/>
        <v>큰 검기를 소환하여 상대를 타격해 마법 공격력의 2150 % 데미지를 준다.</v>
      </c>
      <c r="G430" s="2">
        <v>9</v>
      </c>
      <c r="H430" s="2">
        <v>2.2400000000000002</v>
      </c>
      <c r="I430" s="2">
        <v>3</v>
      </c>
      <c r="J430" s="2">
        <v>110</v>
      </c>
      <c r="K430" s="2">
        <v>0</v>
      </c>
      <c r="L430" s="2">
        <v>0</v>
      </c>
      <c r="M430" s="2">
        <v>0</v>
      </c>
      <c r="N430" s="2">
        <v>0</v>
      </c>
      <c r="O430" s="2">
        <v>0</v>
      </c>
      <c r="P430" s="2" t="s">
        <v>435</v>
      </c>
      <c r="Q430" s="2" t="str">
        <f t="shared" si="57"/>
        <v>SI_SA_EMK_WIND_BLADE</v>
      </c>
      <c r="R430" s="2" t="b">
        <v>0</v>
      </c>
      <c r="S430" s="2" t="b">
        <v>1</v>
      </c>
      <c r="T430" s="2">
        <v>1</v>
      </c>
    </row>
    <row r="431" spans="1:21" s="5" customFormat="1">
      <c r="A431" s="6">
        <v>1009</v>
      </c>
      <c r="B431" s="8" t="str">
        <f>VLOOKUP($A431,SkillEnum!$A$2:$C$1020,2,FALSE)</f>
        <v>SI_SA_EMK_WIND_BLADE</v>
      </c>
      <c r="C431" s="8">
        <v>7</v>
      </c>
      <c r="D431" s="5" t="str">
        <f>VLOOKUP($C431,SkillEnum!$D$2:$E$10,2,FALSE)</f>
        <v>ST_SPECIAL_ACTIVE</v>
      </c>
      <c r="E431" s="8" t="str">
        <f>VLOOKUP($A431,SkillEnum!$A$2:$C$1020,3,FALSE)</f>
        <v>윈드 블레이드</v>
      </c>
      <c r="F431" s="7" t="str">
        <f t="shared" si="61"/>
        <v>큰 검기를 소환하여 상대를 타격해 마법 공격력의 2419 % 데미지를 준다.</v>
      </c>
      <c r="G431" s="5">
        <v>10</v>
      </c>
      <c r="H431" s="5">
        <v>2.52</v>
      </c>
      <c r="I431" s="5">
        <v>3</v>
      </c>
      <c r="J431" s="5">
        <v>110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2" t="s">
        <v>435</v>
      </c>
      <c r="Q431" s="2" t="str">
        <f t="shared" si="57"/>
        <v>SI_SA_EMK_WIND_BLADE</v>
      </c>
      <c r="R431" s="5" t="b">
        <v>0</v>
      </c>
      <c r="S431" s="2" t="b">
        <v>1</v>
      </c>
      <c r="T431" s="2">
        <v>1</v>
      </c>
      <c r="U431" s="2"/>
    </row>
    <row r="432" spans="1:21" s="10" customFormat="1">
      <c r="A432" s="9">
        <v>1010</v>
      </c>
      <c r="B432" s="11" t="str">
        <f>VLOOKUP($A432,SkillEnum!$A$2:$C$1020,2,FALSE)</f>
        <v>SI_SA_EMK_RISING_SLASH</v>
      </c>
      <c r="C432" s="11">
        <v>7</v>
      </c>
      <c r="D432" s="10" t="str">
        <f>VLOOKUP($C432,SkillEnum!$D$2:$E$10,2,FALSE)</f>
        <v>ST_SPECIAL_ACTIVE</v>
      </c>
      <c r="E432" s="11" t="str">
        <f>VLOOKUP($A432,SkillEnum!$A$2:$C$1020,3,FALSE)</f>
        <v>라이징 슬래시</v>
      </c>
      <c r="F432" s="11" t="str">
        <f>"주위 땅에서 검기를 소환, 수직으로 상승시켜 마법공격력의 "&amp;ROUND(2.5*H432*100,0)&amp;" % 로 적들을 연속타격 한다."</f>
        <v>주위 땅에서 검기를 소환, 수직으로 상승시켜 마법공격력의 175 % 로 적들을 연속타격 한다.</v>
      </c>
      <c r="G432" s="10">
        <v>1</v>
      </c>
      <c r="H432" s="2">
        <v>0.7</v>
      </c>
      <c r="I432" s="2">
        <v>10</v>
      </c>
      <c r="J432" s="2">
        <v>230</v>
      </c>
      <c r="K432" s="2">
        <v>0</v>
      </c>
      <c r="L432" s="2">
        <v>0</v>
      </c>
      <c r="M432" s="2">
        <v>0</v>
      </c>
      <c r="N432" s="2">
        <v>0</v>
      </c>
      <c r="O432" s="2">
        <v>0</v>
      </c>
      <c r="P432" s="2" t="s">
        <v>435</v>
      </c>
      <c r="Q432" s="2" t="str">
        <f t="shared" si="57"/>
        <v>SI_SA_EMK_RISING_SLASH</v>
      </c>
      <c r="R432" s="2" t="b">
        <v>0</v>
      </c>
      <c r="S432" s="2" t="b">
        <v>1</v>
      </c>
      <c r="T432" s="2">
        <v>1</v>
      </c>
      <c r="U432" s="2"/>
    </row>
    <row r="433" spans="1:21">
      <c r="A433" s="4">
        <v>1010</v>
      </c>
      <c r="B433" s="7" t="str">
        <f>VLOOKUP($A433,SkillEnum!$A$2:$C$1020,2,FALSE)</f>
        <v>SI_SA_EMK_RISING_SLASH</v>
      </c>
      <c r="C433" s="7">
        <v>7</v>
      </c>
      <c r="D433" s="2" t="str">
        <f>VLOOKUP($C433,SkillEnum!$D$2:$E$10,2,FALSE)</f>
        <v>ST_SPECIAL_ACTIVE</v>
      </c>
      <c r="E433" s="7" t="str">
        <f>VLOOKUP($A433,SkillEnum!$A$2:$C$1020,3,FALSE)</f>
        <v>라이징 슬래시</v>
      </c>
      <c r="F433" s="7" t="str">
        <f t="shared" ref="F433:F441" si="62">"주위 땅에서 검기를 소환, 수직으로 상승시켜 마법공격력의 "&amp;ROUND(2.5*H433*100,0)&amp;" % 로 적들을 연속타격 한다."</f>
        <v>주위 땅에서 검기를 소환, 수직으로 상승시켜 마법공격력의 210 % 로 적들을 연속타격 한다.</v>
      </c>
      <c r="G433" s="2">
        <v>2</v>
      </c>
      <c r="H433" s="2">
        <v>0.84</v>
      </c>
      <c r="I433" s="2">
        <v>10</v>
      </c>
      <c r="J433" s="2">
        <v>230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 t="s">
        <v>435</v>
      </c>
      <c r="Q433" s="2" t="str">
        <f t="shared" si="57"/>
        <v>SI_SA_EMK_RISING_SLASH</v>
      </c>
      <c r="R433" s="2" t="b">
        <v>0</v>
      </c>
      <c r="S433" s="2" t="b">
        <v>1</v>
      </c>
      <c r="T433" s="2">
        <v>1</v>
      </c>
    </row>
    <row r="434" spans="1:21">
      <c r="A434" s="4">
        <v>1010</v>
      </c>
      <c r="B434" s="7" t="str">
        <f>VLOOKUP($A434,SkillEnum!$A$2:$C$1020,2,FALSE)</f>
        <v>SI_SA_EMK_RISING_SLASH</v>
      </c>
      <c r="C434" s="7">
        <v>7</v>
      </c>
      <c r="D434" s="2" t="str">
        <f>VLOOKUP($C434,SkillEnum!$D$2:$E$10,2,FALSE)</f>
        <v>ST_SPECIAL_ACTIVE</v>
      </c>
      <c r="E434" s="7" t="str">
        <f>VLOOKUP($A434,SkillEnum!$A$2:$C$1020,3,FALSE)</f>
        <v>라이징 슬래시</v>
      </c>
      <c r="F434" s="7" t="str">
        <f t="shared" si="62"/>
        <v>주위 땅에서 검기를 소환, 수직으로 상승시켜 마법공격력의 245 % 로 적들을 연속타격 한다.</v>
      </c>
      <c r="G434" s="2">
        <v>3</v>
      </c>
      <c r="H434" s="2">
        <v>0.98</v>
      </c>
      <c r="I434" s="2">
        <v>10</v>
      </c>
      <c r="J434" s="2">
        <v>230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 t="s">
        <v>435</v>
      </c>
      <c r="Q434" s="2" t="str">
        <f t="shared" si="57"/>
        <v>SI_SA_EMK_RISING_SLASH</v>
      </c>
      <c r="R434" s="2" t="b">
        <v>0</v>
      </c>
      <c r="S434" s="2" t="b">
        <v>1</v>
      </c>
      <c r="T434" s="2">
        <v>1</v>
      </c>
    </row>
    <row r="435" spans="1:21">
      <c r="A435" s="4">
        <v>1010</v>
      </c>
      <c r="B435" s="7" t="str">
        <f>VLOOKUP($A435,SkillEnum!$A$2:$C$1020,2,FALSE)</f>
        <v>SI_SA_EMK_RISING_SLASH</v>
      </c>
      <c r="C435" s="7">
        <v>7</v>
      </c>
      <c r="D435" s="2" t="str">
        <f>VLOOKUP($C435,SkillEnum!$D$2:$E$10,2,FALSE)</f>
        <v>ST_SPECIAL_ACTIVE</v>
      </c>
      <c r="E435" s="7" t="str">
        <f>VLOOKUP($A435,SkillEnum!$A$2:$C$1020,3,FALSE)</f>
        <v>라이징 슬래시</v>
      </c>
      <c r="F435" s="7" t="str">
        <f t="shared" si="62"/>
        <v>주위 땅에서 검기를 소환, 수직으로 상승시켜 마법공격력의 280 % 로 적들을 연속타격 한다.</v>
      </c>
      <c r="G435" s="2">
        <v>4</v>
      </c>
      <c r="H435" s="2">
        <v>1.1200000000000001</v>
      </c>
      <c r="I435" s="2">
        <v>10</v>
      </c>
      <c r="J435" s="2">
        <v>230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 t="s">
        <v>435</v>
      </c>
      <c r="Q435" s="2" t="str">
        <f t="shared" si="57"/>
        <v>SI_SA_EMK_RISING_SLASH</v>
      </c>
      <c r="R435" s="2" t="b">
        <v>0</v>
      </c>
      <c r="S435" s="2" t="b">
        <v>1</v>
      </c>
      <c r="T435" s="2">
        <v>1</v>
      </c>
    </row>
    <row r="436" spans="1:21">
      <c r="A436" s="4">
        <v>1010</v>
      </c>
      <c r="B436" s="7" t="str">
        <f>VLOOKUP($A436,SkillEnum!$A$2:$C$1020,2,FALSE)</f>
        <v>SI_SA_EMK_RISING_SLASH</v>
      </c>
      <c r="C436" s="7">
        <v>7</v>
      </c>
      <c r="D436" s="2" t="str">
        <f>VLOOKUP($C436,SkillEnum!$D$2:$E$10,2,FALSE)</f>
        <v>ST_SPECIAL_ACTIVE</v>
      </c>
      <c r="E436" s="7" t="str">
        <f>VLOOKUP($A436,SkillEnum!$A$2:$C$1020,3,FALSE)</f>
        <v>라이징 슬래시</v>
      </c>
      <c r="F436" s="7" t="str">
        <f t="shared" si="62"/>
        <v>주위 땅에서 검기를 소환, 수직으로 상승시켜 마법공격력의 333 % 로 적들을 연속타격 한다.</v>
      </c>
      <c r="G436" s="2">
        <v>5</v>
      </c>
      <c r="H436" s="2">
        <v>1.33</v>
      </c>
      <c r="I436" s="2">
        <v>10</v>
      </c>
      <c r="J436" s="2">
        <v>230</v>
      </c>
      <c r="K436" s="2">
        <v>0</v>
      </c>
      <c r="L436" s="2">
        <v>0</v>
      </c>
      <c r="M436" s="2">
        <v>0</v>
      </c>
      <c r="N436" s="2">
        <v>0</v>
      </c>
      <c r="O436" s="2">
        <v>0</v>
      </c>
      <c r="P436" s="2" t="s">
        <v>435</v>
      </c>
      <c r="Q436" s="2" t="str">
        <f t="shared" si="57"/>
        <v>SI_SA_EMK_RISING_SLASH</v>
      </c>
      <c r="R436" s="2" t="b">
        <v>0</v>
      </c>
      <c r="S436" s="2" t="b">
        <v>1</v>
      </c>
      <c r="T436" s="2">
        <v>1</v>
      </c>
    </row>
    <row r="437" spans="1:21">
      <c r="A437" s="4">
        <v>1010</v>
      </c>
      <c r="B437" s="7" t="str">
        <f>VLOOKUP($A437,SkillEnum!$A$2:$C$1020,2,FALSE)</f>
        <v>SI_SA_EMK_RISING_SLASH</v>
      </c>
      <c r="C437" s="7">
        <v>7</v>
      </c>
      <c r="D437" s="2" t="str">
        <f>VLOOKUP($C437,SkillEnum!$D$2:$E$10,2,FALSE)</f>
        <v>ST_SPECIAL_ACTIVE</v>
      </c>
      <c r="E437" s="7" t="str">
        <f>VLOOKUP($A437,SkillEnum!$A$2:$C$1020,3,FALSE)</f>
        <v>라이징 슬래시</v>
      </c>
      <c r="F437" s="7" t="str">
        <f t="shared" si="62"/>
        <v>주위 땅에서 검기를 소환, 수직으로 상승시켜 마법공격력의 385 % 로 적들을 연속타격 한다.</v>
      </c>
      <c r="G437" s="2">
        <v>6</v>
      </c>
      <c r="H437" s="2">
        <v>1.54</v>
      </c>
      <c r="I437" s="2">
        <v>10</v>
      </c>
      <c r="J437" s="2">
        <v>230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 t="s">
        <v>435</v>
      </c>
      <c r="Q437" s="2" t="str">
        <f t="shared" si="57"/>
        <v>SI_SA_EMK_RISING_SLASH</v>
      </c>
      <c r="R437" s="2" t="b">
        <v>0</v>
      </c>
      <c r="S437" s="2" t="b">
        <v>1</v>
      </c>
      <c r="T437" s="2">
        <v>1</v>
      </c>
    </row>
    <row r="438" spans="1:21">
      <c r="A438" s="4">
        <v>1010</v>
      </c>
      <c r="B438" s="7" t="str">
        <f>VLOOKUP($A438,SkillEnum!$A$2:$C$1020,2,FALSE)</f>
        <v>SI_SA_EMK_RISING_SLASH</v>
      </c>
      <c r="C438" s="7">
        <v>7</v>
      </c>
      <c r="D438" s="2" t="str">
        <f>VLOOKUP($C438,SkillEnum!$D$2:$E$10,2,FALSE)</f>
        <v>ST_SPECIAL_ACTIVE</v>
      </c>
      <c r="E438" s="7" t="str">
        <f>VLOOKUP($A438,SkillEnum!$A$2:$C$1020,3,FALSE)</f>
        <v>라이징 슬래시</v>
      </c>
      <c r="F438" s="7" t="str">
        <f t="shared" si="62"/>
        <v>주위 땅에서 검기를 소환, 수직으로 상승시켜 마법공격력의 438 % 로 적들을 연속타격 한다.</v>
      </c>
      <c r="G438" s="2">
        <v>7</v>
      </c>
      <c r="H438" s="2">
        <v>1.75</v>
      </c>
      <c r="I438" s="2">
        <v>10</v>
      </c>
      <c r="J438" s="2">
        <v>230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 t="s">
        <v>435</v>
      </c>
      <c r="Q438" s="2" t="str">
        <f t="shared" si="57"/>
        <v>SI_SA_EMK_RISING_SLASH</v>
      </c>
      <c r="R438" s="2" t="b">
        <v>0</v>
      </c>
      <c r="S438" s="2" t="b">
        <v>1</v>
      </c>
      <c r="T438" s="2">
        <v>1</v>
      </c>
    </row>
    <row r="439" spans="1:21">
      <c r="A439" s="4">
        <v>1010</v>
      </c>
      <c r="B439" s="7" t="str">
        <f>VLOOKUP($A439,SkillEnum!$A$2:$C$1020,2,FALSE)</f>
        <v>SI_SA_EMK_RISING_SLASH</v>
      </c>
      <c r="C439" s="7">
        <v>7</v>
      </c>
      <c r="D439" s="2" t="str">
        <f>VLOOKUP($C439,SkillEnum!$D$2:$E$10,2,FALSE)</f>
        <v>ST_SPECIAL_ACTIVE</v>
      </c>
      <c r="E439" s="7" t="str">
        <f>VLOOKUP($A439,SkillEnum!$A$2:$C$1020,3,FALSE)</f>
        <v>라이징 슬래시</v>
      </c>
      <c r="F439" s="7" t="str">
        <f t="shared" si="62"/>
        <v>주위 땅에서 검기를 소환, 수직으로 상승시켜 마법공격력의 490 % 로 적들을 연속타격 한다.</v>
      </c>
      <c r="G439" s="2">
        <v>8</v>
      </c>
      <c r="H439" s="2">
        <v>1.96</v>
      </c>
      <c r="I439" s="2">
        <v>10</v>
      </c>
      <c r="J439" s="2">
        <v>230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 t="s">
        <v>435</v>
      </c>
      <c r="Q439" s="2" t="str">
        <f t="shared" si="57"/>
        <v>SI_SA_EMK_RISING_SLASH</v>
      </c>
      <c r="R439" s="2" t="b">
        <v>0</v>
      </c>
      <c r="S439" s="2" t="b">
        <v>1</v>
      </c>
      <c r="T439" s="2">
        <v>1</v>
      </c>
    </row>
    <row r="440" spans="1:21">
      <c r="A440" s="4">
        <v>1010</v>
      </c>
      <c r="B440" s="7" t="str">
        <f>VLOOKUP($A440,SkillEnum!$A$2:$C$1020,2,FALSE)</f>
        <v>SI_SA_EMK_RISING_SLASH</v>
      </c>
      <c r="C440" s="7">
        <v>7</v>
      </c>
      <c r="D440" s="2" t="str">
        <f>VLOOKUP($C440,SkillEnum!$D$2:$E$10,2,FALSE)</f>
        <v>ST_SPECIAL_ACTIVE</v>
      </c>
      <c r="E440" s="7" t="str">
        <f>VLOOKUP($A440,SkillEnum!$A$2:$C$1020,3,FALSE)</f>
        <v>라이징 슬래시</v>
      </c>
      <c r="F440" s="7" t="str">
        <f t="shared" si="62"/>
        <v>주위 땅에서 검기를 소환, 수직으로 상승시켜 마법공격력의 560 % 로 적들을 연속타격 한다.</v>
      </c>
      <c r="G440" s="2">
        <v>9</v>
      </c>
      <c r="H440" s="2">
        <v>2.2400000000000002</v>
      </c>
      <c r="I440" s="2">
        <v>10</v>
      </c>
      <c r="J440" s="2">
        <v>230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 t="s">
        <v>435</v>
      </c>
      <c r="Q440" s="2" t="str">
        <f t="shared" si="57"/>
        <v>SI_SA_EMK_RISING_SLASH</v>
      </c>
      <c r="R440" s="2" t="b">
        <v>0</v>
      </c>
      <c r="S440" s="2" t="b">
        <v>1</v>
      </c>
      <c r="T440" s="2">
        <v>1</v>
      </c>
    </row>
    <row r="441" spans="1:21" s="5" customFormat="1">
      <c r="A441" s="6">
        <v>1010</v>
      </c>
      <c r="B441" s="8" t="str">
        <f>VLOOKUP($A441,SkillEnum!$A$2:$C$1020,2,FALSE)</f>
        <v>SI_SA_EMK_RISING_SLASH</v>
      </c>
      <c r="C441" s="8">
        <v>7</v>
      </c>
      <c r="D441" s="5" t="str">
        <f>VLOOKUP($C441,SkillEnum!$D$2:$E$10,2,FALSE)</f>
        <v>ST_SPECIAL_ACTIVE</v>
      </c>
      <c r="E441" s="8" t="str">
        <f>VLOOKUP($A441,SkillEnum!$A$2:$C$1020,3,FALSE)</f>
        <v>라이징 슬래시</v>
      </c>
      <c r="F441" s="8" t="str">
        <f t="shared" si="62"/>
        <v>주위 땅에서 검기를 소환, 수직으로 상승시켜 마법공격력의 630 % 로 적들을 연속타격 한다.</v>
      </c>
      <c r="G441" s="5">
        <v>10</v>
      </c>
      <c r="H441" s="5">
        <v>2.52</v>
      </c>
      <c r="I441" s="5">
        <v>10</v>
      </c>
      <c r="J441" s="5">
        <v>230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2" t="s">
        <v>435</v>
      </c>
      <c r="Q441" s="2" t="str">
        <f t="shared" si="57"/>
        <v>SI_SA_EMK_RISING_SLASH</v>
      </c>
      <c r="R441" s="5" t="b">
        <v>0</v>
      </c>
      <c r="S441" s="2" t="b">
        <v>1</v>
      </c>
      <c r="T441" s="2">
        <v>1</v>
      </c>
      <c r="U441" s="2"/>
    </row>
    <row r="442" spans="1:21" s="10" customFormat="1">
      <c r="A442" s="9">
        <v>1011</v>
      </c>
      <c r="B442" s="11" t="str">
        <f>VLOOKUP($A442,SkillEnum!$A$2:$C$1020,2,FALSE)</f>
        <v>SI_SA_EMK_STORM_BLADE</v>
      </c>
      <c r="C442" s="11">
        <v>7</v>
      </c>
      <c r="D442" s="10" t="str">
        <f>VLOOKUP($C442,SkillEnum!$D$2:$E$10,2,FALSE)</f>
        <v>ST_SPECIAL_ACTIVE</v>
      </c>
      <c r="E442" s="11" t="str">
        <f>VLOOKUP($A442,SkillEnum!$A$2:$C$1020,3,FALSE)</f>
        <v>스톰 블레이드</v>
      </c>
      <c r="F442" s="11" t="str">
        <f>"순간적으로 다수의 검기를 생성해 마법공격력의 "&amp;ROUND(3*H442*100,0)&amp;" % 데미지를 주고, 생성된 검기를 회전시켜 거리에 따라 마법공격력의 "&amp;ROUND(1*H442*100,0)&amp;"~"&amp;ROUND(2*H442*100,0)&amp;" %로 적들을 연속타격 한다."</f>
        <v>순간적으로 다수의 검기를 생성해 마법공격력의 210 % 데미지를 주고, 생성된 검기를 회전시켜 거리에 따라 마법공격력의 70~140 %로 적들을 연속타격 한다.</v>
      </c>
      <c r="G442" s="10">
        <v>1</v>
      </c>
      <c r="H442" s="2">
        <v>0.7</v>
      </c>
      <c r="I442" s="2">
        <v>30</v>
      </c>
      <c r="J442" s="2">
        <v>300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 t="s">
        <v>435</v>
      </c>
      <c r="Q442" s="2" t="str">
        <f t="shared" si="57"/>
        <v>SI_SA_EMK_STORM_BLADE</v>
      </c>
      <c r="R442" s="2" t="b">
        <v>0</v>
      </c>
      <c r="S442" s="2" t="b">
        <v>1</v>
      </c>
      <c r="T442" s="2">
        <v>1</v>
      </c>
      <c r="U442" s="2"/>
    </row>
    <row r="443" spans="1:21">
      <c r="A443" s="4">
        <v>1011</v>
      </c>
      <c r="B443" s="7" t="str">
        <f>VLOOKUP($A443,SkillEnum!$A$2:$C$1020,2,FALSE)</f>
        <v>SI_SA_EMK_STORM_BLADE</v>
      </c>
      <c r="C443" s="7">
        <v>7</v>
      </c>
      <c r="D443" s="2" t="str">
        <f>VLOOKUP($C443,SkillEnum!$D$2:$E$10,2,FALSE)</f>
        <v>ST_SPECIAL_ACTIVE</v>
      </c>
      <c r="E443" s="7" t="str">
        <f>VLOOKUP($A443,SkillEnum!$A$2:$C$1020,3,FALSE)</f>
        <v>스톰 블레이드</v>
      </c>
      <c r="F443" s="7" t="str">
        <f t="shared" ref="F443:F451" si="63">"순간적으로 다수의 검기를 생성해 마법공격력의 "&amp;ROUND(3*H443*100,0)&amp;" % 데미지를 주고, 생성된 검기를 회전시켜 거리에 따라 마법공격력의 "&amp;ROUND(1*H443*100,0)&amp;"~"&amp;ROUND(2*H443*100,0)&amp;" %로 적들을 연속타격 한다."</f>
        <v>순간적으로 다수의 검기를 생성해 마법공격력의 252 % 데미지를 주고, 생성된 검기를 회전시켜 거리에 따라 마법공격력의 84~168 %로 적들을 연속타격 한다.</v>
      </c>
      <c r="G443" s="2">
        <v>2</v>
      </c>
      <c r="H443" s="2">
        <v>0.84</v>
      </c>
      <c r="I443" s="2">
        <v>30</v>
      </c>
      <c r="J443" s="2">
        <v>300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 t="s">
        <v>435</v>
      </c>
      <c r="Q443" s="2" t="str">
        <f t="shared" si="57"/>
        <v>SI_SA_EMK_STORM_BLADE</v>
      </c>
      <c r="R443" s="2" t="b">
        <v>0</v>
      </c>
      <c r="S443" s="2" t="b">
        <v>1</v>
      </c>
      <c r="T443" s="2">
        <v>1</v>
      </c>
    </row>
    <row r="444" spans="1:21">
      <c r="A444" s="4">
        <v>1011</v>
      </c>
      <c r="B444" s="7" t="str">
        <f>VLOOKUP($A444,SkillEnum!$A$2:$C$1020,2,FALSE)</f>
        <v>SI_SA_EMK_STORM_BLADE</v>
      </c>
      <c r="C444" s="7">
        <v>7</v>
      </c>
      <c r="D444" s="2" t="str">
        <f>VLOOKUP($C444,SkillEnum!$D$2:$E$10,2,FALSE)</f>
        <v>ST_SPECIAL_ACTIVE</v>
      </c>
      <c r="E444" s="7" t="str">
        <f>VLOOKUP($A444,SkillEnum!$A$2:$C$1020,3,FALSE)</f>
        <v>스톰 블레이드</v>
      </c>
      <c r="F444" s="7" t="str">
        <f t="shared" si="63"/>
        <v>순간적으로 다수의 검기를 생성해 마법공격력의 294 % 데미지를 주고, 생성된 검기를 회전시켜 거리에 따라 마법공격력의 98~196 %로 적들을 연속타격 한다.</v>
      </c>
      <c r="G444" s="2">
        <v>3</v>
      </c>
      <c r="H444" s="2">
        <v>0.98</v>
      </c>
      <c r="I444" s="2">
        <v>30</v>
      </c>
      <c r="J444" s="2">
        <v>300</v>
      </c>
      <c r="K444" s="2">
        <v>0</v>
      </c>
      <c r="L444" s="2">
        <v>0</v>
      </c>
      <c r="M444" s="2">
        <v>0</v>
      </c>
      <c r="N444" s="2">
        <v>0</v>
      </c>
      <c r="O444" s="2">
        <v>0</v>
      </c>
      <c r="P444" s="2" t="s">
        <v>435</v>
      </c>
      <c r="Q444" s="2" t="str">
        <f t="shared" si="57"/>
        <v>SI_SA_EMK_STORM_BLADE</v>
      </c>
      <c r="R444" s="2" t="b">
        <v>0</v>
      </c>
      <c r="S444" s="2" t="b">
        <v>1</v>
      </c>
      <c r="T444" s="2">
        <v>1</v>
      </c>
    </row>
    <row r="445" spans="1:21">
      <c r="A445" s="4">
        <v>1011</v>
      </c>
      <c r="B445" s="7" t="str">
        <f>VLOOKUP($A445,SkillEnum!$A$2:$C$1020,2,FALSE)</f>
        <v>SI_SA_EMK_STORM_BLADE</v>
      </c>
      <c r="C445" s="7">
        <v>7</v>
      </c>
      <c r="D445" s="2" t="str">
        <f>VLOOKUP($C445,SkillEnum!$D$2:$E$10,2,FALSE)</f>
        <v>ST_SPECIAL_ACTIVE</v>
      </c>
      <c r="E445" s="7" t="str">
        <f>VLOOKUP($A445,SkillEnum!$A$2:$C$1020,3,FALSE)</f>
        <v>스톰 블레이드</v>
      </c>
      <c r="F445" s="7" t="str">
        <f t="shared" si="63"/>
        <v>순간적으로 다수의 검기를 생성해 마법공격력의 336 % 데미지를 주고, 생성된 검기를 회전시켜 거리에 따라 마법공격력의 112~224 %로 적들을 연속타격 한다.</v>
      </c>
      <c r="G445" s="2">
        <v>4</v>
      </c>
      <c r="H445" s="2">
        <v>1.1200000000000001</v>
      </c>
      <c r="I445" s="2">
        <v>30</v>
      </c>
      <c r="J445" s="2">
        <v>300</v>
      </c>
      <c r="K445" s="2">
        <v>0</v>
      </c>
      <c r="L445" s="2">
        <v>0</v>
      </c>
      <c r="M445" s="2">
        <v>0</v>
      </c>
      <c r="N445" s="2">
        <v>0</v>
      </c>
      <c r="O445" s="2">
        <v>0</v>
      </c>
      <c r="P445" s="2" t="s">
        <v>435</v>
      </c>
      <c r="Q445" s="2" t="str">
        <f t="shared" si="57"/>
        <v>SI_SA_EMK_STORM_BLADE</v>
      </c>
      <c r="R445" s="2" t="b">
        <v>0</v>
      </c>
      <c r="S445" s="2" t="b">
        <v>1</v>
      </c>
      <c r="T445" s="2">
        <v>1</v>
      </c>
    </row>
    <row r="446" spans="1:21">
      <c r="A446" s="4">
        <v>1011</v>
      </c>
      <c r="B446" s="7" t="str">
        <f>VLOOKUP($A446,SkillEnum!$A$2:$C$1020,2,FALSE)</f>
        <v>SI_SA_EMK_STORM_BLADE</v>
      </c>
      <c r="C446" s="7">
        <v>7</v>
      </c>
      <c r="D446" s="2" t="str">
        <f>VLOOKUP($C446,SkillEnum!$D$2:$E$10,2,FALSE)</f>
        <v>ST_SPECIAL_ACTIVE</v>
      </c>
      <c r="E446" s="7" t="str">
        <f>VLOOKUP($A446,SkillEnum!$A$2:$C$1020,3,FALSE)</f>
        <v>스톰 블레이드</v>
      </c>
      <c r="F446" s="7" t="str">
        <f t="shared" si="63"/>
        <v>순간적으로 다수의 검기를 생성해 마법공격력의 399 % 데미지를 주고, 생성된 검기를 회전시켜 거리에 따라 마법공격력의 133~266 %로 적들을 연속타격 한다.</v>
      </c>
      <c r="G446" s="2">
        <v>5</v>
      </c>
      <c r="H446" s="2">
        <v>1.33</v>
      </c>
      <c r="I446" s="2">
        <v>30</v>
      </c>
      <c r="J446" s="2">
        <v>300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 t="s">
        <v>435</v>
      </c>
      <c r="Q446" s="2" t="str">
        <f t="shared" si="57"/>
        <v>SI_SA_EMK_STORM_BLADE</v>
      </c>
      <c r="R446" s="2" t="b">
        <v>0</v>
      </c>
      <c r="S446" s="2" t="b">
        <v>1</v>
      </c>
      <c r="T446" s="2">
        <v>1</v>
      </c>
    </row>
    <row r="447" spans="1:21">
      <c r="A447" s="4">
        <v>1011</v>
      </c>
      <c r="B447" s="7" t="str">
        <f>VLOOKUP($A447,SkillEnum!$A$2:$C$1020,2,FALSE)</f>
        <v>SI_SA_EMK_STORM_BLADE</v>
      </c>
      <c r="C447" s="7">
        <v>7</v>
      </c>
      <c r="D447" s="2" t="str">
        <f>VLOOKUP($C447,SkillEnum!$D$2:$E$10,2,FALSE)</f>
        <v>ST_SPECIAL_ACTIVE</v>
      </c>
      <c r="E447" s="7" t="str">
        <f>VLOOKUP($A447,SkillEnum!$A$2:$C$1020,3,FALSE)</f>
        <v>스톰 블레이드</v>
      </c>
      <c r="F447" s="7" t="str">
        <f t="shared" si="63"/>
        <v>순간적으로 다수의 검기를 생성해 마법공격력의 462 % 데미지를 주고, 생성된 검기를 회전시켜 거리에 따라 마법공격력의 154~308 %로 적들을 연속타격 한다.</v>
      </c>
      <c r="G447" s="2">
        <v>6</v>
      </c>
      <c r="H447" s="2">
        <v>1.54</v>
      </c>
      <c r="I447" s="2">
        <v>30</v>
      </c>
      <c r="J447" s="2">
        <v>300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 t="s">
        <v>435</v>
      </c>
      <c r="Q447" s="2" t="str">
        <f t="shared" si="57"/>
        <v>SI_SA_EMK_STORM_BLADE</v>
      </c>
      <c r="R447" s="2" t="b">
        <v>0</v>
      </c>
      <c r="S447" s="2" t="b">
        <v>1</v>
      </c>
      <c r="T447" s="2">
        <v>1</v>
      </c>
    </row>
    <row r="448" spans="1:21">
      <c r="A448" s="4">
        <v>1011</v>
      </c>
      <c r="B448" s="7" t="str">
        <f>VLOOKUP($A448,SkillEnum!$A$2:$C$1020,2,FALSE)</f>
        <v>SI_SA_EMK_STORM_BLADE</v>
      </c>
      <c r="C448" s="7">
        <v>7</v>
      </c>
      <c r="D448" s="2" t="str">
        <f>VLOOKUP($C448,SkillEnum!$D$2:$E$10,2,FALSE)</f>
        <v>ST_SPECIAL_ACTIVE</v>
      </c>
      <c r="E448" s="7" t="str">
        <f>VLOOKUP($A448,SkillEnum!$A$2:$C$1020,3,FALSE)</f>
        <v>스톰 블레이드</v>
      </c>
      <c r="F448" s="7" t="str">
        <f t="shared" si="63"/>
        <v>순간적으로 다수의 검기를 생성해 마법공격력의 525 % 데미지를 주고, 생성된 검기를 회전시켜 거리에 따라 마법공격력의 175~350 %로 적들을 연속타격 한다.</v>
      </c>
      <c r="G448" s="2">
        <v>7</v>
      </c>
      <c r="H448" s="2">
        <v>1.75</v>
      </c>
      <c r="I448" s="2">
        <v>30</v>
      </c>
      <c r="J448" s="2">
        <v>300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 t="s">
        <v>435</v>
      </c>
      <c r="Q448" s="2" t="str">
        <f t="shared" si="57"/>
        <v>SI_SA_EMK_STORM_BLADE</v>
      </c>
      <c r="R448" s="2" t="b">
        <v>0</v>
      </c>
      <c r="S448" s="2" t="b">
        <v>1</v>
      </c>
      <c r="T448" s="2">
        <v>1</v>
      </c>
    </row>
    <row r="449" spans="1:23">
      <c r="A449" s="4">
        <v>1011</v>
      </c>
      <c r="B449" s="7" t="str">
        <f>VLOOKUP($A449,SkillEnum!$A$2:$C$1020,2,FALSE)</f>
        <v>SI_SA_EMK_STORM_BLADE</v>
      </c>
      <c r="C449" s="7">
        <v>7</v>
      </c>
      <c r="D449" s="2" t="str">
        <f>VLOOKUP($C449,SkillEnum!$D$2:$E$10,2,FALSE)</f>
        <v>ST_SPECIAL_ACTIVE</v>
      </c>
      <c r="E449" s="7" t="str">
        <f>VLOOKUP($A449,SkillEnum!$A$2:$C$1020,3,FALSE)</f>
        <v>스톰 블레이드</v>
      </c>
      <c r="F449" s="7" t="str">
        <f t="shared" si="63"/>
        <v>순간적으로 다수의 검기를 생성해 마법공격력의 588 % 데미지를 주고, 생성된 검기를 회전시켜 거리에 따라 마법공격력의 196~392 %로 적들을 연속타격 한다.</v>
      </c>
      <c r="G449" s="2">
        <v>8</v>
      </c>
      <c r="H449" s="2">
        <v>1.96</v>
      </c>
      <c r="I449" s="2">
        <v>30</v>
      </c>
      <c r="J449" s="2">
        <v>300</v>
      </c>
      <c r="K449" s="2">
        <v>0</v>
      </c>
      <c r="L449" s="2">
        <v>0</v>
      </c>
      <c r="M449" s="2">
        <v>0</v>
      </c>
      <c r="N449" s="2">
        <v>0</v>
      </c>
      <c r="O449" s="2">
        <v>0</v>
      </c>
      <c r="P449" s="2" t="s">
        <v>435</v>
      </c>
      <c r="Q449" s="2" t="str">
        <f t="shared" si="57"/>
        <v>SI_SA_EMK_STORM_BLADE</v>
      </c>
      <c r="R449" s="2" t="b">
        <v>0</v>
      </c>
      <c r="S449" s="2" t="b">
        <v>1</v>
      </c>
      <c r="T449" s="2">
        <v>1</v>
      </c>
    </row>
    <row r="450" spans="1:23">
      <c r="A450" s="4">
        <v>1011</v>
      </c>
      <c r="B450" s="7" t="str">
        <f>VLOOKUP($A450,SkillEnum!$A$2:$C$1020,2,FALSE)</f>
        <v>SI_SA_EMK_STORM_BLADE</v>
      </c>
      <c r="C450" s="7">
        <v>7</v>
      </c>
      <c r="D450" s="2" t="str">
        <f>VLOOKUP($C450,SkillEnum!$D$2:$E$10,2,FALSE)</f>
        <v>ST_SPECIAL_ACTIVE</v>
      </c>
      <c r="E450" s="7" t="str">
        <f>VLOOKUP($A450,SkillEnum!$A$2:$C$1020,3,FALSE)</f>
        <v>스톰 블레이드</v>
      </c>
      <c r="F450" s="7" t="str">
        <f t="shared" si="63"/>
        <v>순간적으로 다수의 검기를 생성해 마법공격력의 672 % 데미지를 주고, 생성된 검기를 회전시켜 거리에 따라 마법공격력의 224~448 %로 적들을 연속타격 한다.</v>
      </c>
      <c r="G450" s="2">
        <v>9</v>
      </c>
      <c r="H450" s="2">
        <v>2.2400000000000002</v>
      </c>
      <c r="I450" s="2">
        <v>30</v>
      </c>
      <c r="J450" s="2">
        <v>300</v>
      </c>
      <c r="K450" s="2">
        <v>0</v>
      </c>
      <c r="L450" s="2">
        <v>0</v>
      </c>
      <c r="M450" s="2">
        <v>0</v>
      </c>
      <c r="N450" s="2">
        <v>0</v>
      </c>
      <c r="O450" s="2">
        <v>0</v>
      </c>
      <c r="P450" s="2" t="s">
        <v>435</v>
      </c>
      <c r="Q450" s="2" t="str">
        <f t="shared" si="57"/>
        <v>SI_SA_EMK_STORM_BLADE</v>
      </c>
      <c r="R450" s="2" t="b">
        <v>0</v>
      </c>
      <c r="S450" s="2" t="b">
        <v>1</v>
      </c>
      <c r="T450" s="2">
        <v>1</v>
      </c>
    </row>
    <row r="451" spans="1:23" s="5" customFormat="1">
      <c r="A451" s="6">
        <v>1011</v>
      </c>
      <c r="B451" s="8" t="str">
        <f>VLOOKUP($A451,SkillEnum!$A$2:$C$1020,2,FALSE)</f>
        <v>SI_SA_EMK_STORM_BLADE</v>
      </c>
      <c r="C451" s="8">
        <v>7</v>
      </c>
      <c r="D451" s="5" t="str">
        <f>VLOOKUP($C451,SkillEnum!$D$2:$E$10,2,FALSE)</f>
        <v>ST_SPECIAL_ACTIVE</v>
      </c>
      <c r="E451" s="8" t="str">
        <f>VLOOKUP($A451,SkillEnum!$A$2:$C$1020,3,FALSE)</f>
        <v>스톰 블레이드</v>
      </c>
      <c r="F451" s="8" t="str">
        <f t="shared" si="63"/>
        <v>순간적으로 다수의 검기를 생성해 마법공격력의 756 % 데미지를 주고, 생성된 검기를 회전시켜 거리에 따라 마법공격력의 252~504 %로 적들을 연속타격 한다.</v>
      </c>
      <c r="G451" s="5">
        <v>10</v>
      </c>
      <c r="H451" s="5">
        <v>2.52</v>
      </c>
      <c r="I451" s="5">
        <v>30</v>
      </c>
      <c r="J451" s="5">
        <v>300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2" t="s">
        <v>435</v>
      </c>
      <c r="Q451" s="2" t="str">
        <f t="shared" ref="Q451:Q554" si="64">B451</f>
        <v>SI_SA_EMK_STORM_BLADE</v>
      </c>
      <c r="R451" s="5" t="b">
        <v>0</v>
      </c>
      <c r="S451" s="2" t="b">
        <v>1</v>
      </c>
      <c r="T451" s="2">
        <v>1</v>
      </c>
      <c r="U451" s="2"/>
    </row>
    <row r="452" spans="1:23" s="10" customFormat="1">
      <c r="A452" s="9">
        <v>1012</v>
      </c>
      <c r="B452" s="11" t="str">
        <f>VLOOKUP($A452,SkillEnum!$A$2:$C$1020,2,FALSE)</f>
        <v>SI_SA_ESK_WINDMILL</v>
      </c>
      <c r="C452" s="11">
        <v>7</v>
      </c>
      <c r="D452" s="10" t="str">
        <f>VLOOKUP($C452,SkillEnum!$D$2:$E$10,2,FALSE)</f>
        <v>ST_SPECIAL_ACTIVE</v>
      </c>
      <c r="E452" s="11" t="str">
        <f>VLOOKUP($A452,SkillEnum!$A$2:$C$1020,3,FALSE)</f>
        <v>윈드밀</v>
      </c>
      <c r="F452" s="11" t="str">
        <f>"양손에 검을 쥐고 몸을 회전시켜 물리공격력의 "&amp;ROUND(2*H452*100,0)&amp;" % 로 적을 공격하는 검기의 회오리를 몸 주위에 형성한다. 이후 "&amp;W452&amp;" 초간 검기의 회오리를 유지하며 이동할 수 있고, 행동을 저지 당하지 않는 슈퍼아머 상태가 된다."</f>
        <v>양손에 검을 쥐고 몸을 회전시켜 물리공격력의 140 % 로 적을 공격하는 검기의 회오리를 몸 주위에 형성한다. 이후 3 초간 검기의 회오리를 유지하며 이동할 수 있고, 행동을 저지 당하지 않는 슈퍼아머 상태가 된다.</v>
      </c>
      <c r="G452" s="10">
        <v>1</v>
      </c>
      <c r="H452" s="2">
        <v>0.7</v>
      </c>
      <c r="I452" s="2">
        <v>10</v>
      </c>
      <c r="J452" s="2">
        <v>200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 t="s">
        <v>435</v>
      </c>
      <c r="Q452" s="2" t="str">
        <f t="shared" si="64"/>
        <v>SI_SA_ESK_WINDMILL</v>
      </c>
      <c r="R452" s="2" t="b">
        <v>0</v>
      </c>
      <c r="S452" s="2" t="b">
        <v>1</v>
      </c>
      <c r="T452" s="2">
        <v>2</v>
      </c>
      <c r="U452" s="2" t="b">
        <v>1</v>
      </c>
      <c r="V452" s="2" t="s">
        <v>153</v>
      </c>
      <c r="W452" s="10">
        <v>3</v>
      </c>
    </row>
    <row r="453" spans="1:23">
      <c r="A453" s="4">
        <v>1012</v>
      </c>
      <c r="B453" s="7" t="str">
        <f>VLOOKUP($A453,SkillEnum!$A$2:$C$1020,2,FALSE)</f>
        <v>SI_SA_ESK_WINDMILL</v>
      </c>
      <c r="C453" s="7">
        <v>7</v>
      </c>
      <c r="D453" s="2" t="str">
        <f>VLOOKUP($C453,SkillEnum!$D$2:$E$10,2,FALSE)</f>
        <v>ST_SPECIAL_ACTIVE</v>
      </c>
      <c r="E453" s="7" t="str">
        <f>VLOOKUP($A453,SkillEnum!$A$2:$C$1020,3,FALSE)</f>
        <v>윈드밀</v>
      </c>
      <c r="F453" s="7" t="str">
        <f t="shared" ref="F453:F461" si="65">"양손에 검을 쥐고 몸을 회전시켜 물리공격력의 "&amp;ROUND(2*H453*100,0)&amp;" % 로 적을 공격하는 검기의 회오리를 몸 주위에 형성한다. 이후 "&amp;W453&amp;" 초간 검기의 회오리를 유지하며 이동할 수 있고, 행동을 저지 당하지 않는 슈퍼아머 상태가 된다."</f>
        <v>양손에 검을 쥐고 몸을 회전시켜 물리공격력의 168 % 로 적을 공격하는 검기의 회오리를 몸 주위에 형성한다. 이후 3.5 초간 검기의 회오리를 유지하며 이동할 수 있고, 행동을 저지 당하지 않는 슈퍼아머 상태가 된다.</v>
      </c>
      <c r="G453" s="2">
        <v>2</v>
      </c>
      <c r="H453" s="2">
        <v>0.84</v>
      </c>
      <c r="I453" s="2">
        <v>10</v>
      </c>
      <c r="J453" s="2">
        <v>200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 t="s">
        <v>435</v>
      </c>
      <c r="Q453" s="2" t="str">
        <f t="shared" si="64"/>
        <v>SI_SA_ESK_WINDMILL</v>
      </c>
      <c r="R453" s="2" t="b">
        <v>0</v>
      </c>
      <c r="S453" s="2" t="b">
        <v>1</v>
      </c>
      <c r="T453" s="2">
        <v>2</v>
      </c>
      <c r="U453" s="2" t="b">
        <v>1</v>
      </c>
      <c r="V453" s="2" t="s">
        <v>153</v>
      </c>
      <c r="W453" s="2">
        <v>3.5</v>
      </c>
    </row>
    <row r="454" spans="1:23">
      <c r="A454" s="4">
        <v>1012</v>
      </c>
      <c r="B454" s="7" t="str">
        <f>VLOOKUP($A454,SkillEnum!$A$2:$C$1020,2,FALSE)</f>
        <v>SI_SA_ESK_WINDMILL</v>
      </c>
      <c r="C454" s="7">
        <v>7</v>
      </c>
      <c r="D454" s="2" t="str">
        <f>VLOOKUP($C454,SkillEnum!$D$2:$E$10,2,FALSE)</f>
        <v>ST_SPECIAL_ACTIVE</v>
      </c>
      <c r="E454" s="7" t="str">
        <f>VLOOKUP($A454,SkillEnum!$A$2:$C$1020,3,FALSE)</f>
        <v>윈드밀</v>
      </c>
      <c r="F454" s="7" t="str">
        <f t="shared" si="65"/>
        <v>양손에 검을 쥐고 몸을 회전시켜 물리공격력의 196 % 로 적을 공격하는 검기의 회오리를 몸 주위에 형성한다. 이후 4 초간 검기의 회오리를 유지하며 이동할 수 있고, 행동을 저지 당하지 않는 슈퍼아머 상태가 된다.</v>
      </c>
      <c r="G454" s="2">
        <v>3</v>
      </c>
      <c r="H454" s="2">
        <v>0.98</v>
      </c>
      <c r="I454" s="2">
        <v>10</v>
      </c>
      <c r="J454" s="2">
        <v>200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 t="s">
        <v>435</v>
      </c>
      <c r="Q454" s="2" t="str">
        <f t="shared" si="64"/>
        <v>SI_SA_ESK_WINDMILL</v>
      </c>
      <c r="R454" s="2" t="b">
        <v>0</v>
      </c>
      <c r="S454" s="2" t="b">
        <v>1</v>
      </c>
      <c r="T454" s="2">
        <v>2</v>
      </c>
      <c r="U454" s="2" t="b">
        <v>1</v>
      </c>
      <c r="V454" s="2" t="s">
        <v>153</v>
      </c>
      <c r="W454" s="2">
        <v>4</v>
      </c>
    </row>
    <row r="455" spans="1:23">
      <c r="A455" s="4">
        <v>1012</v>
      </c>
      <c r="B455" s="7" t="str">
        <f>VLOOKUP($A455,SkillEnum!$A$2:$C$1020,2,FALSE)</f>
        <v>SI_SA_ESK_WINDMILL</v>
      </c>
      <c r="C455" s="7">
        <v>7</v>
      </c>
      <c r="D455" s="2" t="str">
        <f>VLOOKUP($C455,SkillEnum!$D$2:$E$10,2,FALSE)</f>
        <v>ST_SPECIAL_ACTIVE</v>
      </c>
      <c r="E455" s="7" t="str">
        <f>VLOOKUP($A455,SkillEnum!$A$2:$C$1020,3,FALSE)</f>
        <v>윈드밀</v>
      </c>
      <c r="F455" s="7" t="str">
        <f t="shared" si="65"/>
        <v>양손에 검을 쥐고 몸을 회전시켜 물리공격력의 224 % 로 적을 공격하는 검기의 회오리를 몸 주위에 형성한다. 이후 4.5 초간 검기의 회오리를 유지하며 이동할 수 있고, 행동을 저지 당하지 않는 슈퍼아머 상태가 된다.</v>
      </c>
      <c r="G455" s="2">
        <v>4</v>
      </c>
      <c r="H455" s="2">
        <v>1.1200000000000001</v>
      </c>
      <c r="I455" s="2">
        <v>10</v>
      </c>
      <c r="J455" s="2">
        <v>200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 t="s">
        <v>435</v>
      </c>
      <c r="Q455" s="2" t="str">
        <f t="shared" si="64"/>
        <v>SI_SA_ESK_WINDMILL</v>
      </c>
      <c r="R455" s="2" t="b">
        <v>0</v>
      </c>
      <c r="S455" s="2" t="b">
        <v>1</v>
      </c>
      <c r="T455" s="2">
        <v>2</v>
      </c>
      <c r="U455" s="2" t="b">
        <v>1</v>
      </c>
      <c r="V455" s="2" t="s">
        <v>153</v>
      </c>
      <c r="W455" s="2">
        <v>4.5</v>
      </c>
    </row>
    <row r="456" spans="1:23">
      <c r="A456" s="4">
        <v>1012</v>
      </c>
      <c r="B456" s="7" t="str">
        <f>VLOOKUP($A456,SkillEnum!$A$2:$C$1020,2,FALSE)</f>
        <v>SI_SA_ESK_WINDMILL</v>
      </c>
      <c r="C456" s="7">
        <v>7</v>
      </c>
      <c r="D456" s="2" t="str">
        <f>VLOOKUP($C456,SkillEnum!$D$2:$E$10,2,FALSE)</f>
        <v>ST_SPECIAL_ACTIVE</v>
      </c>
      <c r="E456" s="7" t="str">
        <f>VLOOKUP($A456,SkillEnum!$A$2:$C$1020,3,FALSE)</f>
        <v>윈드밀</v>
      </c>
      <c r="F456" s="7" t="str">
        <f t="shared" si="65"/>
        <v>양손에 검을 쥐고 몸을 회전시켜 물리공격력의 266 % 로 적을 공격하는 검기의 회오리를 몸 주위에 형성한다. 이후 5 초간 검기의 회오리를 유지하며 이동할 수 있고, 행동을 저지 당하지 않는 슈퍼아머 상태가 된다.</v>
      </c>
      <c r="G456" s="2">
        <v>5</v>
      </c>
      <c r="H456" s="2">
        <v>1.33</v>
      </c>
      <c r="I456" s="2">
        <v>10</v>
      </c>
      <c r="J456" s="2">
        <v>200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 t="s">
        <v>435</v>
      </c>
      <c r="Q456" s="2" t="str">
        <f t="shared" si="64"/>
        <v>SI_SA_ESK_WINDMILL</v>
      </c>
      <c r="R456" s="2" t="b">
        <v>0</v>
      </c>
      <c r="S456" s="2" t="b">
        <v>1</v>
      </c>
      <c r="T456" s="2">
        <v>2</v>
      </c>
      <c r="U456" s="2" t="b">
        <v>1</v>
      </c>
      <c r="V456" s="2" t="s">
        <v>153</v>
      </c>
      <c r="W456" s="2">
        <v>5</v>
      </c>
    </row>
    <row r="457" spans="1:23">
      <c r="A457" s="4">
        <v>1012</v>
      </c>
      <c r="B457" s="7" t="str">
        <f>VLOOKUP($A457,SkillEnum!$A$2:$C$1020,2,FALSE)</f>
        <v>SI_SA_ESK_WINDMILL</v>
      </c>
      <c r="C457" s="7">
        <v>7</v>
      </c>
      <c r="D457" s="2" t="str">
        <f>VLOOKUP($C457,SkillEnum!$D$2:$E$10,2,FALSE)</f>
        <v>ST_SPECIAL_ACTIVE</v>
      </c>
      <c r="E457" s="7" t="str">
        <f>VLOOKUP($A457,SkillEnum!$A$2:$C$1020,3,FALSE)</f>
        <v>윈드밀</v>
      </c>
      <c r="F457" s="7" t="str">
        <f t="shared" si="65"/>
        <v>양손에 검을 쥐고 몸을 회전시켜 물리공격력의 308 % 로 적을 공격하는 검기의 회오리를 몸 주위에 형성한다. 이후 5.5 초간 검기의 회오리를 유지하며 이동할 수 있고, 행동을 저지 당하지 않는 슈퍼아머 상태가 된다.</v>
      </c>
      <c r="G457" s="2">
        <v>6</v>
      </c>
      <c r="H457" s="2">
        <v>1.54</v>
      </c>
      <c r="I457" s="2">
        <v>10</v>
      </c>
      <c r="J457" s="2">
        <v>200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 t="s">
        <v>435</v>
      </c>
      <c r="Q457" s="2" t="str">
        <f t="shared" si="64"/>
        <v>SI_SA_ESK_WINDMILL</v>
      </c>
      <c r="R457" s="2" t="b">
        <v>0</v>
      </c>
      <c r="S457" s="2" t="b">
        <v>1</v>
      </c>
      <c r="T457" s="2">
        <v>2</v>
      </c>
      <c r="U457" s="2" t="b">
        <v>1</v>
      </c>
      <c r="V457" s="2" t="s">
        <v>153</v>
      </c>
      <c r="W457" s="2">
        <v>5.5</v>
      </c>
    </row>
    <row r="458" spans="1:23">
      <c r="A458" s="4">
        <v>1012</v>
      </c>
      <c r="B458" s="7" t="str">
        <f>VLOOKUP($A458,SkillEnum!$A$2:$C$1020,2,FALSE)</f>
        <v>SI_SA_ESK_WINDMILL</v>
      </c>
      <c r="C458" s="7">
        <v>7</v>
      </c>
      <c r="D458" s="2" t="str">
        <f>VLOOKUP($C458,SkillEnum!$D$2:$E$10,2,FALSE)</f>
        <v>ST_SPECIAL_ACTIVE</v>
      </c>
      <c r="E458" s="7" t="str">
        <f>VLOOKUP($A458,SkillEnum!$A$2:$C$1020,3,FALSE)</f>
        <v>윈드밀</v>
      </c>
      <c r="F458" s="7" t="str">
        <f t="shared" si="65"/>
        <v>양손에 검을 쥐고 몸을 회전시켜 물리공격력의 350 % 로 적을 공격하는 검기의 회오리를 몸 주위에 형성한다. 이후 6 초간 검기의 회오리를 유지하며 이동할 수 있고, 행동을 저지 당하지 않는 슈퍼아머 상태가 된다.</v>
      </c>
      <c r="G458" s="2">
        <v>7</v>
      </c>
      <c r="H458" s="2">
        <v>1.75</v>
      </c>
      <c r="I458" s="2">
        <v>10</v>
      </c>
      <c r="J458" s="2">
        <v>200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 t="s">
        <v>435</v>
      </c>
      <c r="Q458" s="2" t="str">
        <f t="shared" si="64"/>
        <v>SI_SA_ESK_WINDMILL</v>
      </c>
      <c r="R458" s="2" t="b">
        <v>0</v>
      </c>
      <c r="S458" s="2" t="b">
        <v>1</v>
      </c>
      <c r="T458" s="2">
        <v>2</v>
      </c>
      <c r="U458" s="2" t="b">
        <v>1</v>
      </c>
      <c r="V458" s="2" t="s">
        <v>153</v>
      </c>
      <c r="W458" s="2">
        <v>6</v>
      </c>
    </row>
    <row r="459" spans="1:23">
      <c r="A459" s="4">
        <v>1012</v>
      </c>
      <c r="B459" s="7" t="str">
        <f>VLOOKUP($A459,SkillEnum!$A$2:$C$1020,2,FALSE)</f>
        <v>SI_SA_ESK_WINDMILL</v>
      </c>
      <c r="C459" s="7">
        <v>7</v>
      </c>
      <c r="D459" s="2" t="str">
        <f>VLOOKUP($C459,SkillEnum!$D$2:$E$10,2,FALSE)</f>
        <v>ST_SPECIAL_ACTIVE</v>
      </c>
      <c r="E459" s="7" t="str">
        <f>VLOOKUP($A459,SkillEnum!$A$2:$C$1020,3,FALSE)</f>
        <v>윈드밀</v>
      </c>
      <c r="F459" s="7" t="str">
        <f t="shared" si="65"/>
        <v>양손에 검을 쥐고 몸을 회전시켜 물리공격력의 392 % 로 적을 공격하는 검기의 회오리를 몸 주위에 형성한다. 이후 6.5 초간 검기의 회오리를 유지하며 이동할 수 있고, 행동을 저지 당하지 않는 슈퍼아머 상태가 된다.</v>
      </c>
      <c r="G459" s="2">
        <v>8</v>
      </c>
      <c r="H459" s="2">
        <v>1.96</v>
      </c>
      <c r="I459" s="2">
        <v>10</v>
      </c>
      <c r="J459" s="2">
        <v>200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 t="s">
        <v>435</v>
      </c>
      <c r="Q459" s="2" t="str">
        <f t="shared" si="64"/>
        <v>SI_SA_ESK_WINDMILL</v>
      </c>
      <c r="R459" s="2" t="b">
        <v>0</v>
      </c>
      <c r="S459" s="2" t="b">
        <v>1</v>
      </c>
      <c r="T459" s="2">
        <v>2</v>
      </c>
      <c r="U459" s="2" t="b">
        <v>1</v>
      </c>
      <c r="V459" s="2" t="s">
        <v>153</v>
      </c>
      <c r="W459" s="2">
        <v>6.5</v>
      </c>
    </row>
    <row r="460" spans="1:23">
      <c r="A460" s="4">
        <v>1012</v>
      </c>
      <c r="B460" s="7" t="str">
        <f>VLOOKUP($A460,SkillEnum!$A$2:$C$1020,2,FALSE)</f>
        <v>SI_SA_ESK_WINDMILL</v>
      </c>
      <c r="C460" s="7">
        <v>7</v>
      </c>
      <c r="D460" s="2" t="str">
        <f>VLOOKUP($C460,SkillEnum!$D$2:$E$10,2,FALSE)</f>
        <v>ST_SPECIAL_ACTIVE</v>
      </c>
      <c r="E460" s="7" t="str">
        <f>VLOOKUP($A460,SkillEnum!$A$2:$C$1020,3,FALSE)</f>
        <v>윈드밀</v>
      </c>
      <c r="F460" s="7" t="str">
        <f t="shared" si="65"/>
        <v>양손에 검을 쥐고 몸을 회전시켜 물리공격력의 448 % 로 적을 공격하는 검기의 회오리를 몸 주위에 형성한다. 이후 7 초간 검기의 회오리를 유지하며 이동할 수 있고, 행동을 저지 당하지 않는 슈퍼아머 상태가 된다.</v>
      </c>
      <c r="G460" s="2">
        <v>9</v>
      </c>
      <c r="H460" s="2">
        <v>2.2400000000000002</v>
      </c>
      <c r="I460" s="2">
        <v>10</v>
      </c>
      <c r="J460" s="2">
        <v>200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 t="s">
        <v>435</v>
      </c>
      <c r="Q460" s="2" t="str">
        <f t="shared" si="64"/>
        <v>SI_SA_ESK_WINDMILL</v>
      </c>
      <c r="R460" s="2" t="b">
        <v>0</v>
      </c>
      <c r="S460" s="2" t="b">
        <v>1</v>
      </c>
      <c r="T460" s="2">
        <v>2</v>
      </c>
      <c r="U460" s="2" t="b">
        <v>1</v>
      </c>
      <c r="V460" s="2" t="s">
        <v>153</v>
      </c>
      <c r="W460" s="2">
        <v>7</v>
      </c>
    </row>
    <row r="461" spans="1:23" s="5" customFormat="1">
      <c r="A461" s="6">
        <v>1012</v>
      </c>
      <c r="B461" s="8" t="str">
        <f>VLOOKUP($A461,SkillEnum!$A$2:$C$1020,2,FALSE)</f>
        <v>SI_SA_ESK_WINDMILL</v>
      </c>
      <c r="C461" s="8">
        <v>7</v>
      </c>
      <c r="D461" s="5" t="str">
        <f>VLOOKUP($C461,SkillEnum!$D$2:$E$10,2,FALSE)</f>
        <v>ST_SPECIAL_ACTIVE</v>
      </c>
      <c r="E461" s="8" t="str">
        <f>VLOOKUP($A461,SkillEnum!$A$2:$C$1020,3,FALSE)</f>
        <v>윈드밀</v>
      </c>
      <c r="F461" s="8" t="str">
        <f t="shared" si="65"/>
        <v>양손에 검을 쥐고 몸을 회전시켜 물리공격력의 504 % 로 적을 공격하는 검기의 회오리를 몸 주위에 형성한다. 이후 7.5 초간 검기의 회오리를 유지하며 이동할 수 있고, 행동을 저지 당하지 않는 슈퍼아머 상태가 된다.</v>
      </c>
      <c r="G461" s="5">
        <v>10</v>
      </c>
      <c r="H461" s="5">
        <v>2.52</v>
      </c>
      <c r="I461" s="5">
        <v>10</v>
      </c>
      <c r="J461" s="5">
        <v>200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2" t="s">
        <v>435</v>
      </c>
      <c r="Q461" s="2" t="str">
        <f t="shared" si="64"/>
        <v>SI_SA_ESK_WINDMILL</v>
      </c>
      <c r="R461" s="5" t="b">
        <v>0</v>
      </c>
      <c r="S461" s="2" t="b">
        <v>1</v>
      </c>
      <c r="T461" s="2">
        <v>2</v>
      </c>
      <c r="U461" s="2" t="b">
        <v>1</v>
      </c>
      <c r="V461" s="2" t="s">
        <v>153</v>
      </c>
      <c r="W461" s="5">
        <v>7.5</v>
      </c>
    </row>
    <row r="462" spans="1:23" s="10" customFormat="1">
      <c r="A462" s="9">
        <v>1013</v>
      </c>
      <c r="B462" s="11" t="str">
        <f>VLOOKUP($A462,SkillEnum!$A$2:$C$1020,2,FALSE)</f>
        <v>SI_SA_EMK_SWORD_FIRE</v>
      </c>
      <c r="C462" s="11">
        <v>7</v>
      </c>
      <c r="D462" s="10" t="str">
        <f>VLOOKUP($C462,SkillEnum!$D$2:$E$10,2,FALSE)</f>
        <v>ST_SPECIAL_ACTIVE</v>
      </c>
      <c r="E462" s="11" t="str">
        <f>VLOOKUP($A462,SkillEnum!$A$2:$C$1020,3,FALSE)</f>
        <v>소드 파이어</v>
      </c>
      <c r="F462" s="11" t="str">
        <f>"불꽃의 힘을 집중 시킨 검을 지면에 내리 찍어 반경 3M 지면에 불길을 일으키고 마법공격력의 "&amp;ROUND(4*H462*100,0)&amp;" % 데미지를 주고 6 초간 화상을 입힌다. 이후 "&amp;W462&amp;" 초간 시전자 검은 3 초간 화상을 일으키는 불꽃의 검이 된다."</f>
        <v>불꽃의 힘을 집중 시킨 검을 지면에 내리 찍어 반경 3M 지면에 불길을 일으키고 마법공격력의 280 % 데미지를 주고 6 초간 화상을 입힌다. 이후 6 초간 시전자 검은 3 초간 화상을 일으키는 불꽃의 검이 된다.</v>
      </c>
      <c r="G462" s="10">
        <v>1</v>
      </c>
      <c r="H462" s="2">
        <v>0.7</v>
      </c>
      <c r="I462" s="2">
        <v>10</v>
      </c>
      <c r="J462" s="2">
        <v>200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 t="s">
        <v>435</v>
      </c>
      <c r="Q462" s="2" t="str">
        <f t="shared" si="64"/>
        <v>SI_SA_EMK_SWORD_FIRE</v>
      </c>
      <c r="R462" s="2" t="b">
        <v>0</v>
      </c>
      <c r="S462" s="2" t="b">
        <v>1</v>
      </c>
      <c r="T462" s="2">
        <v>2</v>
      </c>
      <c r="U462" s="2" t="b">
        <v>1</v>
      </c>
      <c r="V462" s="2" t="s">
        <v>153</v>
      </c>
      <c r="W462" s="10">
        <v>6</v>
      </c>
    </row>
    <row r="463" spans="1:23">
      <c r="A463" s="4">
        <v>1013</v>
      </c>
      <c r="B463" s="7" t="str">
        <f>VLOOKUP($A463,SkillEnum!$A$2:$C$1020,2,FALSE)</f>
        <v>SI_SA_EMK_SWORD_FIRE</v>
      </c>
      <c r="C463" s="7">
        <v>7</v>
      </c>
      <c r="D463" s="2" t="str">
        <f>VLOOKUP($C463,SkillEnum!$D$2:$E$10,2,FALSE)</f>
        <v>ST_SPECIAL_ACTIVE</v>
      </c>
      <c r="E463" s="7" t="str">
        <f>VLOOKUP($A463,SkillEnum!$A$2:$C$1020,3,FALSE)</f>
        <v>소드 파이어</v>
      </c>
      <c r="F463" s="7" t="str">
        <f t="shared" ref="F463:F471" si="66">"불꽃의 힘을 집중 시킨 검을 지면에 내리 찍어 반경 3M 지면에 불길을 일으키고 마법공격력의 "&amp;ROUND(4*H463*100,0)&amp;" % 데미지를 주고 6 초간 화상을 입힌다. 이후 "&amp;W463&amp;" 초간 시전자 검은 3 초간 화상을 일으키는 불꽃의 검이 된다."</f>
        <v>불꽃의 힘을 집중 시킨 검을 지면에 내리 찍어 반경 3M 지면에 불길을 일으키고 마법공격력의 336 % 데미지를 주고 6 초간 화상을 입힌다. 이후 7 초간 시전자 검은 3 초간 화상을 일으키는 불꽃의 검이 된다.</v>
      </c>
      <c r="G463" s="2">
        <v>2</v>
      </c>
      <c r="H463" s="2">
        <v>0.84</v>
      </c>
      <c r="I463" s="2">
        <v>10</v>
      </c>
      <c r="J463" s="2">
        <v>200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 t="s">
        <v>435</v>
      </c>
      <c r="Q463" s="2" t="str">
        <f t="shared" si="64"/>
        <v>SI_SA_EMK_SWORD_FIRE</v>
      </c>
      <c r="R463" s="2" t="b">
        <v>0</v>
      </c>
      <c r="S463" s="2" t="b">
        <v>1</v>
      </c>
      <c r="T463" s="2">
        <v>2</v>
      </c>
      <c r="U463" s="2" t="b">
        <v>1</v>
      </c>
      <c r="V463" s="2" t="s">
        <v>153</v>
      </c>
      <c r="W463" s="2">
        <v>7</v>
      </c>
    </row>
    <row r="464" spans="1:23">
      <c r="A464" s="4">
        <v>1013</v>
      </c>
      <c r="B464" s="7" t="str">
        <f>VLOOKUP($A464,SkillEnum!$A$2:$C$1020,2,FALSE)</f>
        <v>SI_SA_EMK_SWORD_FIRE</v>
      </c>
      <c r="C464" s="7">
        <v>7</v>
      </c>
      <c r="D464" s="2" t="str">
        <f>VLOOKUP($C464,SkillEnum!$D$2:$E$10,2,FALSE)</f>
        <v>ST_SPECIAL_ACTIVE</v>
      </c>
      <c r="E464" s="7" t="str">
        <f>VLOOKUP($A464,SkillEnum!$A$2:$C$1020,3,FALSE)</f>
        <v>소드 파이어</v>
      </c>
      <c r="F464" s="7" t="str">
        <f t="shared" si="66"/>
        <v>불꽃의 힘을 집중 시킨 검을 지면에 내리 찍어 반경 3M 지면에 불길을 일으키고 마법공격력의 392 % 데미지를 주고 6 초간 화상을 입힌다. 이후 8 초간 시전자 검은 3 초간 화상을 일으키는 불꽃의 검이 된다.</v>
      </c>
      <c r="G464" s="2">
        <v>3</v>
      </c>
      <c r="H464" s="2">
        <v>0.98</v>
      </c>
      <c r="I464" s="2">
        <v>10</v>
      </c>
      <c r="J464" s="2">
        <v>200</v>
      </c>
      <c r="K464" s="2">
        <v>0</v>
      </c>
      <c r="L464" s="2">
        <v>0</v>
      </c>
      <c r="M464" s="2">
        <v>0</v>
      </c>
      <c r="N464" s="2">
        <v>0</v>
      </c>
      <c r="O464" s="2">
        <v>0</v>
      </c>
      <c r="P464" s="2" t="s">
        <v>435</v>
      </c>
      <c r="Q464" s="2" t="str">
        <f t="shared" si="64"/>
        <v>SI_SA_EMK_SWORD_FIRE</v>
      </c>
      <c r="R464" s="2" t="b">
        <v>0</v>
      </c>
      <c r="S464" s="2" t="b">
        <v>1</v>
      </c>
      <c r="T464" s="2">
        <v>2</v>
      </c>
      <c r="U464" s="2" t="b">
        <v>1</v>
      </c>
      <c r="V464" s="2" t="s">
        <v>153</v>
      </c>
      <c r="W464" s="2">
        <v>8</v>
      </c>
    </row>
    <row r="465" spans="1:23">
      <c r="A465" s="4">
        <v>1013</v>
      </c>
      <c r="B465" s="7" t="str">
        <f>VLOOKUP($A465,SkillEnum!$A$2:$C$1020,2,FALSE)</f>
        <v>SI_SA_EMK_SWORD_FIRE</v>
      </c>
      <c r="C465" s="7">
        <v>7</v>
      </c>
      <c r="D465" s="2" t="str">
        <f>VLOOKUP($C465,SkillEnum!$D$2:$E$10,2,FALSE)</f>
        <v>ST_SPECIAL_ACTIVE</v>
      </c>
      <c r="E465" s="7" t="str">
        <f>VLOOKUP($A465,SkillEnum!$A$2:$C$1020,3,FALSE)</f>
        <v>소드 파이어</v>
      </c>
      <c r="F465" s="7" t="str">
        <f t="shared" si="66"/>
        <v>불꽃의 힘을 집중 시킨 검을 지면에 내리 찍어 반경 3M 지면에 불길을 일으키고 마법공격력의 448 % 데미지를 주고 6 초간 화상을 입힌다. 이후 9 초간 시전자 검은 3 초간 화상을 일으키는 불꽃의 검이 된다.</v>
      </c>
      <c r="G465" s="2">
        <v>4</v>
      </c>
      <c r="H465" s="2">
        <v>1.1200000000000001</v>
      </c>
      <c r="I465" s="2">
        <v>10</v>
      </c>
      <c r="J465" s="2">
        <v>200</v>
      </c>
      <c r="K465" s="2">
        <v>0</v>
      </c>
      <c r="L465" s="2">
        <v>0</v>
      </c>
      <c r="M465" s="2">
        <v>0</v>
      </c>
      <c r="N465" s="2">
        <v>0</v>
      </c>
      <c r="O465" s="2">
        <v>0</v>
      </c>
      <c r="P465" s="2" t="s">
        <v>435</v>
      </c>
      <c r="Q465" s="2" t="str">
        <f t="shared" si="64"/>
        <v>SI_SA_EMK_SWORD_FIRE</v>
      </c>
      <c r="R465" s="2" t="b">
        <v>0</v>
      </c>
      <c r="S465" s="2" t="b">
        <v>1</v>
      </c>
      <c r="T465" s="2">
        <v>2</v>
      </c>
      <c r="U465" s="2" t="b">
        <v>1</v>
      </c>
      <c r="V465" s="2" t="s">
        <v>153</v>
      </c>
      <c r="W465" s="2">
        <v>9</v>
      </c>
    </row>
    <row r="466" spans="1:23">
      <c r="A466" s="4">
        <v>1013</v>
      </c>
      <c r="B466" s="7" t="str">
        <f>VLOOKUP($A466,SkillEnum!$A$2:$C$1020,2,FALSE)</f>
        <v>SI_SA_EMK_SWORD_FIRE</v>
      </c>
      <c r="C466" s="7">
        <v>7</v>
      </c>
      <c r="D466" s="2" t="str">
        <f>VLOOKUP($C466,SkillEnum!$D$2:$E$10,2,FALSE)</f>
        <v>ST_SPECIAL_ACTIVE</v>
      </c>
      <c r="E466" s="7" t="str">
        <f>VLOOKUP($A466,SkillEnum!$A$2:$C$1020,3,FALSE)</f>
        <v>소드 파이어</v>
      </c>
      <c r="F466" s="7" t="str">
        <f t="shared" si="66"/>
        <v>불꽃의 힘을 집중 시킨 검을 지면에 내리 찍어 반경 3M 지면에 불길을 일으키고 마법공격력의 532 % 데미지를 주고 6 초간 화상을 입힌다. 이후 10 초간 시전자 검은 3 초간 화상을 일으키는 불꽃의 검이 된다.</v>
      </c>
      <c r="G466" s="2">
        <v>5</v>
      </c>
      <c r="H466" s="2">
        <v>1.33</v>
      </c>
      <c r="I466" s="2">
        <v>10</v>
      </c>
      <c r="J466" s="2">
        <v>200</v>
      </c>
      <c r="K466" s="2">
        <v>0</v>
      </c>
      <c r="L466" s="2">
        <v>0</v>
      </c>
      <c r="M466" s="2">
        <v>0</v>
      </c>
      <c r="N466" s="2">
        <v>0</v>
      </c>
      <c r="O466" s="2">
        <v>0</v>
      </c>
      <c r="P466" s="2" t="s">
        <v>435</v>
      </c>
      <c r="Q466" s="2" t="str">
        <f t="shared" si="64"/>
        <v>SI_SA_EMK_SWORD_FIRE</v>
      </c>
      <c r="R466" s="2" t="b">
        <v>0</v>
      </c>
      <c r="S466" s="2" t="b">
        <v>1</v>
      </c>
      <c r="T466" s="2">
        <v>2</v>
      </c>
      <c r="U466" s="2" t="b">
        <v>1</v>
      </c>
      <c r="V466" s="2" t="s">
        <v>153</v>
      </c>
      <c r="W466" s="2">
        <v>10</v>
      </c>
    </row>
    <row r="467" spans="1:23">
      <c r="A467" s="4">
        <v>1013</v>
      </c>
      <c r="B467" s="7" t="str">
        <f>VLOOKUP($A467,SkillEnum!$A$2:$C$1020,2,FALSE)</f>
        <v>SI_SA_EMK_SWORD_FIRE</v>
      </c>
      <c r="C467" s="7">
        <v>7</v>
      </c>
      <c r="D467" s="2" t="str">
        <f>VLOOKUP($C467,SkillEnum!$D$2:$E$10,2,FALSE)</f>
        <v>ST_SPECIAL_ACTIVE</v>
      </c>
      <c r="E467" s="7" t="str">
        <f>VLOOKUP($A467,SkillEnum!$A$2:$C$1020,3,FALSE)</f>
        <v>소드 파이어</v>
      </c>
      <c r="F467" s="7" t="str">
        <f t="shared" si="66"/>
        <v>불꽃의 힘을 집중 시킨 검을 지면에 내리 찍어 반경 3M 지면에 불길을 일으키고 마법공격력의 616 % 데미지를 주고 6 초간 화상을 입힌다. 이후 11 초간 시전자 검은 3 초간 화상을 일으키는 불꽃의 검이 된다.</v>
      </c>
      <c r="G467" s="2">
        <v>6</v>
      </c>
      <c r="H467" s="2">
        <v>1.54</v>
      </c>
      <c r="I467" s="2">
        <v>10</v>
      </c>
      <c r="J467" s="2">
        <v>200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 t="s">
        <v>435</v>
      </c>
      <c r="Q467" s="2" t="str">
        <f t="shared" si="64"/>
        <v>SI_SA_EMK_SWORD_FIRE</v>
      </c>
      <c r="R467" s="2" t="b">
        <v>0</v>
      </c>
      <c r="S467" s="2" t="b">
        <v>1</v>
      </c>
      <c r="T467" s="2">
        <v>2</v>
      </c>
      <c r="U467" s="2" t="b">
        <v>1</v>
      </c>
      <c r="V467" s="2" t="s">
        <v>153</v>
      </c>
      <c r="W467" s="2">
        <v>11</v>
      </c>
    </row>
    <row r="468" spans="1:23">
      <c r="A468" s="4">
        <v>1013</v>
      </c>
      <c r="B468" s="7" t="str">
        <f>VLOOKUP($A468,SkillEnum!$A$2:$C$1020,2,FALSE)</f>
        <v>SI_SA_EMK_SWORD_FIRE</v>
      </c>
      <c r="C468" s="7">
        <v>7</v>
      </c>
      <c r="D468" s="2" t="str">
        <f>VLOOKUP($C468,SkillEnum!$D$2:$E$10,2,FALSE)</f>
        <v>ST_SPECIAL_ACTIVE</v>
      </c>
      <c r="E468" s="7" t="str">
        <f>VLOOKUP($A468,SkillEnum!$A$2:$C$1020,3,FALSE)</f>
        <v>소드 파이어</v>
      </c>
      <c r="F468" s="7" t="str">
        <f t="shared" si="66"/>
        <v>불꽃의 힘을 집중 시킨 검을 지면에 내리 찍어 반경 3M 지면에 불길을 일으키고 마법공격력의 700 % 데미지를 주고 6 초간 화상을 입힌다. 이후 12 초간 시전자 검은 3 초간 화상을 일으키는 불꽃의 검이 된다.</v>
      </c>
      <c r="G468" s="2">
        <v>7</v>
      </c>
      <c r="H468" s="2">
        <v>1.75</v>
      </c>
      <c r="I468" s="2">
        <v>10</v>
      </c>
      <c r="J468" s="2">
        <v>200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 t="s">
        <v>435</v>
      </c>
      <c r="Q468" s="2" t="str">
        <f t="shared" si="64"/>
        <v>SI_SA_EMK_SWORD_FIRE</v>
      </c>
      <c r="R468" s="2" t="b">
        <v>0</v>
      </c>
      <c r="S468" s="2" t="b">
        <v>1</v>
      </c>
      <c r="T468" s="2">
        <v>2</v>
      </c>
      <c r="U468" s="2" t="b">
        <v>1</v>
      </c>
      <c r="V468" s="2" t="s">
        <v>153</v>
      </c>
      <c r="W468" s="2">
        <v>12</v>
      </c>
    </row>
    <row r="469" spans="1:23">
      <c r="A469" s="4">
        <v>1013</v>
      </c>
      <c r="B469" s="7" t="str">
        <f>VLOOKUP($A469,SkillEnum!$A$2:$C$1020,2,FALSE)</f>
        <v>SI_SA_EMK_SWORD_FIRE</v>
      </c>
      <c r="C469" s="7">
        <v>7</v>
      </c>
      <c r="D469" s="2" t="str">
        <f>VLOOKUP($C469,SkillEnum!$D$2:$E$10,2,FALSE)</f>
        <v>ST_SPECIAL_ACTIVE</v>
      </c>
      <c r="E469" s="7" t="str">
        <f>VLOOKUP($A469,SkillEnum!$A$2:$C$1020,3,FALSE)</f>
        <v>소드 파이어</v>
      </c>
      <c r="F469" s="7" t="str">
        <f t="shared" si="66"/>
        <v>불꽃의 힘을 집중 시킨 검을 지면에 내리 찍어 반경 3M 지면에 불길을 일으키고 마법공격력의 784 % 데미지를 주고 6 초간 화상을 입힌다. 이후 13 초간 시전자 검은 3 초간 화상을 일으키는 불꽃의 검이 된다.</v>
      </c>
      <c r="G469" s="2">
        <v>8</v>
      </c>
      <c r="H469" s="2">
        <v>1.96</v>
      </c>
      <c r="I469" s="2">
        <v>10</v>
      </c>
      <c r="J469" s="2">
        <v>200</v>
      </c>
      <c r="K469" s="2">
        <v>0</v>
      </c>
      <c r="L469" s="2">
        <v>0</v>
      </c>
      <c r="M469" s="2">
        <v>0</v>
      </c>
      <c r="N469" s="2">
        <v>0</v>
      </c>
      <c r="O469" s="2">
        <v>0</v>
      </c>
      <c r="P469" s="2" t="s">
        <v>435</v>
      </c>
      <c r="Q469" s="2" t="str">
        <f t="shared" si="64"/>
        <v>SI_SA_EMK_SWORD_FIRE</v>
      </c>
      <c r="R469" s="2" t="b">
        <v>0</v>
      </c>
      <c r="S469" s="2" t="b">
        <v>1</v>
      </c>
      <c r="T469" s="2">
        <v>2</v>
      </c>
      <c r="U469" s="2" t="b">
        <v>1</v>
      </c>
      <c r="V469" s="2" t="s">
        <v>153</v>
      </c>
      <c r="W469" s="2">
        <v>13</v>
      </c>
    </row>
    <row r="470" spans="1:23">
      <c r="A470" s="4">
        <v>1013</v>
      </c>
      <c r="B470" s="7" t="str">
        <f>VLOOKUP($A470,SkillEnum!$A$2:$C$1020,2,FALSE)</f>
        <v>SI_SA_EMK_SWORD_FIRE</v>
      </c>
      <c r="C470" s="7">
        <v>7</v>
      </c>
      <c r="D470" s="2" t="str">
        <f>VLOOKUP($C470,SkillEnum!$D$2:$E$10,2,FALSE)</f>
        <v>ST_SPECIAL_ACTIVE</v>
      </c>
      <c r="E470" s="7" t="str">
        <f>VLOOKUP($A470,SkillEnum!$A$2:$C$1020,3,FALSE)</f>
        <v>소드 파이어</v>
      </c>
      <c r="F470" s="7" t="str">
        <f t="shared" si="66"/>
        <v>불꽃의 힘을 집중 시킨 검을 지면에 내리 찍어 반경 3M 지면에 불길을 일으키고 마법공격력의 896 % 데미지를 주고 6 초간 화상을 입힌다. 이후 14 초간 시전자 검은 3 초간 화상을 일으키는 불꽃의 검이 된다.</v>
      </c>
      <c r="G470" s="2">
        <v>9</v>
      </c>
      <c r="H470" s="2">
        <v>2.2400000000000002</v>
      </c>
      <c r="I470" s="2">
        <v>10</v>
      </c>
      <c r="J470" s="2">
        <v>200</v>
      </c>
      <c r="K470" s="2">
        <v>0</v>
      </c>
      <c r="L470" s="2">
        <v>0</v>
      </c>
      <c r="M470" s="2">
        <v>0</v>
      </c>
      <c r="N470" s="2">
        <v>0</v>
      </c>
      <c r="O470" s="2">
        <v>0</v>
      </c>
      <c r="P470" s="2" t="s">
        <v>435</v>
      </c>
      <c r="Q470" s="2" t="str">
        <f t="shared" si="64"/>
        <v>SI_SA_EMK_SWORD_FIRE</v>
      </c>
      <c r="R470" s="2" t="b">
        <v>0</v>
      </c>
      <c r="S470" s="2" t="b">
        <v>1</v>
      </c>
      <c r="T470" s="2">
        <v>2</v>
      </c>
      <c r="U470" s="2" t="b">
        <v>1</v>
      </c>
      <c r="V470" s="2" t="s">
        <v>153</v>
      </c>
      <c r="W470" s="2">
        <v>14</v>
      </c>
    </row>
    <row r="471" spans="1:23" s="5" customFormat="1">
      <c r="A471" s="6">
        <v>1013</v>
      </c>
      <c r="B471" s="8" t="str">
        <f>VLOOKUP($A471,SkillEnum!$A$2:$C$1020,2,FALSE)</f>
        <v>SI_SA_EMK_SWORD_FIRE</v>
      </c>
      <c r="C471" s="8">
        <v>7</v>
      </c>
      <c r="D471" s="5" t="str">
        <f>VLOOKUP($C471,SkillEnum!$D$2:$E$10,2,FALSE)</f>
        <v>ST_SPECIAL_ACTIVE</v>
      </c>
      <c r="E471" s="8" t="str">
        <f>VLOOKUP($A471,SkillEnum!$A$2:$C$1020,3,FALSE)</f>
        <v>소드 파이어</v>
      </c>
      <c r="F471" s="8" t="str">
        <f t="shared" si="66"/>
        <v>불꽃의 힘을 집중 시킨 검을 지면에 내리 찍어 반경 3M 지면에 불길을 일으키고 마법공격력의 1008 % 데미지를 주고 6 초간 화상을 입힌다. 이후 15 초간 시전자 검은 3 초간 화상을 일으키는 불꽃의 검이 된다.</v>
      </c>
      <c r="G471" s="5">
        <v>10</v>
      </c>
      <c r="H471" s="5">
        <v>2.52</v>
      </c>
      <c r="I471" s="5">
        <v>10</v>
      </c>
      <c r="J471" s="5">
        <v>200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2" t="s">
        <v>435</v>
      </c>
      <c r="Q471" s="2" t="str">
        <f t="shared" ref="Q471" si="67">B471</f>
        <v>SI_SA_EMK_SWORD_FIRE</v>
      </c>
      <c r="R471" s="5" t="b">
        <v>0</v>
      </c>
      <c r="S471" s="2" t="b">
        <v>1</v>
      </c>
      <c r="T471" s="2">
        <v>2</v>
      </c>
      <c r="U471" s="2" t="b">
        <v>1</v>
      </c>
      <c r="V471" s="2" t="s">
        <v>153</v>
      </c>
      <c r="W471" s="5">
        <v>15</v>
      </c>
    </row>
    <row r="472" spans="1:23" s="10" customFormat="1">
      <c r="A472" s="9">
        <v>1200</v>
      </c>
      <c r="B472" s="11" t="str">
        <f>VLOOKUP($A472,SkillEnum!$A$2:$C$1020,2,FALSE)</f>
        <v>SI_A_ES_COUNTER</v>
      </c>
      <c r="C472" s="11">
        <v>6</v>
      </c>
      <c r="D472" s="10" t="str">
        <f>VLOOKUP($C472,SkillEnum!$D$2:$E$10,2,FALSE)</f>
        <v>ST_ACTIVE</v>
      </c>
      <c r="E472" s="11" t="str">
        <f>VLOOKUP($A472,SkillEnum!$A$2:$C$1020,3,FALSE)</f>
        <v>반격</v>
      </c>
      <c r="F472" s="11" t="str">
        <f t="shared" ref="F472:F481" si="68">"상대의 공격을 되받아 쳐 상대의 공격을 무력화 시키고 데미지를 준다."</f>
        <v>상대의 공격을 되받아 쳐 상대의 공격을 무력화 시키고 데미지를 준다.</v>
      </c>
      <c r="G472" s="10">
        <v>1</v>
      </c>
      <c r="H472" s="2">
        <v>1</v>
      </c>
      <c r="I472" s="2">
        <v>0</v>
      </c>
      <c r="J472" s="2">
        <v>20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 t="s">
        <v>435</v>
      </c>
      <c r="Q472" s="2" t="str">
        <f t="shared" si="64"/>
        <v>SI_A_ES_COUNTER</v>
      </c>
      <c r="R472" s="2" t="b">
        <v>0</v>
      </c>
      <c r="S472" s="2" t="b">
        <v>0</v>
      </c>
      <c r="T472" s="2">
        <v>1</v>
      </c>
      <c r="U472" s="2"/>
    </row>
    <row r="473" spans="1:23">
      <c r="A473" s="4">
        <v>1200</v>
      </c>
      <c r="B473" s="7" t="str">
        <f>VLOOKUP($A473,SkillEnum!$A$2:$C$1020,2,FALSE)</f>
        <v>SI_A_ES_COUNTER</v>
      </c>
      <c r="C473" s="7">
        <v>6</v>
      </c>
      <c r="D473" s="2" t="str">
        <f>VLOOKUP($C473,SkillEnum!$D$2:$E$10,2,FALSE)</f>
        <v>ST_ACTIVE</v>
      </c>
      <c r="E473" s="7" t="str">
        <f>VLOOKUP($A473,SkillEnum!$A$2:$C$1020,3,FALSE)</f>
        <v>반격</v>
      </c>
      <c r="F473" s="7" t="str">
        <f t="shared" si="68"/>
        <v>상대의 공격을 되받아 쳐 상대의 공격을 무력화 시키고 데미지를 준다.</v>
      </c>
      <c r="G473" s="2">
        <v>2</v>
      </c>
      <c r="H473" s="2">
        <v>1</v>
      </c>
      <c r="I473" s="2">
        <v>0</v>
      </c>
      <c r="J473" s="2">
        <v>20</v>
      </c>
      <c r="K473" s="2">
        <v>0</v>
      </c>
      <c r="L473" s="2">
        <v>0</v>
      </c>
      <c r="M473" s="2">
        <v>0</v>
      </c>
      <c r="N473" s="2">
        <v>0</v>
      </c>
      <c r="O473" s="2">
        <v>0</v>
      </c>
      <c r="P473" s="2" t="s">
        <v>435</v>
      </c>
      <c r="Q473" s="2" t="str">
        <f t="shared" si="64"/>
        <v>SI_A_ES_COUNTER</v>
      </c>
      <c r="R473" s="2" t="b">
        <v>0</v>
      </c>
      <c r="S473" s="2" t="b">
        <v>0</v>
      </c>
      <c r="T473" s="2">
        <v>1</v>
      </c>
    </row>
    <row r="474" spans="1:23">
      <c r="A474" s="4">
        <v>1200</v>
      </c>
      <c r="B474" s="7" t="str">
        <f>VLOOKUP($A474,SkillEnum!$A$2:$C$1020,2,FALSE)</f>
        <v>SI_A_ES_COUNTER</v>
      </c>
      <c r="C474" s="7">
        <v>6</v>
      </c>
      <c r="D474" s="2" t="str">
        <f>VLOOKUP($C474,SkillEnum!$D$2:$E$10,2,FALSE)</f>
        <v>ST_ACTIVE</v>
      </c>
      <c r="E474" s="7" t="str">
        <f>VLOOKUP($A474,SkillEnum!$A$2:$C$1020,3,FALSE)</f>
        <v>반격</v>
      </c>
      <c r="F474" s="7" t="str">
        <f t="shared" si="68"/>
        <v>상대의 공격을 되받아 쳐 상대의 공격을 무력화 시키고 데미지를 준다.</v>
      </c>
      <c r="G474" s="2">
        <v>3</v>
      </c>
      <c r="H474" s="2">
        <v>1</v>
      </c>
      <c r="I474" s="2">
        <v>0</v>
      </c>
      <c r="J474" s="2">
        <v>20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 t="s">
        <v>435</v>
      </c>
      <c r="Q474" s="2" t="str">
        <f t="shared" si="64"/>
        <v>SI_A_ES_COUNTER</v>
      </c>
      <c r="R474" s="2" t="b">
        <v>0</v>
      </c>
      <c r="S474" s="2" t="b">
        <v>0</v>
      </c>
      <c r="T474" s="2">
        <v>1</v>
      </c>
    </row>
    <row r="475" spans="1:23">
      <c r="A475" s="4">
        <v>1200</v>
      </c>
      <c r="B475" s="7" t="str">
        <f>VLOOKUP($A475,SkillEnum!$A$2:$C$1020,2,FALSE)</f>
        <v>SI_A_ES_COUNTER</v>
      </c>
      <c r="C475" s="7">
        <v>6</v>
      </c>
      <c r="D475" s="2" t="str">
        <f>VLOOKUP($C475,SkillEnum!$D$2:$E$10,2,FALSE)</f>
        <v>ST_ACTIVE</v>
      </c>
      <c r="E475" s="7" t="str">
        <f>VLOOKUP($A475,SkillEnum!$A$2:$C$1020,3,FALSE)</f>
        <v>반격</v>
      </c>
      <c r="F475" s="7" t="str">
        <f t="shared" si="68"/>
        <v>상대의 공격을 되받아 쳐 상대의 공격을 무력화 시키고 데미지를 준다.</v>
      </c>
      <c r="G475" s="2">
        <v>4</v>
      </c>
      <c r="H475" s="2">
        <v>1</v>
      </c>
      <c r="I475" s="2">
        <v>0</v>
      </c>
      <c r="J475" s="2">
        <v>20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 t="s">
        <v>435</v>
      </c>
      <c r="Q475" s="2" t="str">
        <f t="shared" si="64"/>
        <v>SI_A_ES_COUNTER</v>
      </c>
      <c r="R475" s="2" t="b">
        <v>0</v>
      </c>
      <c r="S475" s="2" t="b">
        <v>0</v>
      </c>
      <c r="T475" s="2">
        <v>1</v>
      </c>
    </row>
    <row r="476" spans="1:23">
      <c r="A476" s="4">
        <v>1200</v>
      </c>
      <c r="B476" s="7" t="str">
        <f>VLOOKUP($A476,SkillEnum!$A$2:$C$1020,2,FALSE)</f>
        <v>SI_A_ES_COUNTER</v>
      </c>
      <c r="C476" s="7">
        <v>6</v>
      </c>
      <c r="D476" s="2" t="str">
        <f>VLOOKUP($C476,SkillEnum!$D$2:$E$10,2,FALSE)</f>
        <v>ST_ACTIVE</v>
      </c>
      <c r="E476" s="7" t="str">
        <f>VLOOKUP($A476,SkillEnum!$A$2:$C$1020,3,FALSE)</f>
        <v>반격</v>
      </c>
      <c r="F476" s="7" t="str">
        <f t="shared" si="68"/>
        <v>상대의 공격을 되받아 쳐 상대의 공격을 무력화 시키고 데미지를 준다.</v>
      </c>
      <c r="G476" s="2">
        <v>5</v>
      </c>
      <c r="H476" s="2">
        <v>1</v>
      </c>
      <c r="I476" s="2">
        <v>0</v>
      </c>
      <c r="J476" s="2">
        <v>20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 t="s">
        <v>435</v>
      </c>
      <c r="Q476" s="2" t="str">
        <f t="shared" si="64"/>
        <v>SI_A_ES_COUNTER</v>
      </c>
      <c r="R476" s="2" t="b">
        <v>0</v>
      </c>
      <c r="S476" s="2" t="b">
        <v>0</v>
      </c>
      <c r="T476" s="2">
        <v>1</v>
      </c>
    </row>
    <row r="477" spans="1:23">
      <c r="A477" s="4">
        <v>1200</v>
      </c>
      <c r="B477" s="7" t="str">
        <f>VLOOKUP($A477,SkillEnum!$A$2:$C$1020,2,FALSE)</f>
        <v>SI_A_ES_COUNTER</v>
      </c>
      <c r="C477" s="7">
        <v>6</v>
      </c>
      <c r="D477" s="2" t="str">
        <f>VLOOKUP($C477,SkillEnum!$D$2:$E$10,2,FALSE)</f>
        <v>ST_ACTIVE</v>
      </c>
      <c r="E477" s="7" t="str">
        <f>VLOOKUP($A477,SkillEnum!$A$2:$C$1020,3,FALSE)</f>
        <v>반격</v>
      </c>
      <c r="F477" s="7" t="str">
        <f t="shared" si="68"/>
        <v>상대의 공격을 되받아 쳐 상대의 공격을 무력화 시키고 데미지를 준다.</v>
      </c>
      <c r="G477" s="2">
        <v>6</v>
      </c>
      <c r="H477" s="2">
        <v>1</v>
      </c>
      <c r="I477" s="2">
        <v>0</v>
      </c>
      <c r="J477" s="2">
        <v>20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 t="s">
        <v>435</v>
      </c>
      <c r="Q477" s="2" t="str">
        <f t="shared" si="64"/>
        <v>SI_A_ES_COUNTER</v>
      </c>
      <c r="R477" s="2" t="b">
        <v>0</v>
      </c>
      <c r="S477" s="2" t="b">
        <v>0</v>
      </c>
      <c r="T477" s="2">
        <v>1</v>
      </c>
    </row>
    <row r="478" spans="1:23">
      <c r="A478" s="4">
        <v>1200</v>
      </c>
      <c r="B478" s="7" t="str">
        <f>VLOOKUP($A478,SkillEnum!$A$2:$C$1020,2,FALSE)</f>
        <v>SI_A_ES_COUNTER</v>
      </c>
      <c r="C478" s="7">
        <v>6</v>
      </c>
      <c r="D478" s="2" t="str">
        <f>VLOOKUP($C478,SkillEnum!$D$2:$E$10,2,FALSE)</f>
        <v>ST_ACTIVE</v>
      </c>
      <c r="E478" s="7" t="str">
        <f>VLOOKUP($A478,SkillEnum!$A$2:$C$1020,3,FALSE)</f>
        <v>반격</v>
      </c>
      <c r="F478" s="7" t="str">
        <f t="shared" si="68"/>
        <v>상대의 공격을 되받아 쳐 상대의 공격을 무력화 시키고 데미지를 준다.</v>
      </c>
      <c r="G478" s="2">
        <v>7</v>
      </c>
      <c r="H478" s="2">
        <v>1</v>
      </c>
      <c r="I478" s="2">
        <v>0</v>
      </c>
      <c r="J478" s="2">
        <v>20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 t="s">
        <v>435</v>
      </c>
      <c r="Q478" s="2" t="str">
        <f t="shared" si="64"/>
        <v>SI_A_ES_COUNTER</v>
      </c>
      <c r="R478" s="2" t="b">
        <v>0</v>
      </c>
      <c r="S478" s="2" t="b">
        <v>0</v>
      </c>
      <c r="T478" s="2">
        <v>1</v>
      </c>
    </row>
    <row r="479" spans="1:23">
      <c r="A479" s="4">
        <v>1200</v>
      </c>
      <c r="B479" s="7" t="str">
        <f>VLOOKUP($A479,SkillEnum!$A$2:$C$1020,2,FALSE)</f>
        <v>SI_A_ES_COUNTER</v>
      </c>
      <c r="C479" s="7">
        <v>6</v>
      </c>
      <c r="D479" s="2" t="str">
        <f>VLOOKUP($C479,SkillEnum!$D$2:$E$10,2,FALSE)</f>
        <v>ST_ACTIVE</v>
      </c>
      <c r="E479" s="7" t="str">
        <f>VLOOKUP($A479,SkillEnum!$A$2:$C$1020,3,FALSE)</f>
        <v>반격</v>
      </c>
      <c r="F479" s="7" t="str">
        <f t="shared" si="68"/>
        <v>상대의 공격을 되받아 쳐 상대의 공격을 무력화 시키고 데미지를 준다.</v>
      </c>
      <c r="G479" s="2">
        <v>8</v>
      </c>
      <c r="H479" s="2">
        <v>1</v>
      </c>
      <c r="I479" s="2">
        <v>0</v>
      </c>
      <c r="J479" s="2">
        <v>20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 t="s">
        <v>435</v>
      </c>
      <c r="Q479" s="2" t="str">
        <f t="shared" si="64"/>
        <v>SI_A_ES_COUNTER</v>
      </c>
      <c r="R479" s="2" t="b">
        <v>0</v>
      </c>
      <c r="S479" s="2" t="b">
        <v>0</v>
      </c>
      <c r="T479" s="2">
        <v>1</v>
      </c>
    </row>
    <row r="480" spans="1:23">
      <c r="A480" s="4">
        <v>1200</v>
      </c>
      <c r="B480" s="7" t="str">
        <f>VLOOKUP($A480,SkillEnum!$A$2:$C$1020,2,FALSE)</f>
        <v>SI_A_ES_COUNTER</v>
      </c>
      <c r="C480" s="7">
        <v>6</v>
      </c>
      <c r="D480" s="2" t="str">
        <f>VLOOKUP($C480,SkillEnum!$D$2:$E$10,2,FALSE)</f>
        <v>ST_ACTIVE</v>
      </c>
      <c r="E480" s="7" t="str">
        <f>VLOOKUP($A480,SkillEnum!$A$2:$C$1020,3,FALSE)</f>
        <v>반격</v>
      </c>
      <c r="F480" s="7" t="str">
        <f t="shared" si="68"/>
        <v>상대의 공격을 되받아 쳐 상대의 공격을 무력화 시키고 데미지를 준다.</v>
      </c>
      <c r="G480" s="2">
        <v>9</v>
      </c>
      <c r="H480" s="2">
        <v>1</v>
      </c>
      <c r="I480" s="2">
        <v>0</v>
      </c>
      <c r="J480" s="2">
        <v>20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 t="s">
        <v>435</v>
      </c>
      <c r="Q480" s="2" t="str">
        <f t="shared" si="64"/>
        <v>SI_A_ES_COUNTER</v>
      </c>
      <c r="R480" s="2" t="b">
        <v>0</v>
      </c>
      <c r="S480" s="2" t="b">
        <v>0</v>
      </c>
      <c r="T480" s="2">
        <v>1</v>
      </c>
    </row>
    <row r="481" spans="1:26" s="5" customFormat="1">
      <c r="A481" s="6">
        <v>1200</v>
      </c>
      <c r="B481" s="8" t="str">
        <f>VLOOKUP($A481,SkillEnum!$A$2:$C$1020,2,FALSE)</f>
        <v>SI_A_ES_COUNTER</v>
      </c>
      <c r="C481" s="8">
        <v>6</v>
      </c>
      <c r="D481" s="5" t="str">
        <f>VLOOKUP($C481,SkillEnum!$D$2:$E$10,2,FALSE)</f>
        <v>ST_ACTIVE</v>
      </c>
      <c r="E481" s="8" t="str">
        <f>VLOOKUP($A481,SkillEnum!$A$2:$C$1020,3,FALSE)</f>
        <v>반격</v>
      </c>
      <c r="F481" s="8" t="str">
        <f t="shared" si="68"/>
        <v>상대의 공격을 되받아 쳐 상대의 공격을 무력화 시키고 데미지를 준다.</v>
      </c>
      <c r="G481" s="5">
        <v>10</v>
      </c>
      <c r="H481" s="5">
        <v>1</v>
      </c>
      <c r="I481" s="5">
        <v>0</v>
      </c>
      <c r="J481" s="5">
        <v>20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2" t="s">
        <v>435</v>
      </c>
      <c r="Q481" s="2" t="str">
        <f t="shared" si="64"/>
        <v>SI_A_ES_COUNTER</v>
      </c>
      <c r="R481" s="5" t="b">
        <v>0</v>
      </c>
      <c r="S481" s="2" t="b">
        <v>0</v>
      </c>
      <c r="T481" s="2">
        <v>1</v>
      </c>
      <c r="U481" s="2"/>
    </row>
    <row r="482" spans="1:26" s="10" customFormat="1">
      <c r="A482" s="9">
        <v>1201</v>
      </c>
      <c r="B482" s="11" t="str">
        <f>VLOOKUP($A482,SkillEnum!$A$2:$C$1020,2,FALSE)</f>
        <v>SI_A_ES_ENDURANCE</v>
      </c>
      <c r="C482" s="11">
        <v>6</v>
      </c>
      <c r="D482" s="10" t="str">
        <f>VLOOKUP($C482,SkillEnum!$D$2:$E$10,2,FALSE)</f>
        <v>ST_ACTIVE</v>
      </c>
      <c r="E482" s="11" t="str">
        <f>VLOOKUP($A482,SkillEnum!$A$2:$C$1020,3,FALSE)</f>
        <v>극기</v>
      </c>
      <c r="F482" s="11" t="str">
        <f t="shared" ref="F482:F491" si="69">Y482&amp;" 초 동안 슈퍼아머 상태가 되지만 받는 피해가 "&amp;ROUND((W482-1)*100,0)&amp;" % 증가 한다."</f>
        <v>2 초 동안 슈퍼아머 상태가 되지만 받는 피해가 100 % 증가 한다.</v>
      </c>
      <c r="G482" s="10">
        <v>1</v>
      </c>
      <c r="H482" s="2">
        <v>1</v>
      </c>
      <c r="I482" s="2">
        <v>20</v>
      </c>
      <c r="J482" s="2">
        <v>50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 t="s">
        <v>435</v>
      </c>
      <c r="Q482" s="2" t="str">
        <f t="shared" si="64"/>
        <v>SI_A_ES_ENDURANCE</v>
      </c>
      <c r="R482" s="2" t="b">
        <v>0</v>
      </c>
      <c r="S482" s="2" t="b">
        <v>1</v>
      </c>
      <c r="T482" s="2">
        <v>1</v>
      </c>
      <c r="U482" s="2"/>
      <c r="V482" s="1" t="s">
        <v>243</v>
      </c>
      <c r="W482" s="10">
        <v>2</v>
      </c>
      <c r="X482" s="1" t="s">
        <v>153</v>
      </c>
      <c r="Y482" s="10">
        <v>2</v>
      </c>
      <c r="Z482" s="1"/>
    </row>
    <row r="483" spans="1:26">
      <c r="A483" s="4">
        <v>1201</v>
      </c>
      <c r="B483" s="7" t="str">
        <f>VLOOKUP($A483,SkillEnum!$A$2:$C$1020,2,FALSE)</f>
        <v>SI_A_ES_ENDURANCE</v>
      </c>
      <c r="C483" s="7">
        <v>6</v>
      </c>
      <c r="D483" s="2" t="str">
        <f>VLOOKUP($C483,SkillEnum!$D$2:$E$10,2,FALSE)</f>
        <v>ST_ACTIVE</v>
      </c>
      <c r="E483" s="7" t="str">
        <f>VLOOKUP($A483,SkillEnum!$A$2:$C$1020,3,FALSE)</f>
        <v>극기</v>
      </c>
      <c r="F483" s="7" t="str">
        <f t="shared" si="69"/>
        <v>2.5 초 동안 슈퍼아머 상태가 되지만 받는 피해가 80 % 증가 한다.</v>
      </c>
      <c r="G483" s="2">
        <v>2</v>
      </c>
      <c r="H483" s="2">
        <v>1</v>
      </c>
      <c r="I483" s="2">
        <v>20</v>
      </c>
      <c r="J483" s="2">
        <v>55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 t="s">
        <v>435</v>
      </c>
      <c r="Q483" s="2" t="str">
        <f t="shared" si="64"/>
        <v>SI_A_ES_ENDURANCE</v>
      </c>
      <c r="R483" s="2" t="b">
        <v>0</v>
      </c>
      <c r="S483" s="2" t="b">
        <v>1</v>
      </c>
      <c r="T483" s="2">
        <v>1</v>
      </c>
      <c r="V483" s="1" t="s">
        <v>243</v>
      </c>
      <c r="W483" s="2">
        <v>1.8</v>
      </c>
      <c r="X483" s="1" t="s">
        <v>153</v>
      </c>
      <c r="Y483" s="2">
        <v>2.5</v>
      </c>
      <c r="Z483" s="1"/>
    </row>
    <row r="484" spans="1:26">
      <c r="A484" s="4">
        <v>1201</v>
      </c>
      <c r="B484" s="7" t="str">
        <f>VLOOKUP($A484,SkillEnum!$A$2:$C$1020,2,FALSE)</f>
        <v>SI_A_ES_ENDURANCE</v>
      </c>
      <c r="C484" s="7">
        <v>6</v>
      </c>
      <c r="D484" s="2" t="str">
        <f>VLOOKUP($C484,SkillEnum!$D$2:$E$10,2,FALSE)</f>
        <v>ST_ACTIVE</v>
      </c>
      <c r="E484" s="7" t="str">
        <f>VLOOKUP($A484,SkillEnum!$A$2:$C$1020,3,FALSE)</f>
        <v>극기</v>
      </c>
      <c r="F484" s="7" t="str">
        <f t="shared" si="69"/>
        <v>3 초 동안 슈퍼아머 상태가 되지만 받는 피해가 70 % 증가 한다.</v>
      </c>
      <c r="G484" s="2">
        <v>3</v>
      </c>
      <c r="H484" s="2">
        <v>1</v>
      </c>
      <c r="I484" s="2">
        <v>20</v>
      </c>
      <c r="J484" s="2">
        <v>60</v>
      </c>
      <c r="K484" s="2">
        <v>0</v>
      </c>
      <c r="L484" s="2">
        <v>0</v>
      </c>
      <c r="M484" s="2">
        <v>0</v>
      </c>
      <c r="N484" s="2">
        <v>0</v>
      </c>
      <c r="O484" s="2">
        <v>0</v>
      </c>
      <c r="P484" s="2" t="s">
        <v>435</v>
      </c>
      <c r="Q484" s="2" t="str">
        <f t="shared" si="64"/>
        <v>SI_A_ES_ENDURANCE</v>
      </c>
      <c r="R484" s="2" t="b">
        <v>0</v>
      </c>
      <c r="S484" s="2" t="b">
        <v>1</v>
      </c>
      <c r="T484" s="2">
        <v>1</v>
      </c>
      <c r="V484" s="1" t="s">
        <v>243</v>
      </c>
      <c r="W484" s="2">
        <v>1.7</v>
      </c>
      <c r="X484" s="1" t="s">
        <v>153</v>
      </c>
      <c r="Y484" s="2">
        <v>3</v>
      </c>
      <c r="Z484" s="1"/>
    </row>
    <row r="485" spans="1:26">
      <c r="A485" s="4">
        <v>1201</v>
      </c>
      <c r="B485" s="7" t="str">
        <f>VLOOKUP($A485,SkillEnum!$A$2:$C$1020,2,FALSE)</f>
        <v>SI_A_ES_ENDURANCE</v>
      </c>
      <c r="C485" s="7">
        <v>6</v>
      </c>
      <c r="D485" s="2" t="str">
        <f>VLOOKUP($C485,SkillEnum!$D$2:$E$10,2,FALSE)</f>
        <v>ST_ACTIVE</v>
      </c>
      <c r="E485" s="7" t="str">
        <f>VLOOKUP($A485,SkillEnum!$A$2:$C$1020,3,FALSE)</f>
        <v>극기</v>
      </c>
      <c r="F485" s="7" t="str">
        <f t="shared" si="69"/>
        <v>3.5 초 동안 슈퍼아머 상태가 되지만 받는 피해가 60 % 증가 한다.</v>
      </c>
      <c r="G485" s="2">
        <v>4</v>
      </c>
      <c r="H485" s="2">
        <v>1</v>
      </c>
      <c r="I485" s="2">
        <v>20</v>
      </c>
      <c r="J485" s="2">
        <v>65</v>
      </c>
      <c r="K485" s="2">
        <v>0</v>
      </c>
      <c r="L485" s="2">
        <v>0</v>
      </c>
      <c r="M485" s="2">
        <v>0</v>
      </c>
      <c r="N485" s="2">
        <v>0</v>
      </c>
      <c r="O485" s="2">
        <v>0</v>
      </c>
      <c r="P485" s="2" t="s">
        <v>435</v>
      </c>
      <c r="Q485" s="2" t="str">
        <f t="shared" si="64"/>
        <v>SI_A_ES_ENDURANCE</v>
      </c>
      <c r="R485" s="2" t="b">
        <v>0</v>
      </c>
      <c r="S485" s="2" t="b">
        <v>1</v>
      </c>
      <c r="T485" s="2">
        <v>1</v>
      </c>
      <c r="V485" s="1" t="s">
        <v>243</v>
      </c>
      <c r="W485" s="2">
        <v>1.6</v>
      </c>
      <c r="X485" s="1" t="s">
        <v>153</v>
      </c>
      <c r="Y485" s="2">
        <v>3.5</v>
      </c>
      <c r="Z485" s="1"/>
    </row>
    <row r="486" spans="1:26">
      <c r="A486" s="4">
        <v>1201</v>
      </c>
      <c r="B486" s="7" t="str">
        <f>VLOOKUP($A486,SkillEnum!$A$2:$C$1020,2,FALSE)</f>
        <v>SI_A_ES_ENDURANCE</v>
      </c>
      <c r="C486" s="7">
        <v>6</v>
      </c>
      <c r="D486" s="2" t="str">
        <f>VLOOKUP($C486,SkillEnum!$D$2:$E$10,2,FALSE)</f>
        <v>ST_ACTIVE</v>
      </c>
      <c r="E486" s="7" t="str">
        <f>VLOOKUP($A486,SkillEnum!$A$2:$C$1020,3,FALSE)</f>
        <v>극기</v>
      </c>
      <c r="F486" s="7" t="str">
        <f t="shared" si="69"/>
        <v>4 초 동안 슈퍼아머 상태가 되지만 받는 피해가 50 % 증가 한다.</v>
      </c>
      <c r="G486" s="2">
        <v>5</v>
      </c>
      <c r="H486" s="2">
        <v>1</v>
      </c>
      <c r="I486" s="2">
        <v>20</v>
      </c>
      <c r="J486" s="2">
        <v>70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 t="s">
        <v>435</v>
      </c>
      <c r="Q486" s="2" t="str">
        <f t="shared" si="64"/>
        <v>SI_A_ES_ENDURANCE</v>
      </c>
      <c r="R486" s="2" t="b">
        <v>0</v>
      </c>
      <c r="S486" s="2" t="b">
        <v>1</v>
      </c>
      <c r="T486" s="2">
        <v>1</v>
      </c>
      <c r="V486" s="1" t="s">
        <v>243</v>
      </c>
      <c r="W486" s="2">
        <v>1.5</v>
      </c>
      <c r="X486" s="1" t="s">
        <v>153</v>
      </c>
      <c r="Y486" s="2">
        <v>4</v>
      </c>
      <c r="Z486" s="1"/>
    </row>
    <row r="487" spans="1:26">
      <c r="A487" s="4">
        <v>1201</v>
      </c>
      <c r="B487" s="7" t="str">
        <f>VLOOKUP($A487,SkillEnum!$A$2:$C$1020,2,FALSE)</f>
        <v>SI_A_ES_ENDURANCE</v>
      </c>
      <c r="C487" s="7">
        <v>6</v>
      </c>
      <c r="D487" s="2" t="str">
        <f>VLOOKUP($C487,SkillEnum!$D$2:$E$10,2,FALSE)</f>
        <v>ST_ACTIVE</v>
      </c>
      <c r="E487" s="7" t="str">
        <f>VLOOKUP($A487,SkillEnum!$A$2:$C$1020,3,FALSE)</f>
        <v>극기</v>
      </c>
      <c r="F487" s="7" t="str">
        <f t="shared" si="69"/>
        <v>4.5 초 동안 슈퍼아머 상태가 되지만 받는 피해가 40 % 증가 한다.</v>
      </c>
      <c r="G487" s="2">
        <v>6</v>
      </c>
      <c r="H487" s="2">
        <v>1</v>
      </c>
      <c r="I487" s="2">
        <v>20</v>
      </c>
      <c r="J487" s="2">
        <v>75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 t="s">
        <v>435</v>
      </c>
      <c r="Q487" s="2" t="str">
        <f t="shared" si="64"/>
        <v>SI_A_ES_ENDURANCE</v>
      </c>
      <c r="R487" s="2" t="b">
        <v>0</v>
      </c>
      <c r="S487" s="2" t="b">
        <v>1</v>
      </c>
      <c r="T487" s="2">
        <v>1</v>
      </c>
      <c r="V487" s="1" t="s">
        <v>243</v>
      </c>
      <c r="W487" s="2">
        <v>1.4</v>
      </c>
      <c r="X487" s="1" t="s">
        <v>153</v>
      </c>
      <c r="Y487" s="2">
        <v>4.5</v>
      </c>
      <c r="Z487" s="1"/>
    </row>
    <row r="488" spans="1:26">
      <c r="A488" s="4">
        <v>1201</v>
      </c>
      <c r="B488" s="7" t="str">
        <f>VLOOKUP($A488,SkillEnum!$A$2:$C$1020,2,FALSE)</f>
        <v>SI_A_ES_ENDURANCE</v>
      </c>
      <c r="C488" s="7">
        <v>6</v>
      </c>
      <c r="D488" s="2" t="str">
        <f>VLOOKUP($C488,SkillEnum!$D$2:$E$10,2,FALSE)</f>
        <v>ST_ACTIVE</v>
      </c>
      <c r="E488" s="7" t="str">
        <f>VLOOKUP($A488,SkillEnum!$A$2:$C$1020,3,FALSE)</f>
        <v>극기</v>
      </c>
      <c r="F488" s="7" t="str">
        <f t="shared" si="69"/>
        <v>5 초 동안 슈퍼아머 상태가 되지만 받는 피해가 30 % 증가 한다.</v>
      </c>
      <c r="G488" s="2">
        <v>7</v>
      </c>
      <c r="H488" s="2">
        <v>1</v>
      </c>
      <c r="I488" s="2">
        <v>20</v>
      </c>
      <c r="J488" s="2">
        <v>80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 t="s">
        <v>435</v>
      </c>
      <c r="Q488" s="2" t="str">
        <f t="shared" si="64"/>
        <v>SI_A_ES_ENDURANCE</v>
      </c>
      <c r="R488" s="2" t="b">
        <v>0</v>
      </c>
      <c r="S488" s="2" t="b">
        <v>1</v>
      </c>
      <c r="T488" s="2">
        <v>1</v>
      </c>
      <c r="V488" s="1" t="s">
        <v>243</v>
      </c>
      <c r="W488" s="2">
        <v>1.3</v>
      </c>
      <c r="X488" s="1" t="s">
        <v>153</v>
      </c>
      <c r="Y488" s="2">
        <v>5</v>
      </c>
      <c r="Z488" s="1"/>
    </row>
    <row r="489" spans="1:26">
      <c r="A489" s="4">
        <v>1201</v>
      </c>
      <c r="B489" s="7" t="str">
        <f>VLOOKUP($A489,SkillEnum!$A$2:$C$1020,2,FALSE)</f>
        <v>SI_A_ES_ENDURANCE</v>
      </c>
      <c r="C489" s="7">
        <v>6</v>
      </c>
      <c r="D489" s="2" t="str">
        <f>VLOOKUP($C489,SkillEnum!$D$2:$E$10,2,FALSE)</f>
        <v>ST_ACTIVE</v>
      </c>
      <c r="E489" s="7" t="str">
        <f>VLOOKUP($A489,SkillEnum!$A$2:$C$1020,3,FALSE)</f>
        <v>극기</v>
      </c>
      <c r="F489" s="7" t="str">
        <f t="shared" si="69"/>
        <v>5.5 초 동안 슈퍼아머 상태가 되지만 받는 피해가 20 % 증가 한다.</v>
      </c>
      <c r="G489" s="2">
        <v>8</v>
      </c>
      <c r="H489" s="2">
        <v>1</v>
      </c>
      <c r="I489" s="2">
        <v>20</v>
      </c>
      <c r="J489" s="2">
        <v>85</v>
      </c>
      <c r="K489" s="2">
        <v>0</v>
      </c>
      <c r="L489" s="2">
        <v>0</v>
      </c>
      <c r="M489" s="2">
        <v>0</v>
      </c>
      <c r="N489" s="2">
        <v>0</v>
      </c>
      <c r="O489" s="2">
        <v>0</v>
      </c>
      <c r="P489" s="2" t="s">
        <v>435</v>
      </c>
      <c r="Q489" s="2" t="str">
        <f t="shared" si="64"/>
        <v>SI_A_ES_ENDURANCE</v>
      </c>
      <c r="R489" s="2" t="b">
        <v>0</v>
      </c>
      <c r="S489" s="2" t="b">
        <v>1</v>
      </c>
      <c r="T489" s="2">
        <v>1</v>
      </c>
      <c r="V489" s="1" t="s">
        <v>243</v>
      </c>
      <c r="W489" s="2">
        <v>1.2</v>
      </c>
      <c r="X489" s="1" t="s">
        <v>153</v>
      </c>
      <c r="Y489" s="2">
        <v>5.5</v>
      </c>
      <c r="Z489" s="1"/>
    </row>
    <row r="490" spans="1:26">
      <c r="A490" s="4">
        <v>1201</v>
      </c>
      <c r="B490" s="7" t="str">
        <f>VLOOKUP($A490,SkillEnum!$A$2:$C$1020,2,FALSE)</f>
        <v>SI_A_ES_ENDURANCE</v>
      </c>
      <c r="C490" s="7">
        <v>6</v>
      </c>
      <c r="D490" s="2" t="str">
        <f>VLOOKUP($C490,SkillEnum!$D$2:$E$10,2,FALSE)</f>
        <v>ST_ACTIVE</v>
      </c>
      <c r="E490" s="7" t="str">
        <f>VLOOKUP($A490,SkillEnum!$A$2:$C$1020,3,FALSE)</f>
        <v>극기</v>
      </c>
      <c r="F490" s="7" t="str">
        <f t="shared" si="69"/>
        <v>6 초 동안 슈퍼아머 상태가 되지만 받는 피해가 10 % 증가 한다.</v>
      </c>
      <c r="G490" s="2">
        <v>9</v>
      </c>
      <c r="H490" s="2">
        <v>1</v>
      </c>
      <c r="I490" s="2">
        <v>20</v>
      </c>
      <c r="J490" s="2">
        <v>90</v>
      </c>
      <c r="K490" s="2">
        <v>0</v>
      </c>
      <c r="L490" s="2">
        <v>0</v>
      </c>
      <c r="M490" s="2">
        <v>0</v>
      </c>
      <c r="N490" s="2">
        <v>0</v>
      </c>
      <c r="O490" s="2">
        <v>0</v>
      </c>
      <c r="P490" s="2" t="s">
        <v>435</v>
      </c>
      <c r="Q490" s="2" t="str">
        <f t="shared" si="64"/>
        <v>SI_A_ES_ENDURANCE</v>
      </c>
      <c r="R490" s="2" t="b">
        <v>0</v>
      </c>
      <c r="S490" s="2" t="b">
        <v>1</v>
      </c>
      <c r="T490" s="2">
        <v>1</v>
      </c>
      <c r="V490" s="1" t="s">
        <v>243</v>
      </c>
      <c r="W490" s="2">
        <v>1.1000000000000001</v>
      </c>
      <c r="X490" s="1" t="s">
        <v>153</v>
      </c>
      <c r="Y490" s="2">
        <v>6</v>
      </c>
      <c r="Z490" s="1"/>
    </row>
    <row r="491" spans="1:26" s="5" customFormat="1">
      <c r="A491" s="6">
        <v>1201</v>
      </c>
      <c r="B491" s="8" t="str">
        <f>VLOOKUP($A491,SkillEnum!$A$2:$C$1020,2,FALSE)</f>
        <v>SI_A_ES_ENDURANCE</v>
      </c>
      <c r="C491" s="8">
        <v>6</v>
      </c>
      <c r="D491" s="5" t="str">
        <f>VLOOKUP($C491,SkillEnum!$D$2:$E$10,2,FALSE)</f>
        <v>ST_ACTIVE</v>
      </c>
      <c r="E491" s="8" t="str">
        <f>VLOOKUP($A491,SkillEnum!$A$2:$C$1020,3,FALSE)</f>
        <v>극기</v>
      </c>
      <c r="F491" s="8" t="str">
        <f t="shared" si="69"/>
        <v>6.5 초 동안 슈퍼아머 상태가 되지만 받는 피해가 0 % 증가 한다.</v>
      </c>
      <c r="G491" s="5">
        <v>10</v>
      </c>
      <c r="H491" s="5">
        <v>1</v>
      </c>
      <c r="I491" s="5">
        <v>20</v>
      </c>
      <c r="J491" s="5">
        <v>95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2" t="s">
        <v>435</v>
      </c>
      <c r="Q491" s="2" t="str">
        <f t="shared" si="64"/>
        <v>SI_A_ES_ENDURANCE</v>
      </c>
      <c r="R491" s="5" t="b">
        <v>0</v>
      </c>
      <c r="S491" s="2" t="b">
        <v>1</v>
      </c>
      <c r="T491" s="2">
        <v>1</v>
      </c>
      <c r="U491" s="2"/>
      <c r="V491" s="5" t="s">
        <v>243</v>
      </c>
      <c r="W491" s="5">
        <v>1</v>
      </c>
      <c r="X491" s="5" t="s">
        <v>153</v>
      </c>
      <c r="Y491" s="5">
        <v>6.5</v>
      </c>
    </row>
    <row r="492" spans="1:26" s="10" customFormat="1">
      <c r="A492" s="9">
        <v>1202</v>
      </c>
      <c r="B492" s="11" t="str">
        <f>VLOOKUP($A492,SkillEnum!$A$2:$C$1020,2,FALSE)</f>
        <v>SI_A_ES_KICK</v>
      </c>
      <c r="C492" s="11">
        <v>6</v>
      </c>
      <c r="D492" s="10" t="str">
        <f>VLOOKUP($C492,SkillEnum!$D$2:$E$10,2,FALSE)</f>
        <v>ST_ACTIVE</v>
      </c>
      <c r="E492" s="11" t="str">
        <f>VLOOKUP($A492,SkillEnum!$A$2:$C$1020,3,FALSE)</f>
        <v>발차기</v>
      </c>
      <c r="F492" s="11" t="str">
        <f>"넘어지려는 적을 순간적으로 발로 차 물리공격력의 "&amp;ROUND(0.5*H492*100,0)&amp;" % 데미지를 주고, 넘어지지 않게 한다."</f>
        <v>넘어지려는 적을 순간적으로 발로 차 물리공격력의 50 % 데미지를 주고, 넘어지지 않게 한다.</v>
      </c>
      <c r="G492" s="10">
        <v>1</v>
      </c>
      <c r="H492" s="2">
        <v>1</v>
      </c>
      <c r="I492" s="2">
        <v>10</v>
      </c>
      <c r="J492" s="2">
        <v>10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 t="s">
        <v>435</v>
      </c>
      <c r="Q492" s="2" t="str">
        <f t="shared" si="64"/>
        <v>SI_A_ES_KICK</v>
      </c>
      <c r="R492" s="2" t="b">
        <v>0</v>
      </c>
      <c r="S492" s="2" t="b">
        <v>1</v>
      </c>
      <c r="T492" s="2">
        <v>1</v>
      </c>
      <c r="U492" s="2"/>
      <c r="V492" s="10" t="s">
        <v>226</v>
      </c>
      <c r="W492" s="10">
        <v>8</v>
      </c>
      <c r="X492" s="1"/>
    </row>
    <row r="493" spans="1:26">
      <c r="A493" s="4">
        <v>1202</v>
      </c>
      <c r="B493" s="7" t="str">
        <f>VLOOKUP($A493,SkillEnum!$A$2:$C$1020,2,FALSE)</f>
        <v>SI_A_ES_KICK</v>
      </c>
      <c r="C493" s="7">
        <v>6</v>
      </c>
      <c r="D493" s="2" t="str">
        <f>VLOOKUP($C493,SkillEnum!$D$2:$E$10,2,FALSE)</f>
        <v>ST_ACTIVE</v>
      </c>
      <c r="E493" s="7" t="str">
        <f>VLOOKUP($A493,SkillEnum!$A$2:$C$1020,3,FALSE)</f>
        <v>발차기</v>
      </c>
      <c r="F493" s="7" t="str">
        <f>"넘어지려는 적을 순간적으로 발로 차 물리공격력의 "&amp;ROUND(0.5*H493*100,0)&amp;" % 데미지를 주고, 넘어지지 않게 한다. ( LV"&amp;G492&amp;" 보다 효과가 크다.)"</f>
        <v>넘어지려는 적을 순간적으로 발로 차 물리공격력의 50 % 데미지를 주고, 넘어지지 않게 한다. ( LV1 보다 효과가 크다.)</v>
      </c>
      <c r="G493" s="2">
        <v>2</v>
      </c>
      <c r="H493" s="2">
        <v>1</v>
      </c>
      <c r="I493" s="2">
        <v>10</v>
      </c>
      <c r="J493" s="2">
        <v>12</v>
      </c>
      <c r="K493" s="2">
        <v>0</v>
      </c>
      <c r="L493" s="2">
        <v>0</v>
      </c>
      <c r="M493" s="2">
        <v>0</v>
      </c>
      <c r="N493" s="2">
        <v>0</v>
      </c>
      <c r="O493" s="2">
        <v>0</v>
      </c>
      <c r="P493" s="2" t="s">
        <v>435</v>
      </c>
      <c r="Q493" s="2" t="str">
        <f t="shared" si="64"/>
        <v>SI_A_ES_KICK</v>
      </c>
      <c r="R493" s="2" t="b">
        <v>0</v>
      </c>
      <c r="S493" s="2" t="b">
        <v>1</v>
      </c>
      <c r="T493" s="2">
        <v>1</v>
      </c>
      <c r="V493" s="2" t="s">
        <v>226</v>
      </c>
      <c r="W493" s="2">
        <v>16</v>
      </c>
      <c r="X493" s="1"/>
    </row>
    <row r="494" spans="1:26">
      <c r="A494" s="4">
        <v>1202</v>
      </c>
      <c r="B494" s="7" t="str">
        <f>VLOOKUP($A494,SkillEnum!$A$2:$C$1020,2,FALSE)</f>
        <v>SI_A_ES_KICK</v>
      </c>
      <c r="C494" s="7">
        <v>6</v>
      </c>
      <c r="D494" s="2" t="str">
        <f>VLOOKUP($C494,SkillEnum!$D$2:$E$10,2,FALSE)</f>
        <v>ST_ACTIVE</v>
      </c>
      <c r="E494" s="7" t="str">
        <f>VLOOKUP($A494,SkillEnum!$A$2:$C$1020,3,FALSE)</f>
        <v>발차기</v>
      </c>
      <c r="F494" s="7" t="str">
        <f t="shared" ref="F494:F501" si="70">"넘어지려는 적을 순간적으로 발로 차 물리공격력의 "&amp;ROUND(0.5*H494*100,0)&amp;" % 데미지를 주고, 넘어지지 않게 한다. ( LV"&amp;G493&amp;" 보다 효과가 크다.)"</f>
        <v>넘어지려는 적을 순간적으로 발로 차 물리공격력의 50 % 데미지를 주고, 넘어지지 않게 한다. ( LV2 보다 효과가 크다.)</v>
      </c>
      <c r="G494" s="2">
        <v>3</v>
      </c>
      <c r="H494" s="2">
        <v>1</v>
      </c>
      <c r="I494" s="2">
        <v>10</v>
      </c>
      <c r="J494" s="2">
        <v>14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 t="s">
        <v>435</v>
      </c>
      <c r="Q494" s="2" t="str">
        <f t="shared" si="64"/>
        <v>SI_A_ES_KICK</v>
      </c>
      <c r="R494" s="2" t="b">
        <v>0</v>
      </c>
      <c r="S494" s="2" t="b">
        <v>1</v>
      </c>
      <c r="T494" s="2">
        <v>1</v>
      </c>
      <c r="V494" s="2" t="s">
        <v>226</v>
      </c>
      <c r="W494" s="2">
        <v>24</v>
      </c>
      <c r="X494" s="1"/>
    </row>
    <row r="495" spans="1:26">
      <c r="A495" s="4">
        <v>1202</v>
      </c>
      <c r="B495" s="7" t="str">
        <f>VLOOKUP($A495,SkillEnum!$A$2:$C$1020,2,FALSE)</f>
        <v>SI_A_ES_KICK</v>
      </c>
      <c r="C495" s="7">
        <v>6</v>
      </c>
      <c r="D495" s="2" t="str">
        <f>VLOOKUP($C495,SkillEnum!$D$2:$E$10,2,FALSE)</f>
        <v>ST_ACTIVE</v>
      </c>
      <c r="E495" s="7" t="str">
        <f>VLOOKUP($A495,SkillEnum!$A$2:$C$1020,3,FALSE)</f>
        <v>발차기</v>
      </c>
      <c r="F495" s="7" t="str">
        <f t="shared" si="70"/>
        <v>넘어지려는 적을 순간적으로 발로 차 물리공격력의 50 % 데미지를 주고, 넘어지지 않게 한다. ( LV3 보다 효과가 크다.)</v>
      </c>
      <c r="G495" s="2">
        <v>4</v>
      </c>
      <c r="H495" s="2">
        <v>1</v>
      </c>
      <c r="I495" s="2">
        <v>10</v>
      </c>
      <c r="J495" s="2">
        <v>16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 t="s">
        <v>435</v>
      </c>
      <c r="Q495" s="2" t="str">
        <f t="shared" si="64"/>
        <v>SI_A_ES_KICK</v>
      </c>
      <c r="R495" s="2" t="b">
        <v>0</v>
      </c>
      <c r="S495" s="2" t="b">
        <v>1</v>
      </c>
      <c r="T495" s="2">
        <v>1</v>
      </c>
      <c r="V495" s="2" t="s">
        <v>226</v>
      </c>
      <c r="W495" s="2">
        <v>32</v>
      </c>
      <c r="X495" s="1"/>
    </row>
    <row r="496" spans="1:26">
      <c r="A496" s="4">
        <v>1202</v>
      </c>
      <c r="B496" s="7" t="str">
        <f>VLOOKUP($A496,SkillEnum!$A$2:$C$1020,2,FALSE)</f>
        <v>SI_A_ES_KICK</v>
      </c>
      <c r="C496" s="7">
        <v>6</v>
      </c>
      <c r="D496" s="2" t="str">
        <f>VLOOKUP($C496,SkillEnum!$D$2:$E$10,2,FALSE)</f>
        <v>ST_ACTIVE</v>
      </c>
      <c r="E496" s="7" t="str">
        <f>VLOOKUP($A496,SkillEnum!$A$2:$C$1020,3,FALSE)</f>
        <v>발차기</v>
      </c>
      <c r="F496" s="7" t="str">
        <f t="shared" si="70"/>
        <v>넘어지려는 적을 순간적으로 발로 차 물리공격력의 50 % 데미지를 주고, 넘어지지 않게 한다. ( LV4 보다 효과가 크다.)</v>
      </c>
      <c r="G496" s="2">
        <v>5</v>
      </c>
      <c r="H496" s="2">
        <v>1</v>
      </c>
      <c r="I496" s="2">
        <v>10</v>
      </c>
      <c r="J496" s="2">
        <v>18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 t="s">
        <v>435</v>
      </c>
      <c r="Q496" s="2" t="str">
        <f t="shared" si="64"/>
        <v>SI_A_ES_KICK</v>
      </c>
      <c r="R496" s="2" t="b">
        <v>0</v>
      </c>
      <c r="S496" s="2" t="b">
        <v>1</v>
      </c>
      <c r="T496" s="2">
        <v>1</v>
      </c>
      <c r="V496" s="2" t="s">
        <v>226</v>
      </c>
      <c r="W496" s="2">
        <v>40</v>
      </c>
      <c r="X496" s="1"/>
    </row>
    <row r="497" spans="1:26">
      <c r="A497" s="4">
        <v>1202</v>
      </c>
      <c r="B497" s="7" t="str">
        <f>VLOOKUP($A497,SkillEnum!$A$2:$C$1020,2,FALSE)</f>
        <v>SI_A_ES_KICK</v>
      </c>
      <c r="C497" s="7">
        <v>6</v>
      </c>
      <c r="D497" s="2" t="str">
        <f>VLOOKUP($C497,SkillEnum!$D$2:$E$10,2,FALSE)</f>
        <v>ST_ACTIVE</v>
      </c>
      <c r="E497" s="7" t="str">
        <f>VLOOKUP($A497,SkillEnum!$A$2:$C$1020,3,FALSE)</f>
        <v>발차기</v>
      </c>
      <c r="F497" s="7" t="str">
        <f t="shared" si="70"/>
        <v>넘어지려는 적을 순간적으로 발로 차 물리공격력의 50 % 데미지를 주고, 넘어지지 않게 한다. ( LV5 보다 효과가 크다.)</v>
      </c>
      <c r="G497" s="2">
        <v>6</v>
      </c>
      <c r="H497" s="2">
        <v>1</v>
      </c>
      <c r="I497" s="2">
        <v>10</v>
      </c>
      <c r="J497" s="2">
        <v>20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 t="s">
        <v>435</v>
      </c>
      <c r="Q497" s="2" t="str">
        <f t="shared" si="64"/>
        <v>SI_A_ES_KICK</v>
      </c>
      <c r="R497" s="2" t="b">
        <v>0</v>
      </c>
      <c r="S497" s="2" t="b">
        <v>1</v>
      </c>
      <c r="T497" s="2">
        <v>1</v>
      </c>
      <c r="V497" s="2" t="s">
        <v>226</v>
      </c>
      <c r="W497" s="2">
        <v>48</v>
      </c>
      <c r="X497" s="1"/>
    </row>
    <row r="498" spans="1:26">
      <c r="A498" s="4">
        <v>1202</v>
      </c>
      <c r="B498" s="7" t="str">
        <f>VLOOKUP($A498,SkillEnum!$A$2:$C$1020,2,FALSE)</f>
        <v>SI_A_ES_KICK</v>
      </c>
      <c r="C498" s="7">
        <v>6</v>
      </c>
      <c r="D498" s="2" t="str">
        <f>VLOOKUP($C498,SkillEnum!$D$2:$E$10,2,FALSE)</f>
        <v>ST_ACTIVE</v>
      </c>
      <c r="E498" s="7" t="str">
        <f>VLOOKUP($A498,SkillEnum!$A$2:$C$1020,3,FALSE)</f>
        <v>발차기</v>
      </c>
      <c r="F498" s="7" t="str">
        <f t="shared" si="70"/>
        <v>넘어지려는 적을 순간적으로 발로 차 물리공격력의 50 % 데미지를 주고, 넘어지지 않게 한다. ( LV6 보다 효과가 크다.)</v>
      </c>
      <c r="G498" s="2">
        <v>7</v>
      </c>
      <c r="H498" s="2">
        <v>1</v>
      </c>
      <c r="I498" s="2">
        <v>10</v>
      </c>
      <c r="J498" s="2">
        <v>22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 t="s">
        <v>435</v>
      </c>
      <c r="Q498" s="2" t="str">
        <f t="shared" si="64"/>
        <v>SI_A_ES_KICK</v>
      </c>
      <c r="R498" s="2" t="b">
        <v>0</v>
      </c>
      <c r="S498" s="2" t="b">
        <v>1</v>
      </c>
      <c r="T498" s="2">
        <v>1</v>
      </c>
      <c r="V498" s="2" t="s">
        <v>226</v>
      </c>
      <c r="W498" s="2">
        <v>56</v>
      </c>
      <c r="X498" s="1"/>
    </row>
    <row r="499" spans="1:26">
      <c r="A499" s="4">
        <v>1202</v>
      </c>
      <c r="B499" s="7" t="str">
        <f>VLOOKUP($A499,SkillEnum!$A$2:$C$1020,2,FALSE)</f>
        <v>SI_A_ES_KICK</v>
      </c>
      <c r="C499" s="7">
        <v>6</v>
      </c>
      <c r="D499" s="2" t="str">
        <f>VLOOKUP($C499,SkillEnum!$D$2:$E$10,2,FALSE)</f>
        <v>ST_ACTIVE</v>
      </c>
      <c r="E499" s="7" t="str">
        <f>VLOOKUP($A499,SkillEnum!$A$2:$C$1020,3,FALSE)</f>
        <v>발차기</v>
      </c>
      <c r="F499" s="7" t="str">
        <f t="shared" si="70"/>
        <v>넘어지려는 적을 순간적으로 발로 차 물리공격력의 50 % 데미지를 주고, 넘어지지 않게 한다. ( LV7 보다 효과가 크다.)</v>
      </c>
      <c r="G499" s="2">
        <v>8</v>
      </c>
      <c r="H499" s="2">
        <v>1</v>
      </c>
      <c r="I499" s="2">
        <v>10</v>
      </c>
      <c r="J499" s="2">
        <v>24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 t="s">
        <v>435</v>
      </c>
      <c r="Q499" s="2" t="str">
        <f t="shared" si="64"/>
        <v>SI_A_ES_KICK</v>
      </c>
      <c r="R499" s="2" t="b">
        <v>0</v>
      </c>
      <c r="S499" s="2" t="b">
        <v>1</v>
      </c>
      <c r="T499" s="2">
        <v>1</v>
      </c>
      <c r="V499" s="2" t="s">
        <v>226</v>
      </c>
      <c r="W499" s="2">
        <v>64</v>
      </c>
      <c r="X499" s="1"/>
    </row>
    <row r="500" spans="1:26">
      <c r="A500" s="4">
        <v>1202</v>
      </c>
      <c r="B500" s="7" t="str">
        <f>VLOOKUP($A500,SkillEnum!$A$2:$C$1020,2,FALSE)</f>
        <v>SI_A_ES_KICK</v>
      </c>
      <c r="C500" s="7">
        <v>6</v>
      </c>
      <c r="D500" s="2" t="str">
        <f>VLOOKUP($C500,SkillEnum!$D$2:$E$10,2,FALSE)</f>
        <v>ST_ACTIVE</v>
      </c>
      <c r="E500" s="7" t="str">
        <f>VLOOKUP($A500,SkillEnum!$A$2:$C$1020,3,FALSE)</f>
        <v>발차기</v>
      </c>
      <c r="F500" s="7" t="str">
        <f t="shared" si="70"/>
        <v>넘어지려는 적을 순간적으로 발로 차 물리공격력의 50 % 데미지를 주고, 넘어지지 않게 한다. ( LV8 보다 효과가 크다.)</v>
      </c>
      <c r="G500" s="2">
        <v>9</v>
      </c>
      <c r="H500" s="2">
        <v>1</v>
      </c>
      <c r="I500" s="2">
        <v>10</v>
      </c>
      <c r="J500" s="2">
        <v>26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 t="s">
        <v>435</v>
      </c>
      <c r="Q500" s="2" t="str">
        <f t="shared" si="64"/>
        <v>SI_A_ES_KICK</v>
      </c>
      <c r="R500" s="2" t="b">
        <v>0</v>
      </c>
      <c r="S500" s="2" t="b">
        <v>1</v>
      </c>
      <c r="T500" s="2">
        <v>1</v>
      </c>
      <c r="V500" s="2" t="s">
        <v>226</v>
      </c>
      <c r="W500" s="2">
        <v>72</v>
      </c>
      <c r="X500" s="1"/>
    </row>
    <row r="501" spans="1:26" s="5" customFormat="1">
      <c r="A501" s="6">
        <v>1202</v>
      </c>
      <c r="B501" s="8" t="str">
        <f>VLOOKUP($A501,SkillEnum!$A$2:$C$1020,2,FALSE)</f>
        <v>SI_A_ES_KICK</v>
      </c>
      <c r="C501" s="8">
        <v>6</v>
      </c>
      <c r="D501" s="5" t="str">
        <f>VLOOKUP($C501,SkillEnum!$D$2:$E$10,2,FALSE)</f>
        <v>ST_ACTIVE</v>
      </c>
      <c r="E501" s="8" t="str">
        <f>VLOOKUP($A501,SkillEnum!$A$2:$C$1020,3,FALSE)</f>
        <v>발차기</v>
      </c>
      <c r="F501" s="7" t="str">
        <f t="shared" si="70"/>
        <v>넘어지려는 적을 순간적으로 발로 차 물리공격력의 50 % 데미지를 주고, 넘어지지 않게 한다. ( LV9 보다 효과가 크다.)</v>
      </c>
      <c r="G501" s="5">
        <v>10</v>
      </c>
      <c r="H501" s="5">
        <v>1</v>
      </c>
      <c r="I501" s="5">
        <v>10</v>
      </c>
      <c r="J501" s="5">
        <v>28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2" t="s">
        <v>435</v>
      </c>
      <c r="Q501" s="2" t="str">
        <f t="shared" si="64"/>
        <v>SI_A_ES_KICK</v>
      </c>
      <c r="R501" s="5" t="b">
        <v>0</v>
      </c>
      <c r="S501" s="2" t="b">
        <v>1</v>
      </c>
      <c r="T501" s="2">
        <v>1</v>
      </c>
      <c r="U501" s="2"/>
      <c r="V501" s="5" t="s">
        <v>226</v>
      </c>
      <c r="W501" s="5">
        <v>80</v>
      </c>
    </row>
    <row r="502" spans="1:26" s="10" customFormat="1">
      <c r="A502" s="9">
        <v>1203</v>
      </c>
      <c r="B502" s="11" t="str">
        <f>VLOOKUP($A502,SkillEnum!$A$2:$C$1020,2,FALSE)</f>
        <v>SI_A_ESK_ARMOR_BRAKE</v>
      </c>
      <c r="C502" s="11">
        <v>6</v>
      </c>
      <c r="D502" s="10" t="str">
        <f>VLOOKUP($C502,SkillEnum!$D$2:$E$10,2,FALSE)</f>
        <v>ST_ACTIVE</v>
      </c>
      <c r="E502" s="11" t="str">
        <f>VLOOKUP($A502,SkillEnum!$A$2:$C$1020,3,FALSE)</f>
        <v>아머 브레이크</v>
      </c>
      <c r="F502" s="11" t="str">
        <f>"검 손잡이로 대상의 방어구를 강하게 타격하여 물리공격력의 "&amp;H502*100&amp;" % 데미지를 주고, "&amp;ROUND(W502*100,0)&amp;" % 확률로 대상의 방어구를 부숴 5초 동안 방어력을 0으로 만든다."</f>
        <v>검 손잡이로 대상의 방어구를 강하게 타격하여 물리공격력의 200 % 데미지를 주고, 20 % 확률로 대상의 방어구를 부숴 5초 동안 방어력을 0으로 만든다.</v>
      </c>
      <c r="G502" s="10">
        <v>1</v>
      </c>
      <c r="H502" s="2">
        <v>2</v>
      </c>
      <c r="I502" s="2">
        <v>10</v>
      </c>
      <c r="J502" s="2">
        <v>30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 t="s">
        <v>435</v>
      </c>
      <c r="Q502" s="2" t="str">
        <f t="shared" ref="Q502:Q521" si="71">B502</f>
        <v>SI_A_ESK_ARMOR_BRAKE</v>
      </c>
      <c r="R502" s="2" t="b">
        <v>0</v>
      </c>
      <c r="S502" s="2" t="b">
        <v>1</v>
      </c>
      <c r="T502" s="2">
        <v>1</v>
      </c>
      <c r="U502" s="2" t="b">
        <v>1</v>
      </c>
      <c r="V502" s="1" t="s">
        <v>491</v>
      </c>
      <c r="W502" s="10">
        <v>0.2</v>
      </c>
      <c r="X502" s="1"/>
      <c r="Z502" s="1"/>
    </row>
    <row r="503" spans="1:26">
      <c r="A503" s="4">
        <v>1203</v>
      </c>
      <c r="B503" s="7" t="str">
        <f>VLOOKUP($A503,SkillEnum!$A$2:$C$1020,2,FALSE)</f>
        <v>SI_A_ESK_ARMOR_BRAKE</v>
      </c>
      <c r="C503" s="7">
        <v>6</v>
      </c>
      <c r="D503" s="2" t="str">
        <f>VLOOKUP($C503,SkillEnum!$D$2:$E$10,2,FALSE)</f>
        <v>ST_ACTIVE</v>
      </c>
      <c r="E503" s="7" t="str">
        <f>VLOOKUP($A503,SkillEnum!$A$2:$C$1020,3,FALSE)</f>
        <v>아머 브레이크</v>
      </c>
      <c r="F503" s="7" t="str">
        <f t="shared" ref="F503:F511" si="72">"검 손잡이로 대상의 방어구를 강하게 타격하여 물리공격력의 "&amp;H503*100&amp;" % 데미지를 주고, "&amp;ROUND(W503*100,0)&amp;" % 확률로 대상의 방어구를 부숴 5초 동안 방어력을 0으로 만든다."</f>
        <v>검 손잡이로 대상의 방어구를 강하게 타격하여 물리공격력의 200 % 데미지를 주고, 40 % 확률로 대상의 방어구를 부숴 5초 동안 방어력을 0으로 만든다.</v>
      </c>
      <c r="G503" s="2">
        <v>2</v>
      </c>
      <c r="H503" s="2">
        <v>2</v>
      </c>
      <c r="I503" s="2">
        <v>10</v>
      </c>
      <c r="J503" s="2">
        <v>30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 t="s">
        <v>435</v>
      </c>
      <c r="Q503" s="2" t="str">
        <f t="shared" si="71"/>
        <v>SI_A_ESK_ARMOR_BRAKE</v>
      </c>
      <c r="R503" s="2" t="b">
        <v>0</v>
      </c>
      <c r="S503" s="2" t="b">
        <v>1</v>
      </c>
      <c r="T503" s="2">
        <v>1</v>
      </c>
      <c r="U503" s="2" t="b">
        <v>1</v>
      </c>
      <c r="V503" s="1" t="s">
        <v>490</v>
      </c>
      <c r="W503" s="2">
        <v>0.4</v>
      </c>
      <c r="X503" s="1"/>
      <c r="Z503" s="1"/>
    </row>
    <row r="504" spans="1:26">
      <c r="A504" s="4">
        <v>1203</v>
      </c>
      <c r="B504" s="7" t="str">
        <f>VLOOKUP($A504,SkillEnum!$A$2:$C$1020,2,FALSE)</f>
        <v>SI_A_ESK_ARMOR_BRAKE</v>
      </c>
      <c r="C504" s="7">
        <v>6</v>
      </c>
      <c r="D504" s="2" t="str">
        <f>VLOOKUP($C504,SkillEnum!$D$2:$E$10,2,FALSE)</f>
        <v>ST_ACTIVE</v>
      </c>
      <c r="E504" s="7" t="str">
        <f>VLOOKUP($A504,SkillEnum!$A$2:$C$1020,3,FALSE)</f>
        <v>아머 브레이크</v>
      </c>
      <c r="F504" s="7" t="str">
        <f t="shared" si="72"/>
        <v>검 손잡이로 대상의 방어구를 강하게 타격하여 물리공격력의 200 % 데미지를 주고, 60 % 확률로 대상의 방어구를 부숴 5초 동안 방어력을 0으로 만든다.</v>
      </c>
      <c r="G504" s="2">
        <v>3</v>
      </c>
      <c r="H504" s="2">
        <v>2</v>
      </c>
      <c r="I504" s="2">
        <v>10</v>
      </c>
      <c r="J504" s="2">
        <v>30</v>
      </c>
      <c r="K504" s="2">
        <v>0</v>
      </c>
      <c r="L504" s="2">
        <v>0</v>
      </c>
      <c r="M504" s="2">
        <v>0</v>
      </c>
      <c r="N504" s="2">
        <v>0</v>
      </c>
      <c r="O504" s="2">
        <v>0</v>
      </c>
      <c r="P504" s="2" t="s">
        <v>435</v>
      </c>
      <c r="Q504" s="2" t="str">
        <f t="shared" si="71"/>
        <v>SI_A_ESK_ARMOR_BRAKE</v>
      </c>
      <c r="R504" s="2" t="b">
        <v>0</v>
      </c>
      <c r="S504" s="2" t="b">
        <v>1</v>
      </c>
      <c r="T504" s="2">
        <v>1</v>
      </c>
      <c r="U504" s="2" t="b">
        <v>1</v>
      </c>
      <c r="V504" s="1" t="s">
        <v>490</v>
      </c>
      <c r="W504" s="2">
        <v>0.6</v>
      </c>
      <c r="X504" s="1"/>
      <c r="Z504" s="1"/>
    </row>
    <row r="505" spans="1:26">
      <c r="A505" s="4">
        <v>1203</v>
      </c>
      <c r="B505" s="7" t="str">
        <f>VLOOKUP($A505,SkillEnum!$A$2:$C$1020,2,FALSE)</f>
        <v>SI_A_ESK_ARMOR_BRAKE</v>
      </c>
      <c r="C505" s="7">
        <v>6</v>
      </c>
      <c r="D505" s="2" t="str">
        <f>VLOOKUP($C505,SkillEnum!$D$2:$E$10,2,FALSE)</f>
        <v>ST_ACTIVE</v>
      </c>
      <c r="E505" s="7" t="str">
        <f>VLOOKUP($A505,SkillEnum!$A$2:$C$1020,3,FALSE)</f>
        <v>아머 브레이크</v>
      </c>
      <c r="F505" s="7" t="str">
        <f t="shared" si="72"/>
        <v>검 손잡이로 대상의 방어구를 강하게 타격하여 물리공격력의 250 % 데미지를 주고, 60 % 확률로 대상의 방어구를 부숴 5초 동안 방어력을 0으로 만든다.</v>
      </c>
      <c r="G505" s="2">
        <v>4</v>
      </c>
      <c r="H505" s="2">
        <v>2.5</v>
      </c>
      <c r="I505" s="2">
        <v>10</v>
      </c>
      <c r="J505" s="2">
        <v>30</v>
      </c>
      <c r="K505" s="2">
        <v>0</v>
      </c>
      <c r="L505" s="2">
        <v>0</v>
      </c>
      <c r="M505" s="2">
        <v>0</v>
      </c>
      <c r="N505" s="2">
        <v>0</v>
      </c>
      <c r="O505" s="2">
        <v>0</v>
      </c>
      <c r="P505" s="2" t="s">
        <v>435</v>
      </c>
      <c r="Q505" s="2" t="str">
        <f t="shared" si="71"/>
        <v>SI_A_ESK_ARMOR_BRAKE</v>
      </c>
      <c r="R505" s="2" t="b">
        <v>0</v>
      </c>
      <c r="S505" s="2" t="b">
        <v>1</v>
      </c>
      <c r="T505" s="2">
        <v>1</v>
      </c>
      <c r="U505" s="2" t="b">
        <v>1</v>
      </c>
      <c r="V505" s="1" t="s">
        <v>490</v>
      </c>
      <c r="W505" s="2">
        <v>0.6</v>
      </c>
      <c r="X505" s="1"/>
      <c r="Z505" s="1"/>
    </row>
    <row r="506" spans="1:26">
      <c r="A506" s="4">
        <v>1203</v>
      </c>
      <c r="B506" s="7" t="str">
        <f>VLOOKUP($A506,SkillEnum!$A$2:$C$1020,2,FALSE)</f>
        <v>SI_A_ESK_ARMOR_BRAKE</v>
      </c>
      <c r="C506" s="7">
        <v>6</v>
      </c>
      <c r="D506" s="2" t="str">
        <f>VLOOKUP($C506,SkillEnum!$D$2:$E$10,2,FALSE)</f>
        <v>ST_ACTIVE</v>
      </c>
      <c r="E506" s="7" t="str">
        <f>VLOOKUP($A506,SkillEnum!$A$2:$C$1020,3,FALSE)</f>
        <v>아머 브레이크</v>
      </c>
      <c r="F506" s="7" t="str">
        <f t="shared" si="72"/>
        <v>검 손잡이로 대상의 방어구를 강하게 타격하여 물리공격력의 300 % 데미지를 주고, 60 % 확률로 대상의 방어구를 부숴 5초 동안 방어력을 0으로 만든다.</v>
      </c>
      <c r="G506" s="2">
        <v>5</v>
      </c>
      <c r="H506" s="2">
        <v>3</v>
      </c>
      <c r="I506" s="2">
        <v>10</v>
      </c>
      <c r="J506" s="2">
        <v>30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 t="s">
        <v>435</v>
      </c>
      <c r="Q506" s="2" t="str">
        <f t="shared" si="71"/>
        <v>SI_A_ESK_ARMOR_BRAKE</v>
      </c>
      <c r="R506" s="2" t="b">
        <v>0</v>
      </c>
      <c r="S506" s="2" t="b">
        <v>1</v>
      </c>
      <c r="T506" s="2">
        <v>1</v>
      </c>
      <c r="U506" s="2" t="b">
        <v>1</v>
      </c>
      <c r="V506" s="1" t="s">
        <v>490</v>
      </c>
      <c r="W506" s="2">
        <v>0.6</v>
      </c>
      <c r="X506" s="1"/>
      <c r="Z506" s="1"/>
    </row>
    <row r="507" spans="1:26">
      <c r="A507" s="4">
        <v>1203</v>
      </c>
      <c r="B507" s="7" t="str">
        <f>VLOOKUP($A507,SkillEnum!$A$2:$C$1020,2,FALSE)</f>
        <v>SI_A_ESK_ARMOR_BRAKE</v>
      </c>
      <c r="C507" s="7">
        <v>6</v>
      </c>
      <c r="D507" s="2" t="str">
        <f>VLOOKUP($C507,SkillEnum!$D$2:$E$10,2,FALSE)</f>
        <v>ST_ACTIVE</v>
      </c>
      <c r="E507" s="7" t="str">
        <f>VLOOKUP($A507,SkillEnum!$A$2:$C$1020,3,FALSE)</f>
        <v>아머 브레이크</v>
      </c>
      <c r="F507" s="7" t="str">
        <f t="shared" si="72"/>
        <v>검 손잡이로 대상의 방어구를 강하게 타격하여 물리공격력의 350 % 데미지를 주고, 60 % 확률로 대상의 방어구를 부숴 5초 동안 방어력을 0으로 만든다.</v>
      </c>
      <c r="G507" s="2">
        <v>6</v>
      </c>
      <c r="H507" s="2">
        <v>3.5</v>
      </c>
      <c r="I507" s="2">
        <v>10</v>
      </c>
      <c r="J507" s="2">
        <v>30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 t="s">
        <v>435</v>
      </c>
      <c r="Q507" s="2" t="str">
        <f t="shared" si="71"/>
        <v>SI_A_ESK_ARMOR_BRAKE</v>
      </c>
      <c r="R507" s="2" t="b">
        <v>0</v>
      </c>
      <c r="S507" s="2" t="b">
        <v>1</v>
      </c>
      <c r="T507" s="2">
        <v>1</v>
      </c>
      <c r="U507" s="2" t="b">
        <v>1</v>
      </c>
      <c r="V507" s="1" t="s">
        <v>490</v>
      </c>
      <c r="W507" s="2">
        <v>0.6</v>
      </c>
      <c r="X507" s="1"/>
      <c r="Z507" s="1"/>
    </row>
    <row r="508" spans="1:26">
      <c r="A508" s="4">
        <v>1203</v>
      </c>
      <c r="B508" s="7" t="str">
        <f>VLOOKUP($A508,SkillEnum!$A$2:$C$1020,2,FALSE)</f>
        <v>SI_A_ESK_ARMOR_BRAKE</v>
      </c>
      <c r="C508" s="7">
        <v>6</v>
      </c>
      <c r="D508" s="2" t="str">
        <f>VLOOKUP($C508,SkillEnum!$D$2:$E$10,2,FALSE)</f>
        <v>ST_ACTIVE</v>
      </c>
      <c r="E508" s="7" t="str">
        <f>VLOOKUP($A508,SkillEnum!$A$2:$C$1020,3,FALSE)</f>
        <v>아머 브레이크</v>
      </c>
      <c r="F508" s="7" t="str">
        <f t="shared" si="72"/>
        <v>검 손잡이로 대상의 방어구를 강하게 타격하여 물리공격력의 400 % 데미지를 주고, 60 % 확률로 대상의 방어구를 부숴 5초 동안 방어력을 0으로 만든다.</v>
      </c>
      <c r="G508" s="2">
        <v>7</v>
      </c>
      <c r="H508" s="2">
        <v>4</v>
      </c>
      <c r="I508" s="2">
        <v>10</v>
      </c>
      <c r="J508" s="2">
        <v>30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 t="s">
        <v>435</v>
      </c>
      <c r="Q508" s="2" t="str">
        <f t="shared" si="71"/>
        <v>SI_A_ESK_ARMOR_BRAKE</v>
      </c>
      <c r="R508" s="2" t="b">
        <v>0</v>
      </c>
      <c r="S508" s="2" t="b">
        <v>1</v>
      </c>
      <c r="T508" s="2">
        <v>1</v>
      </c>
      <c r="U508" s="2" t="b">
        <v>1</v>
      </c>
      <c r="V508" s="1" t="s">
        <v>490</v>
      </c>
      <c r="W508" s="2">
        <v>0.6</v>
      </c>
      <c r="X508" s="1"/>
      <c r="Z508" s="1"/>
    </row>
    <row r="509" spans="1:26">
      <c r="A509" s="4">
        <v>1203</v>
      </c>
      <c r="B509" s="7" t="str">
        <f>VLOOKUP($A509,SkillEnum!$A$2:$C$1020,2,FALSE)</f>
        <v>SI_A_ESK_ARMOR_BRAKE</v>
      </c>
      <c r="C509" s="7">
        <v>6</v>
      </c>
      <c r="D509" s="2" t="str">
        <f>VLOOKUP($C509,SkillEnum!$D$2:$E$10,2,FALSE)</f>
        <v>ST_ACTIVE</v>
      </c>
      <c r="E509" s="7" t="str">
        <f>VLOOKUP($A509,SkillEnum!$A$2:$C$1020,3,FALSE)</f>
        <v>아머 브레이크</v>
      </c>
      <c r="F509" s="7" t="str">
        <f t="shared" si="72"/>
        <v>검 손잡이로 대상의 방어구를 강하게 타격하여 물리공격력의 450 % 데미지를 주고, 60 % 확률로 대상의 방어구를 부숴 5초 동안 방어력을 0으로 만든다.</v>
      </c>
      <c r="G509" s="2">
        <v>8</v>
      </c>
      <c r="H509" s="2">
        <v>4.5</v>
      </c>
      <c r="I509" s="2">
        <v>10</v>
      </c>
      <c r="J509" s="2">
        <v>30</v>
      </c>
      <c r="K509" s="2">
        <v>0</v>
      </c>
      <c r="L509" s="2">
        <v>0</v>
      </c>
      <c r="M509" s="2">
        <v>0</v>
      </c>
      <c r="N509" s="2">
        <v>0</v>
      </c>
      <c r="O509" s="2">
        <v>0</v>
      </c>
      <c r="P509" s="2" t="s">
        <v>435</v>
      </c>
      <c r="Q509" s="2" t="str">
        <f t="shared" si="71"/>
        <v>SI_A_ESK_ARMOR_BRAKE</v>
      </c>
      <c r="R509" s="2" t="b">
        <v>0</v>
      </c>
      <c r="S509" s="2" t="b">
        <v>1</v>
      </c>
      <c r="T509" s="2">
        <v>1</v>
      </c>
      <c r="U509" s="2" t="b">
        <v>1</v>
      </c>
      <c r="V509" s="1" t="s">
        <v>490</v>
      </c>
      <c r="W509" s="2">
        <v>0.6</v>
      </c>
      <c r="X509" s="1"/>
      <c r="Z509" s="1"/>
    </row>
    <row r="510" spans="1:26">
      <c r="A510" s="4">
        <v>1203</v>
      </c>
      <c r="B510" s="7" t="str">
        <f>VLOOKUP($A510,SkillEnum!$A$2:$C$1020,2,FALSE)</f>
        <v>SI_A_ESK_ARMOR_BRAKE</v>
      </c>
      <c r="C510" s="7">
        <v>6</v>
      </c>
      <c r="D510" s="2" t="str">
        <f>VLOOKUP($C510,SkillEnum!$D$2:$E$10,2,FALSE)</f>
        <v>ST_ACTIVE</v>
      </c>
      <c r="E510" s="7" t="str">
        <f>VLOOKUP($A510,SkillEnum!$A$2:$C$1020,3,FALSE)</f>
        <v>아머 브레이크</v>
      </c>
      <c r="F510" s="7" t="str">
        <f t="shared" si="72"/>
        <v>검 손잡이로 대상의 방어구를 강하게 타격하여 물리공격력의 500 % 데미지를 주고, 60 % 확률로 대상의 방어구를 부숴 5초 동안 방어력을 0으로 만든다.</v>
      </c>
      <c r="G510" s="2">
        <v>9</v>
      </c>
      <c r="H510" s="2">
        <v>5</v>
      </c>
      <c r="I510" s="2">
        <v>10</v>
      </c>
      <c r="J510" s="2">
        <v>30</v>
      </c>
      <c r="K510" s="2">
        <v>0</v>
      </c>
      <c r="L510" s="2">
        <v>0</v>
      </c>
      <c r="M510" s="2">
        <v>0</v>
      </c>
      <c r="N510" s="2">
        <v>0</v>
      </c>
      <c r="O510" s="2">
        <v>0</v>
      </c>
      <c r="P510" s="2" t="s">
        <v>435</v>
      </c>
      <c r="Q510" s="2" t="str">
        <f t="shared" si="71"/>
        <v>SI_A_ESK_ARMOR_BRAKE</v>
      </c>
      <c r="R510" s="2" t="b">
        <v>0</v>
      </c>
      <c r="S510" s="2" t="b">
        <v>1</v>
      </c>
      <c r="T510" s="2">
        <v>1</v>
      </c>
      <c r="U510" s="2" t="b">
        <v>1</v>
      </c>
      <c r="V510" s="1" t="s">
        <v>490</v>
      </c>
      <c r="W510" s="2">
        <v>0.6</v>
      </c>
      <c r="X510" s="1"/>
      <c r="Z510" s="1"/>
    </row>
    <row r="511" spans="1:26" s="5" customFormat="1">
      <c r="A511" s="6">
        <v>1203</v>
      </c>
      <c r="B511" s="8" t="str">
        <f>VLOOKUP($A511,SkillEnum!$A$2:$C$1020,2,FALSE)</f>
        <v>SI_A_ESK_ARMOR_BRAKE</v>
      </c>
      <c r="C511" s="8">
        <v>6</v>
      </c>
      <c r="D511" s="5" t="str">
        <f>VLOOKUP($C511,SkillEnum!$D$2:$E$10,2,FALSE)</f>
        <v>ST_ACTIVE</v>
      </c>
      <c r="E511" s="8" t="str">
        <f>VLOOKUP($A511,SkillEnum!$A$2:$C$1020,3,FALSE)</f>
        <v>아머 브레이크</v>
      </c>
      <c r="F511" s="8" t="str">
        <f t="shared" si="72"/>
        <v>검 손잡이로 대상의 방어구를 강하게 타격하여 물리공격력의 550 % 데미지를 주고, 60 % 확률로 대상의 방어구를 부숴 5초 동안 방어력을 0으로 만든다.</v>
      </c>
      <c r="G511" s="5">
        <v>10</v>
      </c>
      <c r="H511" s="5">
        <v>5.5</v>
      </c>
      <c r="I511" s="5">
        <v>10</v>
      </c>
      <c r="J511" s="5">
        <v>30</v>
      </c>
      <c r="K511" s="5">
        <v>0</v>
      </c>
      <c r="L511" s="5">
        <v>0</v>
      </c>
      <c r="M511" s="5">
        <v>0</v>
      </c>
      <c r="N511" s="5">
        <v>0</v>
      </c>
      <c r="O511" s="5">
        <v>0</v>
      </c>
      <c r="P511" s="2" t="s">
        <v>435</v>
      </c>
      <c r="Q511" s="2" t="str">
        <f t="shared" si="71"/>
        <v>SI_A_ESK_ARMOR_BRAKE</v>
      </c>
      <c r="R511" s="5" t="b">
        <v>0</v>
      </c>
      <c r="S511" s="2" t="b">
        <v>1</v>
      </c>
      <c r="T511" s="2">
        <v>1</v>
      </c>
      <c r="U511" s="2" t="b">
        <v>1</v>
      </c>
      <c r="V511" s="5" t="s">
        <v>490</v>
      </c>
      <c r="W511" s="5">
        <v>0.6</v>
      </c>
    </row>
    <row r="512" spans="1:26" s="10" customFormat="1">
      <c r="A512" s="9">
        <v>1204</v>
      </c>
      <c r="B512" s="11" t="str">
        <f>VLOOKUP($A512,SkillEnum!$A$2:$C$1020,2,FALSE)</f>
        <v>SI_A_EMK_BIG_BURST</v>
      </c>
      <c r="C512" s="11">
        <v>6</v>
      </c>
      <c r="D512" s="10" t="str">
        <f>VLOOKUP($C512,SkillEnum!$D$2:$E$10,2,FALSE)</f>
        <v>ST_ACTIVE</v>
      </c>
      <c r="E512" s="11" t="str">
        <f>VLOOKUP($A512,SkillEnum!$A$2:$C$1020,3,FALSE)</f>
        <v>대폭살</v>
      </c>
      <c r="F512" s="11" t="str">
        <f>"전방의 적에게 주먹을 질러 넣어 응축된 마법의 힘으로 대 폭발을 일으킨다. 폭발에 휘말린 적은 마법공격력의 "&amp;ROUND(H512*100,0)&amp;" % 로 연속피해를 입는다."</f>
        <v>전방의 적에게 주먹을 질러 넣어 응축된 마법의 힘으로 대 폭발을 일으킨다. 폭발에 휘말린 적은 마법공격력의 40 % 로 연속피해를 입는다.</v>
      </c>
      <c r="G512" s="10">
        <v>1</v>
      </c>
      <c r="H512" s="2">
        <v>0.4</v>
      </c>
      <c r="I512" s="2">
        <v>5</v>
      </c>
      <c r="J512" s="2">
        <v>20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 t="s">
        <v>435</v>
      </c>
      <c r="Q512" s="2" t="str">
        <f t="shared" si="71"/>
        <v>SI_A_EMK_BIG_BURST</v>
      </c>
      <c r="R512" s="2" t="b">
        <v>0</v>
      </c>
      <c r="S512" s="2" t="b">
        <v>1</v>
      </c>
      <c r="T512" s="2">
        <v>1</v>
      </c>
      <c r="U512" s="2" t="b">
        <v>1</v>
      </c>
      <c r="X512" s="1"/>
    </row>
    <row r="513" spans="1:27">
      <c r="A513" s="4">
        <v>1204</v>
      </c>
      <c r="B513" s="7" t="str">
        <f>VLOOKUP($A513,SkillEnum!$A$2:$C$1020,2,FALSE)</f>
        <v>SI_A_EMK_BIG_BURST</v>
      </c>
      <c r="C513" s="7">
        <v>6</v>
      </c>
      <c r="D513" s="2" t="str">
        <f>VLOOKUP($C513,SkillEnum!$D$2:$E$10,2,FALSE)</f>
        <v>ST_ACTIVE</v>
      </c>
      <c r="E513" s="7" t="str">
        <f>VLOOKUP($A513,SkillEnum!$A$2:$C$1020,3,FALSE)</f>
        <v>대폭살</v>
      </c>
      <c r="F513" s="7" t="str">
        <f t="shared" ref="F513:F521" si="73">"전방의 적에게 주먹을 질러 넣어 응축된 마법의 힘으로 대 폭발을 일으킨다. 폭발에 휘말린 적은 마법공격력의 "&amp;ROUND(H513*100,0)&amp;" % 로 연속피해를 입는다."</f>
        <v>전방의 적에게 주먹을 질러 넣어 응축된 마법의 힘으로 대 폭발을 일으킨다. 폭발에 휘말린 적은 마법공격력의 45 % 로 연속피해를 입는다.</v>
      </c>
      <c r="G513" s="2">
        <v>2</v>
      </c>
      <c r="H513" s="2">
        <v>0.45</v>
      </c>
      <c r="I513" s="2">
        <v>5</v>
      </c>
      <c r="J513" s="2">
        <v>20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 t="s">
        <v>435</v>
      </c>
      <c r="Q513" s="2" t="str">
        <f t="shared" si="71"/>
        <v>SI_A_EMK_BIG_BURST</v>
      </c>
      <c r="R513" s="2" t="b">
        <v>0</v>
      </c>
      <c r="S513" s="2" t="b">
        <v>1</v>
      </c>
      <c r="T513" s="2">
        <v>1</v>
      </c>
      <c r="U513" s="2" t="b">
        <v>1</v>
      </c>
      <c r="X513" s="1"/>
    </row>
    <row r="514" spans="1:27">
      <c r="A514" s="4">
        <v>1204</v>
      </c>
      <c r="B514" s="7" t="str">
        <f>VLOOKUP($A514,SkillEnum!$A$2:$C$1020,2,FALSE)</f>
        <v>SI_A_EMK_BIG_BURST</v>
      </c>
      <c r="C514" s="7">
        <v>6</v>
      </c>
      <c r="D514" s="2" t="str">
        <f>VLOOKUP($C514,SkillEnum!$D$2:$E$10,2,FALSE)</f>
        <v>ST_ACTIVE</v>
      </c>
      <c r="E514" s="7" t="str">
        <f>VLOOKUP($A514,SkillEnum!$A$2:$C$1020,3,FALSE)</f>
        <v>대폭살</v>
      </c>
      <c r="F514" s="7" t="str">
        <f t="shared" si="73"/>
        <v>전방의 적에게 주먹을 질러 넣어 응축된 마법의 힘으로 대 폭발을 일으킨다. 폭발에 휘말린 적은 마법공격력의 50 % 로 연속피해를 입는다.</v>
      </c>
      <c r="G514" s="2">
        <v>3</v>
      </c>
      <c r="H514" s="2">
        <v>0.5</v>
      </c>
      <c r="I514" s="2">
        <v>5</v>
      </c>
      <c r="J514" s="2">
        <v>20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 t="s">
        <v>435</v>
      </c>
      <c r="Q514" s="2" t="str">
        <f t="shared" si="71"/>
        <v>SI_A_EMK_BIG_BURST</v>
      </c>
      <c r="R514" s="2" t="b">
        <v>0</v>
      </c>
      <c r="S514" s="2" t="b">
        <v>1</v>
      </c>
      <c r="T514" s="2">
        <v>1</v>
      </c>
      <c r="U514" s="2" t="b">
        <v>1</v>
      </c>
      <c r="X514" s="1"/>
    </row>
    <row r="515" spans="1:27">
      <c r="A515" s="4">
        <v>1204</v>
      </c>
      <c r="B515" s="7" t="str">
        <f>VLOOKUP($A515,SkillEnum!$A$2:$C$1020,2,FALSE)</f>
        <v>SI_A_EMK_BIG_BURST</v>
      </c>
      <c r="C515" s="7">
        <v>6</v>
      </c>
      <c r="D515" s="2" t="str">
        <f>VLOOKUP($C515,SkillEnum!$D$2:$E$10,2,FALSE)</f>
        <v>ST_ACTIVE</v>
      </c>
      <c r="E515" s="7" t="str">
        <f>VLOOKUP($A515,SkillEnum!$A$2:$C$1020,3,FALSE)</f>
        <v>대폭살</v>
      </c>
      <c r="F515" s="7" t="str">
        <f t="shared" si="73"/>
        <v>전방의 적에게 주먹을 질러 넣어 응축된 마법의 힘으로 대 폭발을 일으킨다. 폭발에 휘말린 적은 마법공격력의 55 % 로 연속피해를 입는다.</v>
      </c>
      <c r="G515" s="2">
        <v>4</v>
      </c>
      <c r="H515" s="2">
        <v>0.55000000000000004</v>
      </c>
      <c r="I515" s="2">
        <v>5</v>
      </c>
      <c r="J515" s="2">
        <v>20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 t="s">
        <v>435</v>
      </c>
      <c r="Q515" s="2" t="str">
        <f t="shared" si="71"/>
        <v>SI_A_EMK_BIG_BURST</v>
      </c>
      <c r="R515" s="2" t="b">
        <v>0</v>
      </c>
      <c r="S515" s="2" t="b">
        <v>1</v>
      </c>
      <c r="T515" s="2">
        <v>1</v>
      </c>
      <c r="U515" s="2" t="b">
        <v>1</v>
      </c>
      <c r="X515" s="1"/>
    </row>
    <row r="516" spans="1:27">
      <c r="A516" s="4">
        <v>1204</v>
      </c>
      <c r="B516" s="7" t="str">
        <f>VLOOKUP($A516,SkillEnum!$A$2:$C$1020,2,FALSE)</f>
        <v>SI_A_EMK_BIG_BURST</v>
      </c>
      <c r="C516" s="7">
        <v>6</v>
      </c>
      <c r="D516" s="2" t="str">
        <f>VLOOKUP($C516,SkillEnum!$D$2:$E$10,2,FALSE)</f>
        <v>ST_ACTIVE</v>
      </c>
      <c r="E516" s="7" t="str">
        <f>VLOOKUP($A516,SkillEnum!$A$2:$C$1020,3,FALSE)</f>
        <v>대폭살</v>
      </c>
      <c r="F516" s="7" t="str">
        <f t="shared" si="73"/>
        <v>전방의 적에게 주먹을 질러 넣어 응축된 마법의 힘으로 대 폭발을 일으킨다. 폭발에 휘말린 적은 마법공격력의 60 % 로 연속피해를 입는다.</v>
      </c>
      <c r="G516" s="2">
        <v>5</v>
      </c>
      <c r="H516" s="2">
        <v>0.6</v>
      </c>
      <c r="I516" s="2">
        <v>5</v>
      </c>
      <c r="J516" s="2">
        <v>20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 t="s">
        <v>435</v>
      </c>
      <c r="Q516" s="2" t="str">
        <f t="shared" si="71"/>
        <v>SI_A_EMK_BIG_BURST</v>
      </c>
      <c r="R516" s="2" t="b">
        <v>0</v>
      </c>
      <c r="S516" s="2" t="b">
        <v>1</v>
      </c>
      <c r="T516" s="2">
        <v>1</v>
      </c>
      <c r="U516" s="2" t="b">
        <v>1</v>
      </c>
      <c r="X516" s="1"/>
    </row>
    <row r="517" spans="1:27">
      <c r="A517" s="4">
        <v>1204</v>
      </c>
      <c r="B517" s="7" t="str">
        <f>VLOOKUP($A517,SkillEnum!$A$2:$C$1020,2,FALSE)</f>
        <v>SI_A_EMK_BIG_BURST</v>
      </c>
      <c r="C517" s="7">
        <v>6</v>
      </c>
      <c r="D517" s="2" t="str">
        <f>VLOOKUP($C517,SkillEnum!$D$2:$E$10,2,FALSE)</f>
        <v>ST_ACTIVE</v>
      </c>
      <c r="E517" s="7" t="str">
        <f>VLOOKUP($A517,SkillEnum!$A$2:$C$1020,3,FALSE)</f>
        <v>대폭살</v>
      </c>
      <c r="F517" s="7" t="str">
        <f t="shared" si="73"/>
        <v>전방의 적에게 주먹을 질러 넣어 응축된 마법의 힘으로 대 폭발을 일으킨다. 폭발에 휘말린 적은 마법공격력의 65 % 로 연속피해를 입는다.</v>
      </c>
      <c r="G517" s="2">
        <v>6</v>
      </c>
      <c r="H517" s="2">
        <v>0.65</v>
      </c>
      <c r="I517" s="2">
        <v>5</v>
      </c>
      <c r="J517" s="2">
        <v>20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 t="s">
        <v>435</v>
      </c>
      <c r="Q517" s="2" t="str">
        <f t="shared" si="71"/>
        <v>SI_A_EMK_BIG_BURST</v>
      </c>
      <c r="R517" s="2" t="b">
        <v>0</v>
      </c>
      <c r="S517" s="2" t="b">
        <v>1</v>
      </c>
      <c r="T517" s="2">
        <v>1</v>
      </c>
      <c r="U517" s="2" t="b">
        <v>1</v>
      </c>
      <c r="X517" s="1"/>
    </row>
    <row r="518" spans="1:27">
      <c r="A518" s="4">
        <v>1204</v>
      </c>
      <c r="B518" s="7" t="str">
        <f>VLOOKUP($A518,SkillEnum!$A$2:$C$1020,2,FALSE)</f>
        <v>SI_A_EMK_BIG_BURST</v>
      </c>
      <c r="C518" s="7">
        <v>6</v>
      </c>
      <c r="D518" s="2" t="str">
        <f>VLOOKUP($C518,SkillEnum!$D$2:$E$10,2,FALSE)</f>
        <v>ST_ACTIVE</v>
      </c>
      <c r="E518" s="7" t="str">
        <f>VLOOKUP($A518,SkillEnum!$A$2:$C$1020,3,FALSE)</f>
        <v>대폭살</v>
      </c>
      <c r="F518" s="7" t="str">
        <f t="shared" si="73"/>
        <v>전방의 적에게 주먹을 질러 넣어 응축된 마법의 힘으로 대 폭발을 일으킨다. 폭발에 휘말린 적은 마법공격력의 70 % 로 연속피해를 입는다.</v>
      </c>
      <c r="G518" s="2">
        <v>7</v>
      </c>
      <c r="H518" s="2">
        <v>0.7</v>
      </c>
      <c r="I518" s="2">
        <v>5</v>
      </c>
      <c r="J518" s="2">
        <v>20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 t="s">
        <v>435</v>
      </c>
      <c r="Q518" s="2" t="str">
        <f t="shared" si="71"/>
        <v>SI_A_EMK_BIG_BURST</v>
      </c>
      <c r="R518" s="2" t="b">
        <v>0</v>
      </c>
      <c r="S518" s="2" t="b">
        <v>1</v>
      </c>
      <c r="T518" s="2">
        <v>1</v>
      </c>
      <c r="U518" s="2" t="b">
        <v>1</v>
      </c>
      <c r="X518" s="1"/>
    </row>
    <row r="519" spans="1:27">
      <c r="A519" s="4">
        <v>1204</v>
      </c>
      <c r="B519" s="7" t="str">
        <f>VLOOKUP($A519,SkillEnum!$A$2:$C$1020,2,FALSE)</f>
        <v>SI_A_EMK_BIG_BURST</v>
      </c>
      <c r="C519" s="7">
        <v>6</v>
      </c>
      <c r="D519" s="2" t="str">
        <f>VLOOKUP($C519,SkillEnum!$D$2:$E$10,2,FALSE)</f>
        <v>ST_ACTIVE</v>
      </c>
      <c r="E519" s="7" t="str">
        <f>VLOOKUP($A519,SkillEnum!$A$2:$C$1020,3,FALSE)</f>
        <v>대폭살</v>
      </c>
      <c r="F519" s="7" t="str">
        <f t="shared" si="73"/>
        <v>전방의 적에게 주먹을 질러 넣어 응축된 마법의 힘으로 대 폭발을 일으킨다. 폭발에 휘말린 적은 마법공격력의 75 % 로 연속피해를 입는다.</v>
      </c>
      <c r="G519" s="2">
        <v>8</v>
      </c>
      <c r="H519" s="2">
        <v>0.75</v>
      </c>
      <c r="I519" s="2">
        <v>5</v>
      </c>
      <c r="J519" s="2">
        <v>20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 t="s">
        <v>435</v>
      </c>
      <c r="Q519" s="2" t="str">
        <f t="shared" si="71"/>
        <v>SI_A_EMK_BIG_BURST</v>
      </c>
      <c r="R519" s="2" t="b">
        <v>0</v>
      </c>
      <c r="S519" s="2" t="b">
        <v>1</v>
      </c>
      <c r="T519" s="2">
        <v>1</v>
      </c>
      <c r="U519" s="2" t="b">
        <v>1</v>
      </c>
      <c r="X519" s="1"/>
    </row>
    <row r="520" spans="1:27">
      <c r="A520" s="4">
        <v>1204</v>
      </c>
      <c r="B520" s="7" t="str">
        <f>VLOOKUP($A520,SkillEnum!$A$2:$C$1020,2,FALSE)</f>
        <v>SI_A_EMK_BIG_BURST</v>
      </c>
      <c r="C520" s="7">
        <v>6</v>
      </c>
      <c r="D520" s="2" t="str">
        <f>VLOOKUP($C520,SkillEnum!$D$2:$E$10,2,FALSE)</f>
        <v>ST_ACTIVE</v>
      </c>
      <c r="E520" s="7" t="str">
        <f>VLOOKUP($A520,SkillEnum!$A$2:$C$1020,3,FALSE)</f>
        <v>대폭살</v>
      </c>
      <c r="F520" s="7" t="str">
        <f t="shared" si="73"/>
        <v>전방의 적에게 주먹을 질러 넣어 응축된 마법의 힘으로 대 폭발을 일으킨다. 폭발에 휘말린 적은 마법공격력의 80 % 로 연속피해를 입는다.</v>
      </c>
      <c r="G520" s="2">
        <v>9</v>
      </c>
      <c r="H520" s="2">
        <v>0.8</v>
      </c>
      <c r="I520" s="2">
        <v>5</v>
      </c>
      <c r="J520" s="2">
        <v>20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 t="s">
        <v>435</v>
      </c>
      <c r="Q520" s="2" t="str">
        <f t="shared" si="71"/>
        <v>SI_A_EMK_BIG_BURST</v>
      </c>
      <c r="R520" s="2" t="b">
        <v>0</v>
      </c>
      <c r="S520" s="2" t="b">
        <v>1</v>
      </c>
      <c r="T520" s="2">
        <v>1</v>
      </c>
      <c r="U520" s="2" t="b">
        <v>1</v>
      </c>
      <c r="X520" s="1"/>
    </row>
    <row r="521" spans="1:27" s="5" customFormat="1">
      <c r="A521" s="6">
        <v>1204</v>
      </c>
      <c r="B521" s="8" t="str">
        <f>VLOOKUP($A521,SkillEnum!$A$2:$C$1020,2,FALSE)</f>
        <v>SI_A_EMK_BIG_BURST</v>
      </c>
      <c r="C521" s="8">
        <v>6</v>
      </c>
      <c r="D521" s="5" t="str">
        <f>VLOOKUP($C521,SkillEnum!$D$2:$E$10,2,FALSE)</f>
        <v>ST_ACTIVE</v>
      </c>
      <c r="E521" s="8" t="str">
        <f>VLOOKUP($A521,SkillEnum!$A$2:$C$1020,3,FALSE)</f>
        <v>대폭살</v>
      </c>
      <c r="F521" s="8" t="str">
        <f t="shared" si="73"/>
        <v>전방의 적에게 주먹을 질러 넣어 응축된 마법의 힘으로 대 폭발을 일으킨다. 폭발에 휘말린 적은 마법공격력의 85 % 로 연속피해를 입는다.</v>
      </c>
      <c r="G521" s="5">
        <v>10</v>
      </c>
      <c r="H521" s="5">
        <v>0.85</v>
      </c>
      <c r="I521" s="5">
        <v>5</v>
      </c>
      <c r="J521" s="5">
        <v>20</v>
      </c>
      <c r="K521" s="5">
        <v>0</v>
      </c>
      <c r="L521" s="5">
        <v>0</v>
      </c>
      <c r="M521" s="5">
        <v>0</v>
      </c>
      <c r="N521" s="5">
        <v>0</v>
      </c>
      <c r="O521" s="5">
        <v>0</v>
      </c>
      <c r="P521" s="2" t="s">
        <v>435</v>
      </c>
      <c r="Q521" s="2" t="str">
        <f t="shared" si="71"/>
        <v>SI_A_EMK_BIG_BURST</v>
      </c>
      <c r="R521" s="5" t="b">
        <v>0</v>
      </c>
      <c r="S521" s="2" t="b">
        <v>1</v>
      </c>
      <c r="T521" s="2">
        <v>1</v>
      </c>
      <c r="U521" s="2" t="b">
        <v>1</v>
      </c>
    </row>
    <row r="522" spans="1:27" s="10" customFormat="1">
      <c r="A522" s="43">
        <v>1400</v>
      </c>
      <c r="B522" s="11" t="str">
        <f>VLOOKUP($A522,SkillEnum!$A$2:$C$1020,2,FALSE)</f>
        <v>SI_P_ES_COUNTER_UP</v>
      </c>
      <c r="C522" s="11">
        <v>8</v>
      </c>
      <c r="D522" s="10" t="str">
        <f>VLOOKUP($C522,SkillEnum!$D$2:$E$10,2,FALSE)</f>
        <v>ST_PASSIVE</v>
      </c>
      <c r="E522" s="11" t="str">
        <f>VLOOKUP($A522,SkillEnum!$A$2:$C$1020,3,FALSE)</f>
        <v>반격 연마</v>
      </c>
      <c r="F522" s="11" t="str">
        <f>"반격시 상대를 "&amp;Y522&amp;" % 확률로 공중으로 띄워 추가 공격이 가능한 상태로 만든다."</f>
        <v>반격시 상대를 20 % 확률로 공중으로 띄워 추가 공격이 가능한 상태로 만든다.</v>
      </c>
      <c r="G522" s="10">
        <v>1</v>
      </c>
      <c r="H522" s="2">
        <v>1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 t="s">
        <v>435</v>
      </c>
      <c r="Q522" s="2" t="str">
        <f t="shared" si="64"/>
        <v>SI_P_ES_COUNTER_UP</v>
      </c>
      <c r="R522" s="2" t="b">
        <v>0</v>
      </c>
      <c r="S522" s="2" t="b">
        <v>1</v>
      </c>
      <c r="T522" s="2">
        <v>0</v>
      </c>
      <c r="U522" s="2"/>
      <c r="V522" s="10" t="s">
        <v>144</v>
      </c>
      <c r="W522" s="10">
        <v>1200</v>
      </c>
      <c r="X522" s="10" t="s">
        <v>158</v>
      </c>
      <c r="Y522" s="10">
        <v>20</v>
      </c>
      <c r="Z522" s="10" t="s">
        <v>169</v>
      </c>
      <c r="AA522" s="10">
        <v>1</v>
      </c>
    </row>
    <row r="523" spans="1:27">
      <c r="A523" s="44">
        <v>1400</v>
      </c>
      <c r="B523" s="7" t="str">
        <f>VLOOKUP($A523,SkillEnum!$A$2:$C$1020,2,FALSE)</f>
        <v>SI_P_ES_COUNTER_UP</v>
      </c>
      <c r="C523" s="7">
        <v>8</v>
      </c>
      <c r="D523" s="2" t="str">
        <f>VLOOKUP($C523,SkillEnum!$D$2:$E$10,2,FALSE)</f>
        <v>ST_PASSIVE</v>
      </c>
      <c r="E523" s="7" t="str">
        <f>VLOOKUP($A523,SkillEnum!$A$2:$C$1020,3,FALSE)</f>
        <v>반격 연마</v>
      </c>
      <c r="F523" s="7" t="str">
        <f>"반격시 상대를 "&amp;Y523&amp;" % 확률로 공중으로 띄워 추가 공격이 가능한 상태로 만든다."</f>
        <v>반격시 상대를 40 % 확률로 공중으로 띄워 추가 공격이 가능한 상태로 만든다.</v>
      </c>
      <c r="G523" s="2">
        <v>2</v>
      </c>
      <c r="H523" s="2">
        <v>1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 t="s">
        <v>435</v>
      </c>
      <c r="Q523" s="2" t="str">
        <f t="shared" si="64"/>
        <v>SI_P_ES_COUNTER_UP</v>
      </c>
      <c r="R523" s="2" t="b">
        <v>0</v>
      </c>
      <c r="S523" s="2" t="b">
        <v>1</v>
      </c>
      <c r="T523" s="2">
        <v>0</v>
      </c>
      <c r="V523" s="2" t="s">
        <v>144</v>
      </c>
      <c r="W523" s="2">
        <v>1200</v>
      </c>
      <c r="X523" s="2" t="s">
        <v>158</v>
      </c>
      <c r="Y523" s="2">
        <v>40</v>
      </c>
      <c r="Z523" s="2" t="s">
        <v>169</v>
      </c>
      <c r="AA523" s="2">
        <v>1</v>
      </c>
    </row>
    <row r="524" spans="1:27">
      <c r="A524" s="44">
        <v>1400</v>
      </c>
      <c r="B524" s="7" t="str">
        <f>VLOOKUP($A524,SkillEnum!$A$2:$C$1020,2,FALSE)</f>
        <v>SI_P_ES_COUNTER_UP</v>
      </c>
      <c r="C524" s="7">
        <v>8</v>
      </c>
      <c r="D524" s="2" t="str">
        <f>VLOOKUP($C524,SkillEnum!$D$2:$E$10,2,FALSE)</f>
        <v>ST_PASSIVE</v>
      </c>
      <c r="E524" s="7" t="str">
        <f>VLOOKUP($A524,SkillEnum!$A$2:$C$1020,3,FALSE)</f>
        <v>반격 연마</v>
      </c>
      <c r="F524" s="7" t="str">
        <f>"반격시 상대를 "&amp;Y524&amp;" % 확률로 공중으로 띄워 추가 공격이 가능한 상태로 만든다."</f>
        <v>반격시 상대를 60 % 확률로 공중으로 띄워 추가 공격이 가능한 상태로 만든다.</v>
      </c>
      <c r="G524" s="2">
        <v>3</v>
      </c>
      <c r="H524" s="2">
        <v>1</v>
      </c>
      <c r="I524" s="2">
        <v>0</v>
      </c>
      <c r="J524" s="2">
        <v>0</v>
      </c>
      <c r="K524" s="2">
        <v>0</v>
      </c>
      <c r="L524" s="2">
        <v>0</v>
      </c>
      <c r="M524" s="2">
        <v>0</v>
      </c>
      <c r="N524" s="2">
        <v>0</v>
      </c>
      <c r="O524" s="2">
        <v>0</v>
      </c>
      <c r="P524" s="2" t="s">
        <v>435</v>
      </c>
      <c r="Q524" s="2" t="str">
        <f t="shared" si="64"/>
        <v>SI_P_ES_COUNTER_UP</v>
      </c>
      <c r="R524" s="2" t="b">
        <v>0</v>
      </c>
      <c r="S524" s="2" t="b">
        <v>1</v>
      </c>
      <c r="T524" s="2">
        <v>0</v>
      </c>
      <c r="V524" s="2" t="s">
        <v>144</v>
      </c>
      <c r="W524" s="2">
        <v>1200</v>
      </c>
      <c r="X524" s="2" t="s">
        <v>158</v>
      </c>
      <c r="Y524" s="2">
        <v>60</v>
      </c>
      <c r="Z524" s="2" t="s">
        <v>169</v>
      </c>
      <c r="AA524" s="2">
        <v>1</v>
      </c>
    </row>
    <row r="525" spans="1:27">
      <c r="A525" s="44">
        <v>1400</v>
      </c>
      <c r="B525" s="7" t="str">
        <f>VLOOKUP($A525,SkillEnum!$A$2:$C$1020,2,FALSE)</f>
        <v>SI_P_ES_COUNTER_UP</v>
      </c>
      <c r="C525" s="7">
        <v>8</v>
      </c>
      <c r="D525" s="2" t="str">
        <f>VLOOKUP($C525,SkillEnum!$D$2:$E$10,2,FALSE)</f>
        <v>ST_PASSIVE</v>
      </c>
      <c r="E525" s="7" t="str">
        <f>VLOOKUP($A525,SkillEnum!$A$2:$C$1020,3,FALSE)</f>
        <v>반격 연마</v>
      </c>
      <c r="F525" s="7" t="str">
        <f>"반격시 상대를 "&amp;Y525&amp;" % 확률로 공중으로 띄워 추가 공격이 가능한 상태로 만든다."</f>
        <v>반격시 상대를 80 % 확률로 공중으로 띄워 추가 공격이 가능한 상태로 만든다.</v>
      </c>
      <c r="G525" s="2">
        <v>4</v>
      </c>
      <c r="H525" s="2">
        <v>1</v>
      </c>
      <c r="I525" s="2">
        <v>0</v>
      </c>
      <c r="J525" s="2">
        <v>0</v>
      </c>
      <c r="K525" s="2">
        <v>0</v>
      </c>
      <c r="L525" s="2">
        <v>0</v>
      </c>
      <c r="M525" s="2">
        <v>0</v>
      </c>
      <c r="N525" s="2">
        <v>0</v>
      </c>
      <c r="O525" s="2">
        <v>0</v>
      </c>
      <c r="P525" s="2" t="s">
        <v>435</v>
      </c>
      <c r="Q525" s="2" t="str">
        <f t="shared" si="64"/>
        <v>SI_P_ES_COUNTER_UP</v>
      </c>
      <c r="R525" s="2" t="b">
        <v>0</v>
      </c>
      <c r="S525" s="2" t="b">
        <v>1</v>
      </c>
      <c r="T525" s="2">
        <v>0</v>
      </c>
      <c r="V525" s="2" t="s">
        <v>144</v>
      </c>
      <c r="W525" s="2">
        <v>1200</v>
      </c>
      <c r="X525" s="2" t="s">
        <v>158</v>
      </c>
      <c r="Y525" s="2">
        <v>80</v>
      </c>
      <c r="Z525" s="2" t="s">
        <v>169</v>
      </c>
      <c r="AA525" s="2">
        <v>1</v>
      </c>
    </row>
    <row r="526" spans="1:27">
      <c r="A526" s="44">
        <v>1400</v>
      </c>
      <c r="B526" s="7" t="str">
        <f>VLOOKUP($A526,SkillEnum!$A$2:$C$1020,2,FALSE)</f>
        <v>SI_P_ES_COUNTER_UP</v>
      </c>
      <c r="C526" s="7">
        <v>8</v>
      </c>
      <c r="D526" s="2" t="str">
        <f>VLOOKUP($C526,SkillEnum!$D$2:$E$10,2,FALSE)</f>
        <v>ST_PASSIVE</v>
      </c>
      <c r="E526" s="7" t="str">
        <f>VLOOKUP($A526,SkillEnum!$A$2:$C$1020,3,FALSE)</f>
        <v>반격 연마</v>
      </c>
      <c r="F526" s="7" t="str">
        <f>"반격시 상대를 "&amp;Y526&amp;" % 확률로 공중으로 띄워 추가 공격이 가능한 상태로 만든다."</f>
        <v>반격시 상대를 100 % 확률로 공중으로 띄워 추가 공격이 가능한 상태로 만든다.</v>
      </c>
      <c r="G526" s="2">
        <v>5</v>
      </c>
      <c r="H526" s="2">
        <v>1</v>
      </c>
      <c r="I526" s="2">
        <v>0</v>
      </c>
      <c r="J526" s="2">
        <v>0</v>
      </c>
      <c r="K526" s="2">
        <v>0</v>
      </c>
      <c r="L526" s="2">
        <v>0</v>
      </c>
      <c r="M526" s="2">
        <v>0</v>
      </c>
      <c r="N526" s="2">
        <v>0</v>
      </c>
      <c r="O526" s="2">
        <v>0</v>
      </c>
      <c r="P526" s="2" t="s">
        <v>435</v>
      </c>
      <c r="Q526" s="2" t="str">
        <f t="shared" si="64"/>
        <v>SI_P_ES_COUNTER_UP</v>
      </c>
      <c r="R526" s="2" t="b">
        <v>0</v>
      </c>
      <c r="S526" s="2" t="b">
        <v>1</v>
      </c>
      <c r="T526" s="2">
        <v>0</v>
      </c>
      <c r="V526" s="2" t="s">
        <v>144</v>
      </c>
      <c r="W526" s="2">
        <v>1200</v>
      </c>
      <c r="X526" s="2" t="s">
        <v>158</v>
      </c>
      <c r="Y526" s="2">
        <v>100</v>
      </c>
      <c r="Z526" s="2" t="s">
        <v>169</v>
      </c>
      <c r="AA526" s="2">
        <v>1</v>
      </c>
    </row>
    <row r="527" spans="1:27">
      <c r="A527" s="44">
        <v>1400</v>
      </c>
      <c r="B527" s="7" t="str">
        <f>VLOOKUP($A527,SkillEnum!$A$2:$C$1020,2,FALSE)</f>
        <v>SI_P_ES_COUNTER_UP</v>
      </c>
      <c r="C527" s="7">
        <v>8</v>
      </c>
      <c r="D527" s="2" t="str">
        <f>VLOOKUP($C527,SkillEnum!$D$2:$E$10,2,FALSE)</f>
        <v>ST_PASSIVE</v>
      </c>
      <c r="E527" s="7" t="str">
        <f>VLOOKUP($A527,SkillEnum!$A$2:$C$1020,3,FALSE)</f>
        <v>반격 연마</v>
      </c>
      <c r="F527" s="7" t="str">
        <f>"반격시 마나소모를 "&amp;ROUND((1-AA527)*100,0)&amp;" % 줄이고, 상대를 "&amp;Y527&amp;" % 확률로 공중으로 띄워 추가 공격이 가능한 상태로 만든다."</f>
        <v>반격시 마나소모를 5 % 줄이고, 상대를 100 % 확률로 공중으로 띄워 추가 공격이 가능한 상태로 만든다.</v>
      </c>
      <c r="G527" s="2">
        <v>6</v>
      </c>
      <c r="H527" s="2">
        <v>1</v>
      </c>
      <c r="I527" s="2">
        <v>0</v>
      </c>
      <c r="J527" s="2">
        <v>0</v>
      </c>
      <c r="K527" s="2">
        <v>0</v>
      </c>
      <c r="L527" s="2">
        <v>0</v>
      </c>
      <c r="M527" s="2">
        <v>0</v>
      </c>
      <c r="N527" s="2">
        <v>0</v>
      </c>
      <c r="O527" s="2">
        <v>0</v>
      </c>
      <c r="P527" s="2" t="s">
        <v>435</v>
      </c>
      <c r="Q527" s="2" t="str">
        <f t="shared" si="64"/>
        <v>SI_P_ES_COUNTER_UP</v>
      </c>
      <c r="R527" s="2" t="b">
        <v>0</v>
      </c>
      <c r="S527" s="2" t="b">
        <v>1</v>
      </c>
      <c r="T527" s="2">
        <v>0</v>
      </c>
      <c r="V527" s="2" t="s">
        <v>144</v>
      </c>
      <c r="W527" s="2">
        <v>1200</v>
      </c>
      <c r="X527" s="2" t="s">
        <v>158</v>
      </c>
      <c r="Y527" s="2">
        <v>100</v>
      </c>
      <c r="Z527" s="2" t="s">
        <v>169</v>
      </c>
      <c r="AA527" s="2">
        <v>0.95</v>
      </c>
    </row>
    <row r="528" spans="1:27">
      <c r="A528" s="44">
        <v>1400</v>
      </c>
      <c r="B528" s="7" t="str">
        <f>VLOOKUP($A528,SkillEnum!$A$2:$C$1020,2,FALSE)</f>
        <v>SI_P_ES_COUNTER_UP</v>
      </c>
      <c r="C528" s="7">
        <v>8</v>
      </c>
      <c r="D528" s="2" t="str">
        <f>VLOOKUP($C528,SkillEnum!$D$2:$E$10,2,FALSE)</f>
        <v>ST_PASSIVE</v>
      </c>
      <c r="E528" s="7" t="str">
        <f>VLOOKUP($A528,SkillEnum!$A$2:$C$1020,3,FALSE)</f>
        <v>반격 연마</v>
      </c>
      <c r="F528" s="7" t="str">
        <f>"반격시 마나소모를 "&amp;ROUND((1-AA528)*100,0)&amp;" % 줄이고, 상대를 "&amp;Y528&amp;" % 확률로 공중으로 띄워 추가 공격이 가능한 상태로 만든다."</f>
        <v>반격시 마나소모를 10 % 줄이고, 상대를 100 % 확률로 공중으로 띄워 추가 공격이 가능한 상태로 만든다.</v>
      </c>
      <c r="G528" s="2">
        <v>7</v>
      </c>
      <c r="H528" s="2">
        <v>1</v>
      </c>
      <c r="I528" s="2">
        <v>0</v>
      </c>
      <c r="J528" s="2">
        <v>0</v>
      </c>
      <c r="K528" s="2">
        <v>0</v>
      </c>
      <c r="L528" s="2">
        <v>0</v>
      </c>
      <c r="M528" s="2">
        <v>0</v>
      </c>
      <c r="N528" s="2">
        <v>0</v>
      </c>
      <c r="O528" s="2">
        <v>0</v>
      </c>
      <c r="P528" s="2" t="s">
        <v>435</v>
      </c>
      <c r="Q528" s="2" t="str">
        <f t="shared" si="64"/>
        <v>SI_P_ES_COUNTER_UP</v>
      </c>
      <c r="R528" s="2" t="b">
        <v>0</v>
      </c>
      <c r="S528" s="2" t="b">
        <v>1</v>
      </c>
      <c r="T528" s="2">
        <v>0</v>
      </c>
      <c r="V528" s="2" t="s">
        <v>144</v>
      </c>
      <c r="W528" s="2">
        <v>1200</v>
      </c>
      <c r="X528" s="2" t="s">
        <v>158</v>
      </c>
      <c r="Y528" s="2">
        <v>100</v>
      </c>
      <c r="Z528" s="2" t="s">
        <v>169</v>
      </c>
      <c r="AA528" s="2">
        <v>0.9</v>
      </c>
    </row>
    <row r="529" spans="1:27">
      <c r="A529" s="44">
        <v>1400</v>
      </c>
      <c r="B529" s="7" t="str">
        <f>VLOOKUP($A529,SkillEnum!$A$2:$C$1020,2,FALSE)</f>
        <v>SI_P_ES_COUNTER_UP</v>
      </c>
      <c r="C529" s="7">
        <v>8</v>
      </c>
      <c r="D529" s="2" t="str">
        <f>VLOOKUP($C529,SkillEnum!$D$2:$E$10,2,FALSE)</f>
        <v>ST_PASSIVE</v>
      </c>
      <c r="E529" s="7" t="str">
        <f>VLOOKUP($A529,SkillEnum!$A$2:$C$1020,3,FALSE)</f>
        <v>반격 연마</v>
      </c>
      <c r="F529" s="7" t="str">
        <f>"반격시 마나소모를 "&amp;ROUND((1-AA529)*100,0)&amp;" % 줄이고, 상대를 "&amp;Y529&amp;" % 확률로 공중으로 띄워 추가 공격이 가능한 상태로 만든다."</f>
        <v>반격시 마나소모를 15 % 줄이고, 상대를 100 % 확률로 공중으로 띄워 추가 공격이 가능한 상태로 만든다.</v>
      </c>
      <c r="G529" s="2">
        <v>8</v>
      </c>
      <c r="H529" s="2">
        <v>1</v>
      </c>
      <c r="I529" s="2">
        <v>0</v>
      </c>
      <c r="J529" s="2">
        <v>0</v>
      </c>
      <c r="K529" s="2">
        <v>0</v>
      </c>
      <c r="L529" s="2">
        <v>0</v>
      </c>
      <c r="M529" s="2">
        <v>0</v>
      </c>
      <c r="N529" s="2">
        <v>0</v>
      </c>
      <c r="O529" s="2">
        <v>0</v>
      </c>
      <c r="P529" s="2" t="s">
        <v>435</v>
      </c>
      <c r="Q529" s="2" t="str">
        <f t="shared" si="64"/>
        <v>SI_P_ES_COUNTER_UP</v>
      </c>
      <c r="R529" s="2" t="b">
        <v>0</v>
      </c>
      <c r="S529" s="2" t="b">
        <v>1</v>
      </c>
      <c r="T529" s="2">
        <v>0</v>
      </c>
      <c r="V529" s="2" t="s">
        <v>144</v>
      </c>
      <c r="W529" s="2">
        <v>1200</v>
      </c>
      <c r="X529" s="2" t="s">
        <v>158</v>
      </c>
      <c r="Y529" s="2">
        <v>100</v>
      </c>
      <c r="Z529" s="2" t="s">
        <v>169</v>
      </c>
      <c r="AA529" s="2">
        <v>0.85</v>
      </c>
    </row>
    <row r="530" spans="1:27">
      <c r="A530" s="44">
        <v>1400</v>
      </c>
      <c r="B530" s="7" t="str">
        <f>VLOOKUP($A530,SkillEnum!$A$2:$C$1020,2,FALSE)</f>
        <v>SI_P_ES_COUNTER_UP</v>
      </c>
      <c r="C530" s="7">
        <v>8</v>
      </c>
      <c r="D530" s="2" t="str">
        <f>VLOOKUP($C530,SkillEnum!$D$2:$E$10,2,FALSE)</f>
        <v>ST_PASSIVE</v>
      </c>
      <c r="E530" s="7" t="str">
        <f>VLOOKUP($A530,SkillEnum!$A$2:$C$1020,3,FALSE)</f>
        <v>반격 연마</v>
      </c>
      <c r="F530" s="7" t="str">
        <f>"반격시 마나소모를 "&amp;ROUND((1-AA530)*100,0)&amp;" % 줄이고, 상대를 "&amp;Y530&amp;" % 확률로 공중으로 띄워 추가 공격이 가능한 상태로 만든다."</f>
        <v>반격시 마나소모를 20 % 줄이고, 상대를 100 % 확률로 공중으로 띄워 추가 공격이 가능한 상태로 만든다.</v>
      </c>
      <c r="G530" s="2">
        <v>9</v>
      </c>
      <c r="H530" s="2">
        <v>1</v>
      </c>
      <c r="I530" s="2">
        <v>0</v>
      </c>
      <c r="J530" s="2">
        <v>0</v>
      </c>
      <c r="K530" s="2">
        <v>0</v>
      </c>
      <c r="L530" s="2">
        <v>0</v>
      </c>
      <c r="M530" s="2">
        <v>0</v>
      </c>
      <c r="N530" s="2">
        <v>0</v>
      </c>
      <c r="O530" s="2">
        <v>0</v>
      </c>
      <c r="P530" s="2" t="s">
        <v>435</v>
      </c>
      <c r="Q530" s="2" t="str">
        <f t="shared" si="64"/>
        <v>SI_P_ES_COUNTER_UP</v>
      </c>
      <c r="R530" s="2" t="b">
        <v>0</v>
      </c>
      <c r="S530" s="2" t="b">
        <v>1</v>
      </c>
      <c r="T530" s="2">
        <v>0</v>
      </c>
      <c r="V530" s="2" t="s">
        <v>144</v>
      </c>
      <c r="W530" s="2">
        <v>1200</v>
      </c>
      <c r="X530" s="2" t="s">
        <v>158</v>
      </c>
      <c r="Y530" s="2">
        <v>100</v>
      </c>
      <c r="Z530" s="2" t="s">
        <v>169</v>
      </c>
      <c r="AA530" s="2">
        <v>0.8</v>
      </c>
    </row>
    <row r="531" spans="1:27" s="5" customFormat="1">
      <c r="A531" s="45">
        <v>1400</v>
      </c>
      <c r="B531" s="8" t="str">
        <f>VLOOKUP($A531,SkillEnum!$A$2:$C$1020,2,FALSE)</f>
        <v>SI_P_ES_COUNTER_UP</v>
      </c>
      <c r="C531" s="8">
        <v>8</v>
      </c>
      <c r="D531" s="5" t="str">
        <f>VLOOKUP($C531,SkillEnum!$D$2:$E$10,2,FALSE)</f>
        <v>ST_PASSIVE</v>
      </c>
      <c r="E531" s="8" t="str">
        <f>VLOOKUP($A531,SkillEnum!$A$2:$C$1020,3,FALSE)</f>
        <v>반격 연마</v>
      </c>
      <c r="F531" s="8" t="str">
        <f>"반격시 마나소모를 "&amp;ROUND((1-AA531)*100,0)&amp;" % 줄이고, 상대를 "&amp;Y531&amp;" % 확률로 공중으로 띄워 추가 공격이 가능한 상태로 만든다."</f>
        <v>반격시 마나소모를 25 % 줄이고, 상대를 100 % 확률로 공중으로 띄워 추가 공격이 가능한 상태로 만든다.</v>
      </c>
      <c r="G531" s="5">
        <v>10</v>
      </c>
      <c r="H531" s="5">
        <v>1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 s="5">
        <v>0</v>
      </c>
      <c r="O531" s="5">
        <v>0</v>
      </c>
      <c r="P531" s="2" t="s">
        <v>435</v>
      </c>
      <c r="Q531" s="2" t="str">
        <f t="shared" si="64"/>
        <v>SI_P_ES_COUNTER_UP</v>
      </c>
      <c r="R531" s="5" t="b">
        <v>0</v>
      </c>
      <c r="S531" s="2" t="b">
        <v>1</v>
      </c>
      <c r="T531" s="2">
        <v>0</v>
      </c>
      <c r="U531" s="2"/>
      <c r="V531" s="5" t="s">
        <v>144</v>
      </c>
      <c r="W531" s="5">
        <v>1200</v>
      </c>
      <c r="X531" s="5" t="s">
        <v>158</v>
      </c>
      <c r="Y531" s="5">
        <v>100</v>
      </c>
      <c r="Z531" s="5" t="s">
        <v>169</v>
      </c>
      <c r="AA531" s="5">
        <v>0.75</v>
      </c>
    </row>
    <row r="532" spans="1:27">
      <c r="A532" s="4">
        <v>1401</v>
      </c>
      <c r="B532" s="7" t="str">
        <f>VLOOKUP($A532,SkillEnum!$A$2:$C$1020,2,FALSE)</f>
        <v>SI_P_ES_POWERFUL_FIREBALL</v>
      </c>
      <c r="C532" s="7">
        <v>8</v>
      </c>
      <c r="D532" s="2" t="str">
        <f>VLOOKUP($C532,SkillEnum!$D$2:$E$10,2,FALSE)</f>
        <v>ST_PASSIVE</v>
      </c>
      <c r="E532" s="11" t="str">
        <f>VLOOKUP($A532,SkillEnum!$A$2:$C$1020,3,FALSE)</f>
        <v>강화된 파이어볼</v>
      </c>
      <c r="F532" s="11" t="str">
        <f t="shared" ref="F532:F541" si="74">"파이어볼의 공격력이 "&amp;ROUND((W532-1)*100,0)&amp;" % 증가한다."</f>
        <v>파이어볼의 공격력이 5 % 증가한다.</v>
      </c>
      <c r="G532" s="10">
        <v>1</v>
      </c>
      <c r="H532" s="2">
        <v>1</v>
      </c>
      <c r="I532" s="2">
        <v>0</v>
      </c>
      <c r="J532" s="2">
        <v>0</v>
      </c>
      <c r="K532" s="2">
        <v>0</v>
      </c>
      <c r="L532" s="2">
        <v>0</v>
      </c>
      <c r="M532" s="2">
        <v>0</v>
      </c>
      <c r="N532" s="2">
        <v>0</v>
      </c>
      <c r="O532" s="2">
        <v>0</v>
      </c>
      <c r="P532" s="2" t="s">
        <v>436</v>
      </c>
      <c r="Q532" s="2" t="str">
        <f t="shared" si="64"/>
        <v>SI_P_ES_POWERFUL_FIREBALL</v>
      </c>
      <c r="R532" s="2" t="b">
        <v>0</v>
      </c>
      <c r="S532" s="2" t="b">
        <v>1</v>
      </c>
      <c r="T532" s="2">
        <v>0</v>
      </c>
      <c r="V532" s="10" t="s">
        <v>244</v>
      </c>
      <c r="W532" s="10">
        <v>1.05</v>
      </c>
      <c r="Z532" s="10"/>
      <c r="AA532" s="10"/>
    </row>
    <row r="533" spans="1:27">
      <c r="A533" s="4">
        <v>1401</v>
      </c>
      <c r="B533" s="7" t="str">
        <f>VLOOKUP($A533,SkillEnum!$A$2:$C$1020,2,FALSE)</f>
        <v>SI_P_ES_POWERFUL_FIREBALL</v>
      </c>
      <c r="C533" s="7">
        <v>8</v>
      </c>
      <c r="D533" s="2" t="str">
        <f>VLOOKUP($C533,SkillEnum!$D$2:$E$10,2,FALSE)</f>
        <v>ST_PASSIVE</v>
      </c>
      <c r="E533" s="7" t="str">
        <f>VLOOKUP($A533,SkillEnum!$A$2:$C$1020,3,FALSE)</f>
        <v>강화된 파이어볼</v>
      </c>
      <c r="F533" s="7" t="str">
        <f t="shared" si="74"/>
        <v>파이어볼의 공격력이 10 % 증가한다.</v>
      </c>
      <c r="G533" s="2">
        <v>2</v>
      </c>
      <c r="H533" s="2">
        <v>1</v>
      </c>
      <c r="I533" s="2">
        <v>0</v>
      </c>
      <c r="J533" s="2">
        <v>0</v>
      </c>
      <c r="K533" s="2">
        <v>0</v>
      </c>
      <c r="L533" s="2">
        <v>0</v>
      </c>
      <c r="M533" s="2">
        <v>0</v>
      </c>
      <c r="N533" s="2">
        <v>0</v>
      </c>
      <c r="O533" s="2">
        <v>0</v>
      </c>
      <c r="P533" s="2" t="s">
        <v>436</v>
      </c>
      <c r="Q533" s="2" t="str">
        <f t="shared" si="64"/>
        <v>SI_P_ES_POWERFUL_FIREBALL</v>
      </c>
      <c r="R533" s="2" t="b">
        <v>0</v>
      </c>
      <c r="S533" s="2" t="b">
        <v>1</v>
      </c>
      <c r="T533" s="2">
        <v>0</v>
      </c>
      <c r="V533" s="2" t="s">
        <v>244</v>
      </c>
      <c r="W533" s="2">
        <v>1.1000000000000001</v>
      </c>
    </row>
    <row r="534" spans="1:27">
      <c r="A534" s="4">
        <v>1401</v>
      </c>
      <c r="B534" s="7" t="str">
        <f>VLOOKUP($A534,SkillEnum!$A$2:$C$1020,2,FALSE)</f>
        <v>SI_P_ES_POWERFUL_FIREBALL</v>
      </c>
      <c r="C534" s="7">
        <v>8</v>
      </c>
      <c r="D534" s="2" t="str">
        <f>VLOOKUP($C534,SkillEnum!$D$2:$E$10,2,FALSE)</f>
        <v>ST_PASSIVE</v>
      </c>
      <c r="E534" s="7" t="str">
        <f>VLOOKUP($A534,SkillEnum!$A$2:$C$1020,3,FALSE)</f>
        <v>강화된 파이어볼</v>
      </c>
      <c r="F534" s="7" t="str">
        <f t="shared" si="74"/>
        <v>파이어볼의 공격력이 15 % 증가한다.</v>
      </c>
      <c r="G534" s="2">
        <v>3</v>
      </c>
      <c r="H534" s="2">
        <v>1</v>
      </c>
      <c r="I534" s="2">
        <v>0</v>
      </c>
      <c r="J534" s="2">
        <v>0</v>
      </c>
      <c r="K534" s="2">
        <v>0</v>
      </c>
      <c r="L534" s="2">
        <v>0</v>
      </c>
      <c r="M534" s="2">
        <v>0</v>
      </c>
      <c r="N534" s="2">
        <v>0</v>
      </c>
      <c r="O534" s="2">
        <v>0</v>
      </c>
      <c r="P534" s="2" t="s">
        <v>436</v>
      </c>
      <c r="Q534" s="2" t="str">
        <f t="shared" si="64"/>
        <v>SI_P_ES_POWERFUL_FIREBALL</v>
      </c>
      <c r="R534" s="2" t="b">
        <v>0</v>
      </c>
      <c r="S534" s="2" t="b">
        <v>1</v>
      </c>
      <c r="T534" s="2">
        <v>0</v>
      </c>
      <c r="V534" s="2" t="s">
        <v>244</v>
      </c>
      <c r="W534" s="2">
        <v>1.1499999999999999</v>
      </c>
    </row>
    <row r="535" spans="1:27">
      <c r="A535" s="4">
        <v>1401</v>
      </c>
      <c r="B535" s="7" t="str">
        <f>VLOOKUP($A535,SkillEnum!$A$2:$C$1020,2,FALSE)</f>
        <v>SI_P_ES_POWERFUL_FIREBALL</v>
      </c>
      <c r="C535" s="7">
        <v>8</v>
      </c>
      <c r="D535" s="2" t="str">
        <f>VLOOKUP($C535,SkillEnum!$D$2:$E$10,2,FALSE)</f>
        <v>ST_PASSIVE</v>
      </c>
      <c r="E535" s="7" t="str">
        <f>VLOOKUP($A535,SkillEnum!$A$2:$C$1020,3,FALSE)</f>
        <v>강화된 파이어볼</v>
      </c>
      <c r="F535" s="7" t="str">
        <f t="shared" si="74"/>
        <v>파이어볼의 공격력이 20 % 증가한다.</v>
      </c>
      <c r="G535" s="2">
        <v>4</v>
      </c>
      <c r="H535" s="2">
        <v>1</v>
      </c>
      <c r="I535" s="2">
        <v>0</v>
      </c>
      <c r="J535" s="2">
        <v>0</v>
      </c>
      <c r="K535" s="2">
        <v>0</v>
      </c>
      <c r="L535" s="2">
        <v>0</v>
      </c>
      <c r="M535" s="2">
        <v>0</v>
      </c>
      <c r="N535" s="2">
        <v>0</v>
      </c>
      <c r="O535" s="2">
        <v>0</v>
      </c>
      <c r="P535" s="2" t="s">
        <v>436</v>
      </c>
      <c r="Q535" s="2" t="str">
        <f t="shared" si="64"/>
        <v>SI_P_ES_POWERFUL_FIREBALL</v>
      </c>
      <c r="R535" s="2" t="b">
        <v>0</v>
      </c>
      <c r="S535" s="2" t="b">
        <v>1</v>
      </c>
      <c r="T535" s="2">
        <v>0</v>
      </c>
      <c r="V535" s="2" t="s">
        <v>244</v>
      </c>
      <c r="W535" s="2">
        <v>1.2</v>
      </c>
    </row>
    <row r="536" spans="1:27">
      <c r="A536" s="4">
        <v>1401</v>
      </c>
      <c r="B536" s="7" t="str">
        <f>VLOOKUP($A536,SkillEnum!$A$2:$C$1020,2,FALSE)</f>
        <v>SI_P_ES_POWERFUL_FIREBALL</v>
      </c>
      <c r="C536" s="7">
        <v>8</v>
      </c>
      <c r="D536" s="2" t="str">
        <f>VLOOKUP($C536,SkillEnum!$D$2:$E$10,2,FALSE)</f>
        <v>ST_PASSIVE</v>
      </c>
      <c r="E536" s="7" t="str">
        <f>VLOOKUP($A536,SkillEnum!$A$2:$C$1020,3,FALSE)</f>
        <v>강화된 파이어볼</v>
      </c>
      <c r="F536" s="7" t="str">
        <f t="shared" si="74"/>
        <v>파이어볼의 공격력이 25 % 증가한다.</v>
      </c>
      <c r="G536" s="2">
        <v>5</v>
      </c>
      <c r="H536" s="2">
        <v>1</v>
      </c>
      <c r="I536" s="2">
        <v>0</v>
      </c>
      <c r="J536" s="2">
        <v>0</v>
      </c>
      <c r="K536" s="2">
        <v>0</v>
      </c>
      <c r="L536" s="2">
        <v>0</v>
      </c>
      <c r="M536" s="2">
        <v>0</v>
      </c>
      <c r="N536" s="2">
        <v>0</v>
      </c>
      <c r="O536" s="2">
        <v>0</v>
      </c>
      <c r="P536" s="2" t="s">
        <v>436</v>
      </c>
      <c r="Q536" s="2" t="str">
        <f t="shared" si="64"/>
        <v>SI_P_ES_POWERFUL_FIREBALL</v>
      </c>
      <c r="R536" s="2" t="b">
        <v>0</v>
      </c>
      <c r="S536" s="2" t="b">
        <v>1</v>
      </c>
      <c r="T536" s="2">
        <v>0</v>
      </c>
      <c r="V536" s="2" t="s">
        <v>244</v>
      </c>
      <c r="W536" s="2">
        <v>1.25</v>
      </c>
    </row>
    <row r="537" spans="1:27">
      <c r="A537" s="4">
        <v>1401</v>
      </c>
      <c r="B537" s="7" t="str">
        <f>VLOOKUP($A537,SkillEnum!$A$2:$C$1020,2,FALSE)</f>
        <v>SI_P_ES_POWERFUL_FIREBALL</v>
      </c>
      <c r="C537" s="7">
        <v>8</v>
      </c>
      <c r="D537" s="2" t="str">
        <f>VLOOKUP($C537,SkillEnum!$D$2:$E$10,2,FALSE)</f>
        <v>ST_PASSIVE</v>
      </c>
      <c r="E537" s="7" t="str">
        <f>VLOOKUP($A537,SkillEnum!$A$2:$C$1020,3,FALSE)</f>
        <v>강화된 파이어볼</v>
      </c>
      <c r="F537" s="7" t="str">
        <f t="shared" si="74"/>
        <v>파이어볼의 공격력이 30 % 증가한다.</v>
      </c>
      <c r="G537" s="2">
        <v>6</v>
      </c>
      <c r="H537" s="2">
        <v>1</v>
      </c>
      <c r="I537" s="2">
        <v>0</v>
      </c>
      <c r="J537" s="2">
        <v>0</v>
      </c>
      <c r="K537" s="2">
        <v>0</v>
      </c>
      <c r="L537" s="2">
        <v>0</v>
      </c>
      <c r="M537" s="2">
        <v>0</v>
      </c>
      <c r="N537" s="2">
        <v>0</v>
      </c>
      <c r="O537" s="2">
        <v>0</v>
      </c>
      <c r="P537" s="2" t="s">
        <v>436</v>
      </c>
      <c r="Q537" s="2" t="str">
        <f t="shared" si="64"/>
        <v>SI_P_ES_POWERFUL_FIREBALL</v>
      </c>
      <c r="R537" s="2" t="b">
        <v>0</v>
      </c>
      <c r="S537" s="2" t="b">
        <v>1</v>
      </c>
      <c r="T537" s="2">
        <v>0</v>
      </c>
      <c r="V537" s="2" t="s">
        <v>244</v>
      </c>
      <c r="W537" s="2">
        <v>1.3</v>
      </c>
    </row>
    <row r="538" spans="1:27">
      <c r="A538" s="4">
        <v>1401</v>
      </c>
      <c r="B538" s="7" t="str">
        <f>VLOOKUP($A538,SkillEnum!$A$2:$C$1020,2,FALSE)</f>
        <v>SI_P_ES_POWERFUL_FIREBALL</v>
      </c>
      <c r="C538" s="7">
        <v>8</v>
      </c>
      <c r="D538" s="2" t="str">
        <f>VLOOKUP($C538,SkillEnum!$D$2:$E$10,2,FALSE)</f>
        <v>ST_PASSIVE</v>
      </c>
      <c r="E538" s="7" t="str">
        <f>VLOOKUP($A538,SkillEnum!$A$2:$C$1020,3,FALSE)</f>
        <v>강화된 파이어볼</v>
      </c>
      <c r="F538" s="7" t="str">
        <f t="shared" si="74"/>
        <v>파이어볼의 공격력이 35 % 증가한다.</v>
      </c>
      <c r="G538" s="2">
        <v>7</v>
      </c>
      <c r="H538" s="2">
        <v>1</v>
      </c>
      <c r="I538" s="2">
        <v>0</v>
      </c>
      <c r="J538" s="2">
        <v>0</v>
      </c>
      <c r="K538" s="2">
        <v>0</v>
      </c>
      <c r="L538" s="2">
        <v>0</v>
      </c>
      <c r="M538" s="2">
        <v>0</v>
      </c>
      <c r="N538" s="2">
        <v>0</v>
      </c>
      <c r="O538" s="2">
        <v>0</v>
      </c>
      <c r="P538" s="2" t="s">
        <v>436</v>
      </c>
      <c r="Q538" s="2" t="str">
        <f t="shared" si="64"/>
        <v>SI_P_ES_POWERFUL_FIREBALL</v>
      </c>
      <c r="R538" s="2" t="b">
        <v>0</v>
      </c>
      <c r="S538" s="2" t="b">
        <v>1</v>
      </c>
      <c r="T538" s="2">
        <v>0</v>
      </c>
      <c r="V538" s="2" t="s">
        <v>244</v>
      </c>
      <c r="W538" s="2">
        <v>1.35</v>
      </c>
    </row>
    <row r="539" spans="1:27">
      <c r="A539" s="4">
        <v>1401</v>
      </c>
      <c r="B539" s="7" t="str">
        <f>VLOOKUP($A539,SkillEnum!$A$2:$C$1020,2,FALSE)</f>
        <v>SI_P_ES_POWERFUL_FIREBALL</v>
      </c>
      <c r="C539" s="7">
        <v>8</v>
      </c>
      <c r="D539" s="2" t="str">
        <f>VLOOKUP($C539,SkillEnum!$D$2:$E$10,2,FALSE)</f>
        <v>ST_PASSIVE</v>
      </c>
      <c r="E539" s="7" t="str">
        <f>VLOOKUP($A539,SkillEnum!$A$2:$C$1020,3,FALSE)</f>
        <v>강화된 파이어볼</v>
      </c>
      <c r="F539" s="7" t="str">
        <f t="shared" si="74"/>
        <v>파이어볼의 공격력이 40 % 증가한다.</v>
      </c>
      <c r="G539" s="2">
        <v>8</v>
      </c>
      <c r="H539" s="2">
        <v>1</v>
      </c>
      <c r="I539" s="2">
        <v>0</v>
      </c>
      <c r="J539" s="2">
        <v>0</v>
      </c>
      <c r="K539" s="2">
        <v>0</v>
      </c>
      <c r="L539" s="2">
        <v>0</v>
      </c>
      <c r="M539" s="2">
        <v>0</v>
      </c>
      <c r="N539" s="2">
        <v>0</v>
      </c>
      <c r="O539" s="2">
        <v>0</v>
      </c>
      <c r="P539" s="2" t="s">
        <v>436</v>
      </c>
      <c r="Q539" s="2" t="str">
        <f t="shared" si="64"/>
        <v>SI_P_ES_POWERFUL_FIREBALL</v>
      </c>
      <c r="R539" s="2" t="b">
        <v>0</v>
      </c>
      <c r="S539" s="2" t="b">
        <v>1</v>
      </c>
      <c r="T539" s="2">
        <v>0</v>
      </c>
      <c r="V539" s="2" t="s">
        <v>244</v>
      </c>
      <c r="W539" s="2">
        <v>1.4</v>
      </c>
    </row>
    <row r="540" spans="1:27">
      <c r="A540" s="4">
        <v>1401</v>
      </c>
      <c r="B540" s="7" t="str">
        <f>VLOOKUP($A540,SkillEnum!$A$2:$C$1020,2,FALSE)</f>
        <v>SI_P_ES_POWERFUL_FIREBALL</v>
      </c>
      <c r="C540" s="7">
        <v>8</v>
      </c>
      <c r="D540" s="2" t="str">
        <f>VLOOKUP($C540,SkillEnum!$D$2:$E$10,2,FALSE)</f>
        <v>ST_PASSIVE</v>
      </c>
      <c r="E540" s="7" t="str">
        <f>VLOOKUP($A540,SkillEnum!$A$2:$C$1020,3,FALSE)</f>
        <v>강화된 파이어볼</v>
      </c>
      <c r="F540" s="7" t="str">
        <f t="shared" si="74"/>
        <v>파이어볼의 공격력이 45 % 증가한다.</v>
      </c>
      <c r="G540" s="2">
        <v>9</v>
      </c>
      <c r="H540" s="2">
        <v>1</v>
      </c>
      <c r="I540" s="2">
        <v>0</v>
      </c>
      <c r="J540" s="2">
        <v>0</v>
      </c>
      <c r="K540" s="2">
        <v>0</v>
      </c>
      <c r="L540" s="2">
        <v>0</v>
      </c>
      <c r="M540" s="2">
        <v>0</v>
      </c>
      <c r="N540" s="2">
        <v>0</v>
      </c>
      <c r="O540" s="2">
        <v>0</v>
      </c>
      <c r="P540" s="2" t="s">
        <v>436</v>
      </c>
      <c r="Q540" s="2" t="str">
        <f t="shared" si="64"/>
        <v>SI_P_ES_POWERFUL_FIREBALL</v>
      </c>
      <c r="R540" s="2" t="b">
        <v>0</v>
      </c>
      <c r="S540" s="2" t="b">
        <v>1</v>
      </c>
      <c r="T540" s="2">
        <v>0</v>
      </c>
      <c r="V540" s="2" t="s">
        <v>244</v>
      </c>
      <c r="W540" s="2">
        <v>1.45</v>
      </c>
    </row>
    <row r="541" spans="1:27" s="5" customFormat="1">
      <c r="A541" s="4">
        <v>1401</v>
      </c>
      <c r="B541" s="8" t="str">
        <f>VLOOKUP($A541,SkillEnum!$A$2:$C$1020,2,FALSE)</f>
        <v>SI_P_ES_POWERFUL_FIREBALL</v>
      </c>
      <c r="C541" s="8">
        <v>8</v>
      </c>
      <c r="D541" s="5" t="str">
        <f>VLOOKUP($C541,SkillEnum!$D$2:$E$10,2,FALSE)</f>
        <v>ST_PASSIVE</v>
      </c>
      <c r="E541" s="8" t="str">
        <f>VLOOKUP($A541,SkillEnum!$A$2:$C$1020,3,FALSE)</f>
        <v>강화된 파이어볼</v>
      </c>
      <c r="F541" s="8" t="str">
        <f t="shared" si="74"/>
        <v>파이어볼의 공격력이 50 % 증가한다.</v>
      </c>
      <c r="G541" s="5">
        <v>10</v>
      </c>
      <c r="H541" s="5">
        <v>1</v>
      </c>
      <c r="I541" s="5">
        <v>0</v>
      </c>
      <c r="J541" s="5">
        <v>0</v>
      </c>
      <c r="K541" s="5">
        <v>0</v>
      </c>
      <c r="L541" s="5">
        <v>0</v>
      </c>
      <c r="M541" s="5">
        <v>0</v>
      </c>
      <c r="N541" s="5">
        <v>0</v>
      </c>
      <c r="O541" s="5">
        <v>0</v>
      </c>
      <c r="P541" s="2" t="s">
        <v>436</v>
      </c>
      <c r="Q541" s="2" t="str">
        <f t="shared" si="64"/>
        <v>SI_P_ES_POWERFUL_FIREBALL</v>
      </c>
      <c r="R541" s="5" t="b">
        <v>0</v>
      </c>
      <c r="S541" s="2" t="b">
        <v>1</v>
      </c>
      <c r="T541" s="2">
        <v>0</v>
      </c>
      <c r="U541" s="2"/>
      <c r="V541" s="5" t="s">
        <v>244</v>
      </c>
      <c r="W541" s="5">
        <v>1.5</v>
      </c>
    </row>
    <row r="542" spans="1:27" s="10" customFormat="1">
      <c r="A542" s="9">
        <v>1500</v>
      </c>
      <c r="B542" s="11" t="str">
        <f>VLOOKUP($A542,SkillEnum!$A$2:$C$1020,2,FALSE)</f>
        <v>SI_SA_AV_CHAIN_FIRE_BALL</v>
      </c>
      <c r="C542" s="11">
        <v>7</v>
      </c>
      <c r="D542" s="10" t="str">
        <f>VLOOKUP($C542,SkillEnum!$D$2:$E$10,2,FALSE)</f>
        <v>ST_SPECIAL_ACTIVE</v>
      </c>
      <c r="E542" s="11" t="str">
        <f>VLOOKUP($A542,SkillEnum!$A$2:$C$1020,3,FALSE)</f>
        <v>체인 파이어볼</v>
      </c>
      <c r="F542" s="11" t="str">
        <f>"파이어볼 3개를 연속으로 발사하여 마법공격력의 "&amp;ROUND(1.9*H542*100,0)&amp;" % , "&amp;ROUND(1.9*H542*100,0)&amp;" % , "&amp;ROUND(2.5*H542*100,0)&amp;" % 데미지를 주고, 추가로 10초간 1500의 지속적인 화염데미지를 준다."</f>
        <v>파이어볼 3개를 연속으로 발사하여 마법공격력의 133 % , 133 % , 175 % 데미지를 주고, 추가로 10초간 1500의 지속적인 화염데미지를 준다.</v>
      </c>
      <c r="G542" s="10">
        <v>1</v>
      </c>
      <c r="H542" s="2">
        <v>0.7</v>
      </c>
      <c r="I542" s="2">
        <v>3</v>
      </c>
      <c r="J542" s="2">
        <v>100</v>
      </c>
      <c r="K542" s="2">
        <v>0</v>
      </c>
      <c r="L542" s="2">
        <v>0</v>
      </c>
      <c r="M542" s="2">
        <v>0</v>
      </c>
      <c r="N542" s="2">
        <v>0</v>
      </c>
      <c r="O542" s="2">
        <v>0</v>
      </c>
      <c r="P542" s="2" t="s">
        <v>442</v>
      </c>
      <c r="Q542" s="2" t="str">
        <f t="shared" si="64"/>
        <v>SI_SA_AV_CHAIN_FIRE_BALL</v>
      </c>
      <c r="R542" s="2" t="b">
        <v>0</v>
      </c>
      <c r="S542" s="2" t="b">
        <v>1</v>
      </c>
      <c r="T542" s="2">
        <v>1</v>
      </c>
      <c r="U542" s="2"/>
    </row>
    <row r="543" spans="1:27">
      <c r="A543" s="4">
        <v>1500</v>
      </c>
      <c r="B543" s="7" t="str">
        <f>VLOOKUP($A543,SkillEnum!$A$2:$C$1020,2,FALSE)</f>
        <v>SI_SA_AV_CHAIN_FIRE_BALL</v>
      </c>
      <c r="C543" s="7">
        <v>7</v>
      </c>
      <c r="D543" s="2" t="str">
        <f>VLOOKUP($C543,SkillEnum!$D$2:$E$10,2,FALSE)</f>
        <v>ST_SPECIAL_ACTIVE</v>
      </c>
      <c r="E543" s="7" t="str">
        <f>VLOOKUP($A543,SkillEnum!$A$2:$C$1020,3,FALSE)</f>
        <v>체인 파이어볼</v>
      </c>
      <c r="F543" s="7" t="str">
        <f t="shared" ref="F543:F551" si="75">"파이어볼 3개를 연속으로 발사하여 마법공격력의 "&amp;ROUND(1.9*H543*100,0)&amp;" % , "&amp;ROUND(1.9*H543*100,0)&amp;" % , "&amp;ROUND(2.5*H543*100,0)&amp;" % 데미지를 주고, 추가로 10초간 1500의 지속적인 화염데미지를 준다."</f>
        <v>파이어볼 3개를 연속으로 발사하여 마법공격력의 160 % , 160 % , 210 % 데미지를 주고, 추가로 10초간 1500의 지속적인 화염데미지를 준다.</v>
      </c>
      <c r="G543" s="2">
        <v>2</v>
      </c>
      <c r="H543" s="2">
        <v>0.84</v>
      </c>
      <c r="I543" s="2">
        <v>3</v>
      </c>
      <c r="J543" s="2">
        <v>100</v>
      </c>
      <c r="K543" s="2">
        <v>0</v>
      </c>
      <c r="L543" s="2">
        <v>0</v>
      </c>
      <c r="M543" s="2">
        <v>0</v>
      </c>
      <c r="N543" s="2">
        <v>0</v>
      </c>
      <c r="O543" s="2">
        <v>0</v>
      </c>
      <c r="P543" s="2" t="s">
        <v>437</v>
      </c>
      <c r="Q543" s="2" t="str">
        <f t="shared" si="64"/>
        <v>SI_SA_AV_CHAIN_FIRE_BALL</v>
      </c>
      <c r="R543" s="2" t="b">
        <v>0</v>
      </c>
      <c r="S543" s="2" t="b">
        <v>1</v>
      </c>
      <c r="T543" s="2">
        <v>1</v>
      </c>
    </row>
    <row r="544" spans="1:27">
      <c r="A544" s="4">
        <v>1500</v>
      </c>
      <c r="B544" s="7" t="str">
        <f>VLOOKUP($A544,SkillEnum!$A$2:$C$1020,2,FALSE)</f>
        <v>SI_SA_AV_CHAIN_FIRE_BALL</v>
      </c>
      <c r="C544" s="7">
        <v>7</v>
      </c>
      <c r="D544" s="2" t="str">
        <f>VLOOKUP($C544,SkillEnum!$D$2:$E$10,2,FALSE)</f>
        <v>ST_SPECIAL_ACTIVE</v>
      </c>
      <c r="E544" s="7" t="str">
        <f>VLOOKUP($A544,SkillEnum!$A$2:$C$1020,3,FALSE)</f>
        <v>체인 파이어볼</v>
      </c>
      <c r="F544" s="7" t="str">
        <f t="shared" si="75"/>
        <v>파이어볼 3개를 연속으로 발사하여 마법공격력의 186 % , 186 % , 245 % 데미지를 주고, 추가로 10초간 1500의 지속적인 화염데미지를 준다.</v>
      </c>
      <c r="G544" s="2">
        <v>3</v>
      </c>
      <c r="H544" s="2">
        <v>0.98</v>
      </c>
      <c r="I544" s="2">
        <v>3</v>
      </c>
      <c r="J544" s="2">
        <v>100</v>
      </c>
      <c r="K544" s="2">
        <v>0</v>
      </c>
      <c r="L544" s="2">
        <v>0</v>
      </c>
      <c r="M544" s="2">
        <v>0</v>
      </c>
      <c r="N544" s="2">
        <v>0</v>
      </c>
      <c r="O544" s="2">
        <v>0</v>
      </c>
      <c r="P544" s="2" t="s">
        <v>437</v>
      </c>
      <c r="Q544" s="2" t="str">
        <f t="shared" si="64"/>
        <v>SI_SA_AV_CHAIN_FIRE_BALL</v>
      </c>
      <c r="R544" s="2" t="b">
        <v>0</v>
      </c>
      <c r="S544" s="2" t="b">
        <v>1</v>
      </c>
      <c r="T544" s="2">
        <v>1</v>
      </c>
    </row>
    <row r="545" spans="1:23">
      <c r="A545" s="4">
        <v>1500</v>
      </c>
      <c r="B545" s="7" t="str">
        <f>VLOOKUP($A545,SkillEnum!$A$2:$C$1020,2,FALSE)</f>
        <v>SI_SA_AV_CHAIN_FIRE_BALL</v>
      </c>
      <c r="C545" s="7">
        <v>7</v>
      </c>
      <c r="D545" s="2" t="str">
        <f>VLOOKUP($C545,SkillEnum!$D$2:$E$10,2,FALSE)</f>
        <v>ST_SPECIAL_ACTIVE</v>
      </c>
      <c r="E545" s="7" t="str">
        <f>VLOOKUP($A545,SkillEnum!$A$2:$C$1020,3,FALSE)</f>
        <v>체인 파이어볼</v>
      </c>
      <c r="F545" s="7" t="str">
        <f t="shared" si="75"/>
        <v>파이어볼 3개를 연속으로 발사하여 마법공격력의 213 % , 213 % , 280 % 데미지를 주고, 추가로 10초간 1500의 지속적인 화염데미지를 준다.</v>
      </c>
      <c r="G545" s="2">
        <v>4</v>
      </c>
      <c r="H545" s="2">
        <v>1.1200000000000001</v>
      </c>
      <c r="I545" s="2">
        <v>3</v>
      </c>
      <c r="J545" s="2">
        <v>100</v>
      </c>
      <c r="K545" s="2">
        <v>0</v>
      </c>
      <c r="L545" s="2">
        <v>0</v>
      </c>
      <c r="M545" s="2">
        <v>0</v>
      </c>
      <c r="N545" s="2">
        <v>0</v>
      </c>
      <c r="O545" s="2">
        <v>0</v>
      </c>
      <c r="P545" s="2" t="s">
        <v>437</v>
      </c>
      <c r="Q545" s="2" t="str">
        <f t="shared" si="64"/>
        <v>SI_SA_AV_CHAIN_FIRE_BALL</v>
      </c>
      <c r="R545" s="2" t="b">
        <v>0</v>
      </c>
      <c r="S545" s="2" t="b">
        <v>1</v>
      </c>
      <c r="T545" s="2">
        <v>1</v>
      </c>
    </row>
    <row r="546" spans="1:23">
      <c r="A546" s="4">
        <v>1500</v>
      </c>
      <c r="B546" s="7" t="str">
        <f>VLOOKUP($A546,SkillEnum!$A$2:$C$1020,2,FALSE)</f>
        <v>SI_SA_AV_CHAIN_FIRE_BALL</v>
      </c>
      <c r="C546" s="7">
        <v>7</v>
      </c>
      <c r="D546" s="2" t="str">
        <f>VLOOKUP($C546,SkillEnum!$D$2:$E$10,2,FALSE)</f>
        <v>ST_SPECIAL_ACTIVE</v>
      </c>
      <c r="E546" s="7" t="str">
        <f>VLOOKUP($A546,SkillEnum!$A$2:$C$1020,3,FALSE)</f>
        <v>체인 파이어볼</v>
      </c>
      <c r="F546" s="7" t="str">
        <f t="shared" si="75"/>
        <v>파이어볼 3개를 연속으로 발사하여 마법공격력의 253 % , 253 % , 333 % 데미지를 주고, 추가로 10초간 1500의 지속적인 화염데미지를 준다.</v>
      </c>
      <c r="G546" s="2">
        <v>5</v>
      </c>
      <c r="H546" s="2">
        <v>1.33</v>
      </c>
      <c r="I546" s="2">
        <v>3</v>
      </c>
      <c r="J546" s="2">
        <v>100</v>
      </c>
      <c r="K546" s="2">
        <v>0</v>
      </c>
      <c r="L546" s="2">
        <v>0</v>
      </c>
      <c r="M546" s="2">
        <v>0</v>
      </c>
      <c r="N546" s="2">
        <v>0</v>
      </c>
      <c r="O546" s="2">
        <v>0</v>
      </c>
      <c r="P546" s="2" t="s">
        <v>437</v>
      </c>
      <c r="Q546" s="2" t="str">
        <f t="shared" si="64"/>
        <v>SI_SA_AV_CHAIN_FIRE_BALL</v>
      </c>
      <c r="R546" s="2" t="b">
        <v>0</v>
      </c>
      <c r="S546" s="2" t="b">
        <v>1</v>
      </c>
      <c r="T546" s="2">
        <v>1</v>
      </c>
    </row>
    <row r="547" spans="1:23">
      <c r="A547" s="4">
        <v>1500</v>
      </c>
      <c r="B547" s="7" t="str">
        <f>VLOOKUP($A547,SkillEnum!$A$2:$C$1020,2,FALSE)</f>
        <v>SI_SA_AV_CHAIN_FIRE_BALL</v>
      </c>
      <c r="C547" s="7">
        <v>7</v>
      </c>
      <c r="D547" s="2" t="str">
        <f>VLOOKUP($C547,SkillEnum!$D$2:$E$10,2,FALSE)</f>
        <v>ST_SPECIAL_ACTIVE</v>
      </c>
      <c r="E547" s="7" t="str">
        <f>VLOOKUP($A547,SkillEnum!$A$2:$C$1020,3,FALSE)</f>
        <v>체인 파이어볼</v>
      </c>
      <c r="F547" s="7" t="str">
        <f t="shared" si="75"/>
        <v>파이어볼 3개를 연속으로 발사하여 마법공격력의 293 % , 293 % , 385 % 데미지를 주고, 추가로 10초간 1500의 지속적인 화염데미지를 준다.</v>
      </c>
      <c r="G547" s="2">
        <v>6</v>
      </c>
      <c r="H547" s="2">
        <v>1.54</v>
      </c>
      <c r="I547" s="2">
        <v>3</v>
      </c>
      <c r="J547" s="2">
        <v>100</v>
      </c>
      <c r="K547" s="2">
        <v>0</v>
      </c>
      <c r="L547" s="2">
        <v>0</v>
      </c>
      <c r="M547" s="2">
        <v>0</v>
      </c>
      <c r="N547" s="2">
        <v>0</v>
      </c>
      <c r="O547" s="2">
        <v>0</v>
      </c>
      <c r="P547" s="2" t="s">
        <v>437</v>
      </c>
      <c r="Q547" s="2" t="str">
        <f t="shared" si="64"/>
        <v>SI_SA_AV_CHAIN_FIRE_BALL</v>
      </c>
      <c r="R547" s="2" t="b">
        <v>0</v>
      </c>
      <c r="S547" s="2" t="b">
        <v>1</v>
      </c>
      <c r="T547" s="2">
        <v>1</v>
      </c>
    </row>
    <row r="548" spans="1:23">
      <c r="A548" s="4">
        <v>1500</v>
      </c>
      <c r="B548" s="7" t="str">
        <f>VLOOKUP($A548,SkillEnum!$A$2:$C$1020,2,FALSE)</f>
        <v>SI_SA_AV_CHAIN_FIRE_BALL</v>
      </c>
      <c r="C548" s="7">
        <v>7</v>
      </c>
      <c r="D548" s="2" t="str">
        <f>VLOOKUP($C548,SkillEnum!$D$2:$E$10,2,FALSE)</f>
        <v>ST_SPECIAL_ACTIVE</v>
      </c>
      <c r="E548" s="7" t="str">
        <f>VLOOKUP($A548,SkillEnum!$A$2:$C$1020,3,FALSE)</f>
        <v>체인 파이어볼</v>
      </c>
      <c r="F548" s="7" t="str">
        <f t="shared" si="75"/>
        <v>파이어볼 3개를 연속으로 발사하여 마법공격력의 333 % , 333 % , 438 % 데미지를 주고, 추가로 10초간 1500의 지속적인 화염데미지를 준다.</v>
      </c>
      <c r="G548" s="2">
        <v>7</v>
      </c>
      <c r="H548" s="2">
        <v>1.75</v>
      </c>
      <c r="I548" s="2">
        <v>3</v>
      </c>
      <c r="J548" s="2">
        <v>100</v>
      </c>
      <c r="K548" s="2">
        <v>0</v>
      </c>
      <c r="L548" s="2">
        <v>0</v>
      </c>
      <c r="M548" s="2">
        <v>0</v>
      </c>
      <c r="N548" s="2">
        <v>0</v>
      </c>
      <c r="O548" s="2">
        <v>0</v>
      </c>
      <c r="P548" s="2" t="s">
        <v>437</v>
      </c>
      <c r="Q548" s="2" t="str">
        <f t="shared" si="64"/>
        <v>SI_SA_AV_CHAIN_FIRE_BALL</v>
      </c>
      <c r="R548" s="2" t="b">
        <v>0</v>
      </c>
      <c r="S548" s="2" t="b">
        <v>1</v>
      </c>
      <c r="T548" s="2">
        <v>1</v>
      </c>
    </row>
    <row r="549" spans="1:23">
      <c r="A549" s="4">
        <v>1500</v>
      </c>
      <c r="B549" s="7" t="str">
        <f>VLOOKUP($A549,SkillEnum!$A$2:$C$1020,2,FALSE)</f>
        <v>SI_SA_AV_CHAIN_FIRE_BALL</v>
      </c>
      <c r="C549" s="7">
        <v>7</v>
      </c>
      <c r="D549" s="2" t="str">
        <f>VLOOKUP($C549,SkillEnum!$D$2:$E$10,2,FALSE)</f>
        <v>ST_SPECIAL_ACTIVE</v>
      </c>
      <c r="E549" s="7" t="str">
        <f>VLOOKUP($A549,SkillEnum!$A$2:$C$1020,3,FALSE)</f>
        <v>체인 파이어볼</v>
      </c>
      <c r="F549" s="7" t="str">
        <f t="shared" si="75"/>
        <v>파이어볼 3개를 연속으로 발사하여 마법공격력의 372 % , 372 % , 490 % 데미지를 주고, 추가로 10초간 1500의 지속적인 화염데미지를 준다.</v>
      </c>
      <c r="G549" s="2">
        <v>8</v>
      </c>
      <c r="H549" s="2">
        <v>1.96</v>
      </c>
      <c r="I549" s="2">
        <v>3</v>
      </c>
      <c r="J549" s="2">
        <v>100</v>
      </c>
      <c r="K549" s="2">
        <v>0</v>
      </c>
      <c r="L549" s="2">
        <v>0</v>
      </c>
      <c r="M549" s="2">
        <v>0</v>
      </c>
      <c r="N549" s="2">
        <v>0</v>
      </c>
      <c r="O549" s="2">
        <v>0</v>
      </c>
      <c r="P549" s="2" t="s">
        <v>437</v>
      </c>
      <c r="Q549" s="2" t="str">
        <f t="shared" si="64"/>
        <v>SI_SA_AV_CHAIN_FIRE_BALL</v>
      </c>
      <c r="R549" s="2" t="b">
        <v>0</v>
      </c>
      <c r="S549" s="2" t="b">
        <v>1</v>
      </c>
      <c r="T549" s="2">
        <v>1</v>
      </c>
    </row>
    <row r="550" spans="1:23">
      <c r="A550" s="4">
        <v>1500</v>
      </c>
      <c r="B550" s="7" t="str">
        <f>VLOOKUP($A550,SkillEnum!$A$2:$C$1020,2,FALSE)</f>
        <v>SI_SA_AV_CHAIN_FIRE_BALL</v>
      </c>
      <c r="C550" s="7">
        <v>7</v>
      </c>
      <c r="D550" s="2" t="str">
        <f>VLOOKUP($C550,SkillEnum!$D$2:$E$10,2,FALSE)</f>
        <v>ST_SPECIAL_ACTIVE</v>
      </c>
      <c r="E550" s="7" t="str">
        <f>VLOOKUP($A550,SkillEnum!$A$2:$C$1020,3,FALSE)</f>
        <v>체인 파이어볼</v>
      </c>
      <c r="F550" s="7" t="str">
        <f t="shared" si="75"/>
        <v>파이어볼 3개를 연속으로 발사하여 마법공격력의 426 % , 426 % , 560 % 데미지를 주고, 추가로 10초간 1500의 지속적인 화염데미지를 준다.</v>
      </c>
      <c r="G550" s="2">
        <v>9</v>
      </c>
      <c r="H550" s="2">
        <v>2.2400000000000002</v>
      </c>
      <c r="I550" s="2">
        <v>3</v>
      </c>
      <c r="J550" s="2">
        <v>100</v>
      </c>
      <c r="K550" s="2">
        <v>0</v>
      </c>
      <c r="L550" s="2">
        <v>0</v>
      </c>
      <c r="M550" s="2">
        <v>0</v>
      </c>
      <c r="N550" s="2">
        <v>0</v>
      </c>
      <c r="O550" s="2">
        <v>0</v>
      </c>
      <c r="P550" s="2" t="s">
        <v>437</v>
      </c>
      <c r="Q550" s="2" t="str">
        <f t="shared" si="64"/>
        <v>SI_SA_AV_CHAIN_FIRE_BALL</v>
      </c>
      <c r="R550" s="2" t="b">
        <v>0</v>
      </c>
      <c r="S550" s="2" t="b">
        <v>1</v>
      </c>
      <c r="T550" s="2">
        <v>1</v>
      </c>
    </row>
    <row r="551" spans="1:23" s="5" customFormat="1">
      <c r="A551" s="6">
        <v>1500</v>
      </c>
      <c r="B551" s="8" t="str">
        <f>VLOOKUP($A551,SkillEnum!$A$2:$C$1020,2,FALSE)</f>
        <v>SI_SA_AV_CHAIN_FIRE_BALL</v>
      </c>
      <c r="C551" s="8">
        <v>7</v>
      </c>
      <c r="D551" s="5" t="str">
        <f>VLOOKUP($C551,SkillEnum!$D$2:$E$10,2,FALSE)</f>
        <v>ST_SPECIAL_ACTIVE</v>
      </c>
      <c r="E551" s="8" t="str">
        <f>VLOOKUP($A551,SkillEnum!$A$2:$C$1020,3,FALSE)</f>
        <v>체인 파이어볼</v>
      </c>
      <c r="F551" s="8" t="str">
        <f t="shared" si="75"/>
        <v>파이어볼 3개를 연속으로 발사하여 마법공격력의 479 % , 479 % , 630 % 데미지를 주고, 추가로 10초간 1500의 지속적인 화염데미지를 준다.</v>
      </c>
      <c r="G551" s="5">
        <v>10</v>
      </c>
      <c r="H551" s="5">
        <v>2.52</v>
      </c>
      <c r="I551" s="5">
        <v>3</v>
      </c>
      <c r="J551" s="5">
        <v>100</v>
      </c>
      <c r="K551" s="5">
        <v>0</v>
      </c>
      <c r="L551" s="5">
        <v>0</v>
      </c>
      <c r="M551" s="5">
        <v>0</v>
      </c>
      <c r="N551" s="5">
        <v>0</v>
      </c>
      <c r="O551" s="5">
        <v>0</v>
      </c>
      <c r="P551" s="2" t="s">
        <v>437</v>
      </c>
      <c r="Q551" s="2" t="str">
        <f t="shared" si="64"/>
        <v>SI_SA_AV_CHAIN_FIRE_BALL</v>
      </c>
      <c r="R551" s="5" t="b">
        <v>0</v>
      </c>
      <c r="S551" s="2" t="b">
        <v>1</v>
      </c>
      <c r="T551" s="2">
        <v>1</v>
      </c>
      <c r="U551" s="2"/>
    </row>
    <row r="552" spans="1:23" s="10" customFormat="1">
      <c r="A552" s="9">
        <v>1501</v>
      </c>
      <c r="B552" s="11" t="str">
        <f>VLOOKUP($A552,SkillEnum!$A$2:$C$1020,2,FALSE)</f>
        <v>SI_SA_AV_BINDING_CIRCLE</v>
      </c>
      <c r="C552" s="11">
        <v>7</v>
      </c>
      <c r="D552" s="10" t="str">
        <f>VLOOKUP($C552,SkillEnum!$D$2:$E$10,2,FALSE)</f>
        <v>ST_SPECIAL_ACTIVE</v>
      </c>
      <c r="E552" s="11" t="str">
        <f>VLOOKUP($A552,SkillEnum!$A$2:$C$1020,3,FALSE)</f>
        <v>바인딩 서클</v>
      </c>
      <c r="F552" s="11" t="str">
        <f t="shared" ref="F552:F561" si="76">"반경 "&amp;ROUND(W552*0.01,2)&amp;" M 구간에 시간이 흐르지않는 공간을 만들어서 적의 움직임을 묶어버리는 공간마법 기술"</f>
        <v>반경 5 M 구간에 시간이 흐르지않는 공간을 만들어서 적의 움직임을 묶어버리는 공간마법 기술</v>
      </c>
      <c r="G552" s="10">
        <v>1</v>
      </c>
      <c r="H552" s="2">
        <v>1</v>
      </c>
      <c r="I552" s="2">
        <v>3</v>
      </c>
      <c r="J552" s="2">
        <v>120</v>
      </c>
      <c r="K552" s="2">
        <v>0</v>
      </c>
      <c r="L552" s="2">
        <v>0</v>
      </c>
      <c r="M552" s="2">
        <v>0</v>
      </c>
      <c r="N552" s="2">
        <v>0</v>
      </c>
      <c r="O552" s="2">
        <v>0</v>
      </c>
      <c r="P552" s="2" t="s">
        <v>437</v>
      </c>
      <c r="Q552" s="2" t="str">
        <f t="shared" si="64"/>
        <v>SI_SA_AV_BINDING_CIRCLE</v>
      </c>
      <c r="R552" s="2" t="b">
        <v>0</v>
      </c>
      <c r="S552" s="2" t="b">
        <v>1</v>
      </c>
      <c r="T552" s="2">
        <v>1</v>
      </c>
      <c r="U552" s="2"/>
      <c r="V552" s="1" t="s">
        <v>247</v>
      </c>
      <c r="W552" s="10">
        <v>500</v>
      </c>
    </row>
    <row r="553" spans="1:23">
      <c r="A553" s="4">
        <v>1501</v>
      </c>
      <c r="B553" s="7" t="str">
        <f>VLOOKUP($A553,SkillEnum!$A$2:$C$1020,2,FALSE)</f>
        <v>SI_SA_AV_BINDING_CIRCLE</v>
      </c>
      <c r="C553" s="7">
        <v>7</v>
      </c>
      <c r="D553" s="2" t="str">
        <f>VLOOKUP($C553,SkillEnum!$D$2:$E$10,2,FALSE)</f>
        <v>ST_SPECIAL_ACTIVE</v>
      </c>
      <c r="E553" s="7" t="str">
        <f>VLOOKUP($A553,SkillEnum!$A$2:$C$1020,3,FALSE)</f>
        <v>바인딩 서클</v>
      </c>
      <c r="F553" s="7" t="str">
        <f t="shared" si="76"/>
        <v>반경 5.5 M 구간에 시간이 흐르지않는 공간을 만들어서 적의 움직임을 묶어버리는 공간마법 기술</v>
      </c>
      <c r="G553" s="2">
        <v>2</v>
      </c>
      <c r="H553" s="2">
        <v>1</v>
      </c>
      <c r="I553" s="2">
        <v>3</v>
      </c>
      <c r="J553" s="2">
        <v>120</v>
      </c>
      <c r="K553" s="2">
        <v>0</v>
      </c>
      <c r="L553" s="2">
        <v>0</v>
      </c>
      <c r="M553" s="2">
        <v>0</v>
      </c>
      <c r="N553" s="2">
        <v>0</v>
      </c>
      <c r="O553" s="2">
        <v>0</v>
      </c>
      <c r="P553" s="2" t="s">
        <v>437</v>
      </c>
      <c r="Q553" s="2" t="str">
        <f t="shared" si="64"/>
        <v>SI_SA_AV_BINDING_CIRCLE</v>
      </c>
      <c r="R553" s="2" t="b">
        <v>0</v>
      </c>
      <c r="S553" s="2" t="b">
        <v>1</v>
      </c>
      <c r="T553" s="2">
        <v>1</v>
      </c>
      <c r="V553" s="1" t="s">
        <v>247</v>
      </c>
      <c r="W553" s="2">
        <v>550</v>
      </c>
    </row>
    <row r="554" spans="1:23">
      <c r="A554" s="4">
        <v>1501</v>
      </c>
      <c r="B554" s="7" t="str">
        <f>VLOOKUP($A554,SkillEnum!$A$2:$C$1020,2,FALSE)</f>
        <v>SI_SA_AV_BINDING_CIRCLE</v>
      </c>
      <c r="C554" s="7">
        <v>7</v>
      </c>
      <c r="D554" s="2" t="str">
        <f>VLOOKUP($C554,SkillEnum!$D$2:$E$10,2,FALSE)</f>
        <v>ST_SPECIAL_ACTIVE</v>
      </c>
      <c r="E554" s="7" t="str">
        <f>VLOOKUP($A554,SkillEnum!$A$2:$C$1020,3,FALSE)</f>
        <v>바인딩 서클</v>
      </c>
      <c r="F554" s="7" t="str">
        <f t="shared" si="76"/>
        <v>반경 6 M 구간에 시간이 흐르지않는 공간을 만들어서 적의 움직임을 묶어버리는 공간마법 기술</v>
      </c>
      <c r="G554" s="2">
        <v>3</v>
      </c>
      <c r="H554" s="2">
        <v>1</v>
      </c>
      <c r="I554" s="2">
        <v>3</v>
      </c>
      <c r="J554" s="2">
        <v>120</v>
      </c>
      <c r="K554" s="2">
        <v>0</v>
      </c>
      <c r="L554" s="2">
        <v>0</v>
      </c>
      <c r="M554" s="2">
        <v>0</v>
      </c>
      <c r="N554" s="2">
        <v>0</v>
      </c>
      <c r="O554" s="2">
        <v>0</v>
      </c>
      <c r="P554" s="2" t="s">
        <v>437</v>
      </c>
      <c r="Q554" s="2" t="str">
        <f t="shared" si="64"/>
        <v>SI_SA_AV_BINDING_CIRCLE</v>
      </c>
      <c r="R554" s="2" t="b">
        <v>0</v>
      </c>
      <c r="S554" s="2" t="b">
        <v>1</v>
      </c>
      <c r="T554" s="2">
        <v>1</v>
      </c>
      <c r="V554" s="1" t="s">
        <v>247</v>
      </c>
      <c r="W554" s="2">
        <v>600</v>
      </c>
    </row>
    <row r="555" spans="1:23">
      <c r="A555" s="4">
        <v>1501</v>
      </c>
      <c r="B555" s="7" t="str">
        <f>VLOOKUP($A555,SkillEnum!$A$2:$C$1020,2,FALSE)</f>
        <v>SI_SA_AV_BINDING_CIRCLE</v>
      </c>
      <c r="C555" s="7">
        <v>7</v>
      </c>
      <c r="D555" s="2" t="str">
        <f>VLOOKUP($C555,SkillEnum!$D$2:$E$10,2,FALSE)</f>
        <v>ST_SPECIAL_ACTIVE</v>
      </c>
      <c r="E555" s="7" t="str">
        <f>VLOOKUP($A555,SkillEnum!$A$2:$C$1020,3,FALSE)</f>
        <v>바인딩 서클</v>
      </c>
      <c r="F555" s="7" t="str">
        <f t="shared" si="76"/>
        <v>반경 6.5 M 구간에 시간이 흐르지않는 공간을 만들어서 적의 움직임을 묶어버리는 공간마법 기술</v>
      </c>
      <c r="G555" s="2">
        <v>4</v>
      </c>
      <c r="H555" s="2">
        <v>1</v>
      </c>
      <c r="I555" s="2">
        <v>3</v>
      </c>
      <c r="J555" s="2">
        <v>120</v>
      </c>
      <c r="K555" s="2">
        <v>0</v>
      </c>
      <c r="L555" s="2">
        <v>0</v>
      </c>
      <c r="M555" s="2">
        <v>0</v>
      </c>
      <c r="N555" s="2">
        <v>0</v>
      </c>
      <c r="O555" s="2">
        <v>0</v>
      </c>
      <c r="P555" s="2" t="s">
        <v>437</v>
      </c>
      <c r="Q555" s="2" t="str">
        <f t="shared" ref="Q555:Q618" si="77">B555</f>
        <v>SI_SA_AV_BINDING_CIRCLE</v>
      </c>
      <c r="R555" s="2" t="b">
        <v>0</v>
      </c>
      <c r="S555" s="2" t="b">
        <v>1</v>
      </c>
      <c r="T555" s="2">
        <v>1</v>
      </c>
      <c r="V555" s="1" t="s">
        <v>247</v>
      </c>
      <c r="W555" s="2">
        <v>650</v>
      </c>
    </row>
    <row r="556" spans="1:23">
      <c r="A556" s="4">
        <v>1501</v>
      </c>
      <c r="B556" s="7" t="str">
        <f>VLOOKUP($A556,SkillEnum!$A$2:$C$1020,2,FALSE)</f>
        <v>SI_SA_AV_BINDING_CIRCLE</v>
      </c>
      <c r="C556" s="7">
        <v>7</v>
      </c>
      <c r="D556" s="2" t="str">
        <f>VLOOKUP($C556,SkillEnum!$D$2:$E$10,2,FALSE)</f>
        <v>ST_SPECIAL_ACTIVE</v>
      </c>
      <c r="E556" s="7" t="str">
        <f>VLOOKUP($A556,SkillEnum!$A$2:$C$1020,3,FALSE)</f>
        <v>바인딩 서클</v>
      </c>
      <c r="F556" s="7" t="str">
        <f t="shared" si="76"/>
        <v>반경 7 M 구간에 시간이 흐르지않는 공간을 만들어서 적의 움직임을 묶어버리는 공간마법 기술</v>
      </c>
      <c r="G556" s="2">
        <v>5</v>
      </c>
      <c r="H556" s="2">
        <v>1</v>
      </c>
      <c r="I556" s="2">
        <v>3</v>
      </c>
      <c r="J556" s="2">
        <v>120</v>
      </c>
      <c r="K556" s="2">
        <v>0</v>
      </c>
      <c r="L556" s="2">
        <v>0</v>
      </c>
      <c r="M556" s="2">
        <v>0</v>
      </c>
      <c r="N556" s="2">
        <v>0</v>
      </c>
      <c r="O556" s="2">
        <v>0</v>
      </c>
      <c r="P556" s="2" t="s">
        <v>437</v>
      </c>
      <c r="Q556" s="2" t="str">
        <f t="shared" si="77"/>
        <v>SI_SA_AV_BINDING_CIRCLE</v>
      </c>
      <c r="R556" s="2" t="b">
        <v>0</v>
      </c>
      <c r="S556" s="2" t="b">
        <v>1</v>
      </c>
      <c r="T556" s="2">
        <v>1</v>
      </c>
      <c r="V556" s="1" t="s">
        <v>247</v>
      </c>
      <c r="W556" s="2">
        <v>700</v>
      </c>
    </row>
    <row r="557" spans="1:23">
      <c r="A557" s="4">
        <v>1501</v>
      </c>
      <c r="B557" s="7" t="str">
        <f>VLOOKUP($A557,SkillEnum!$A$2:$C$1020,2,FALSE)</f>
        <v>SI_SA_AV_BINDING_CIRCLE</v>
      </c>
      <c r="C557" s="7">
        <v>7</v>
      </c>
      <c r="D557" s="2" t="str">
        <f>VLOOKUP($C557,SkillEnum!$D$2:$E$10,2,FALSE)</f>
        <v>ST_SPECIAL_ACTIVE</v>
      </c>
      <c r="E557" s="7" t="str">
        <f>VLOOKUP($A557,SkillEnum!$A$2:$C$1020,3,FALSE)</f>
        <v>바인딩 서클</v>
      </c>
      <c r="F557" s="7" t="str">
        <f t="shared" si="76"/>
        <v>반경 7.5 M 구간에 시간이 흐르지않는 공간을 만들어서 적의 움직임을 묶어버리는 공간마법 기술</v>
      </c>
      <c r="G557" s="2">
        <v>6</v>
      </c>
      <c r="H557" s="2">
        <v>1</v>
      </c>
      <c r="I557" s="2">
        <v>3</v>
      </c>
      <c r="J557" s="2">
        <v>120</v>
      </c>
      <c r="K557" s="2">
        <v>0</v>
      </c>
      <c r="L557" s="2">
        <v>0</v>
      </c>
      <c r="M557" s="2">
        <v>0</v>
      </c>
      <c r="N557" s="2">
        <v>0</v>
      </c>
      <c r="O557" s="2">
        <v>0</v>
      </c>
      <c r="P557" s="2" t="s">
        <v>437</v>
      </c>
      <c r="Q557" s="2" t="str">
        <f t="shared" si="77"/>
        <v>SI_SA_AV_BINDING_CIRCLE</v>
      </c>
      <c r="R557" s="2" t="b">
        <v>0</v>
      </c>
      <c r="S557" s="2" t="b">
        <v>1</v>
      </c>
      <c r="T557" s="2">
        <v>1</v>
      </c>
      <c r="V557" s="1" t="s">
        <v>247</v>
      </c>
      <c r="W557" s="2">
        <v>750</v>
      </c>
    </row>
    <row r="558" spans="1:23">
      <c r="A558" s="4">
        <v>1501</v>
      </c>
      <c r="B558" s="7" t="str">
        <f>VLOOKUP($A558,SkillEnum!$A$2:$C$1020,2,FALSE)</f>
        <v>SI_SA_AV_BINDING_CIRCLE</v>
      </c>
      <c r="C558" s="7">
        <v>7</v>
      </c>
      <c r="D558" s="2" t="str">
        <f>VLOOKUP($C558,SkillEnum!$D$2:$E$10,2,FALSE)</f>
        <v>ST_SPECIAL_ACTIVE</v>
      </c>
      <c r="E558" s="7" t="str">
        <f>VLOOKUP($A558,SkillEnum!$A$2:$C$1020,3,FALSE)</f>
        <v>바인딩 서클</v>
      </c>
      <c r="F558" s="7" t="str">
        <f t="shared" si="76"/>
        <v>반경 8 M 구간에 시간이 흐르지않는 공간을 만들어서 적의 움직임을 묶어버리는 공간마법 기술</v>
      </c>
      <c r="G558" s="2">
        <v>7</v>
      </c>
      <c r="H558" s="2">
        <v>1</v>
      </c>
      <c r="I558" s="2">
        <v>3</v>
      </c>
      <c r="J558" s="2">
        <v>120</v>
      </c>
      <c r="K558" s="2">
        <v>0</v>
      </c>
      <c r="L558" s="2">
        <v>0</v>
      </c>
      <c r="M558" s="2">
        <v>0</v>
      </c>
      <c r="N558" s="2">
        <v>0</v>
      </c>
      <c r="O558" s="2">
        <v>0</v>
      </c>
      <c r="P558" s="2" t="s">
        <v>437</v>
      </c>
      <c r="Q558" s="2" t="str">
        <f t="shared" si="77"/>
        <v>SI_SA_AV_BINDING_CIRCLE</v>
      </c>
      <c r="R558" s="2" t="b">
        <v>0</v>
      </c>
      <c r="S558" s="2" t="b">
        <v>1</v>
      </c>
      <c r="T558" s="2">
        <v>1</v>
      </c>
      <c r="V558" s="1" t="s">
        <v>247</v>
      </c>
      <c r="W558" s="2">
        <v>800</v>
      </c>
    </row>
    <row r="559" spans="1:23">
      <c r="A559" s="4">
        <v>1501</v>
      </c>
      <c r="B559" s="7" t="str">
        <f>VLOOKUP($A559,SkillEnum!$A$2:$C$1020,2,FALSE)</f>
        <v>SI_SA_AV_BINDING_CIRCLE</v>
      </c>
      <c r="C559" s="7">
        <v>7</v>
      </c>
      <c r="D559" s="2" t="str">
        <f>VLOOKUP($C559,SkillEnum!$D$2:$E$10,2,FALSE)</f>
        <v>ST_SPECIAL_ACTIVE</v>
      </c>
      <c r="E559" s="7" t="str">
        <f>VLOOKUP($A559,SkillEnum!$A$2:$C$1020,3,FALSE)</f>
        <v>바인딩 서클</v>
      </c>
      <c r="F559" s="7" t="str">
        <f t="shared" si="76"/>
        <v>반경 8.5 M 구간에 시간이 흐르지않는 공간을 만들어서 적의 움직임을 묶어버리는 공간마법 기술</v>
      </c>
      <c r="G559" s="2">
        <v>8</v>
      </c>
      <c r="H559" s="2">
        <v>1</v>
      </c>
      <c r="I559" s="2">
        <v>3</v>
      </c>
      <c r="J559" s="2">
        <v>120</v>
      </c>
      <c r="K559" s="2">
        <v>0</v>
      </c>
      <c r="L559" s="2">
        <v>0</v>
      </c>
      <c r="M559" s="2">
        <v>0</v>
      </c>
      <c r="N559" s="2">
        <v>0</v>
      </c>
      <c r="O559" s="2">
        <v>0</v>
      </c>
      <c r="P559" s="2" t="s">
        <v>437</v>
      </c>
      <c r="Q559" s="2" t="str">
        <f t="shared" si="77"/>
        <v>SI_SA_AV_BINDING_CIRCLE</v>
      </c>
      <c r="R559" s="2" t="b">
        <v>0</v>
      </c>
      <c r="S559" s="2" t="b">
        <v>1</v>
      </c>
      <c r="T559" s="2">
        <v>1</v>
      </c>
      <c r="V559" s="1" t="s">
        <v>247</v>
      </c>
      <c r="W559" s="2">
        <v>850</v>
      </c>
    </row>
    <row r="560" spans="1:23">
      <c r="A560" s="4">
        <v>1501</v>
      </c>
      <c r="B560" s="7" t="str">
        <f>VLOOKUP($A560,SkillEnum!$A$2:$C$1020,2,FALSE)</f>
        <v>SI_SA_AV_BINDING_CIRCLE</v>
      </c>
      <c r="C560" s="7">
        <v>7</v>
      </c>
      <c r="D560" s="2" t="str">
        <f>VLOOKUP($C560,SkillEnum!$D$2:$E$10,2,FALSE)</f>
        <v>ST_SPECIAL_ACTIVE</v>
      </c>
      <c r="E560" s="7" t="str">
        <f>VLOOKUP($A560,SkillEnum!$A$2:$C$1020,3,FALSE)</f>
        <v>바인딩 서클</v>
      </c>
      <c r="F560" s="7" t="str">
        <f t="shared" si="76"/>
        <v>반경 9 M 구간에 시간이 흐르지않는 공간을 만들어서 적의 움직임을 묶어버리는 공간마법 기술</v>
      </c>
      <c r="G560" s="2">
        <v>9</v>
      </c>
      <c r="H560" s="2">
        <v>1</v>
      </c>
      <c r="I560" s="2">
        <v>3</v>
      </c>
      <c r="J560" s="2">
        <v>120</v>
      </c>
      <c r="K560" s="2">
        <v>0</v>
      </c>
      <c r="L560" s="2">
        <v>0</v>
      </c>
      <c r="M560" s="2">
        <v>0</v>
      </c>
      <c r="N560" s="2">
        <v>0</v>
      </c>
      <c r="O560" s="2">
        <v>0</v>
      </c>
      <c r="P560" s="2" t="s">
        <v>437</v>
      </c>
      <c r="Q560" s="2" t="str">
        <f t="shared" si="77"/>
        <v>SI_SA_AV_BINDING_CIRCLE</v>
      </c>
      <c r="R560" s="2" t="b">
        <v>0</v>
      </c>
      <c r="S560" s="2" t="b">
        <v>1</v>
      </c>
      <c r="T560" s="2">
        <v>1</v>
      </c>
      <c r="V560" s="1" t="s">
        <v>247</v>
      </c>
      <c r="W560" s="2">
        <v>900</v>
      </c>
    </row>
    <row r="561" spans="1:23" s="5" customFormat="1">
      <c r="A561" s="6">
        <v>1501</v>
      </c>
      <c r="B561" s="8" t="str">
        <f>VLOOKUP($A561,SkillEnum!$A$2:$C$1020,2,FALSE)</f>
        <v>SI_SA_AV_BINDING_CIRCLE</v>
      </c>
      <c r="C561" s="8">
        <v>7</v>
      </c>
      <c r="D561" s="5" t="str">
        <f>VLOOKUP($C561,SkillEnum!$D$2:$E$10,2,FALSE)</f>
        <v>ST_SPECIAL_ACTIVE</v>
      </c>
      <c r="E561" s="8" t="str">
        <f>VLOOKUP($A561,SkillEnum!$A$2:$C$1020,3,FALSE)</f>
        <v>바인딩 서클</v>
      </c>
      <c r="F561" s="8" t="str">
        <f t="shared" si="76"/>
        <v>반경 9.5 M 구간에 시간이 흐르지않는 공간을 만들어서 적의 움직임을 묶어버리는 공간마법 기술</v>
      </c>
      <c r="G561" s="5">
        <v>10</v>
      </c>
      <c r="H561" s="5">
        <v>1</v>
      </c>
      <c r="I561" s="5">
        <v>3</v>
      </c>
      <c r="J561" s="5">
        <v>120</v>
      </c>
      <c r="K561" s="5">
        <v>0</v>
      </c>
      <c r="L561" s="5">
        <v>0</v>
      </c>
      <c r="M561" s="5">
        <v>0</v>
      </c>
      <c r="N561" s="5">
        <v>0</v>
      </c>
      <c r="O561" s="5">
        <v>0</v>
      </c>
      <c r="P561" s="2" t="s">
        <v>437</v>
      </c>
      <c r="Q561" s="2" t="str">
        <f t="shared" si="77"/>
        <v>SI_SA_AV_BINDING_CIRCLE</v>
      </c>
      <c r="R561" s="5" t="b">
        <v>0</v>
      </c>
      <c r="S561" s="2" t="b">
        <v>1</v>
      </c>
      <c r="T561" s="2">
        <v>1</v>
      </c>
      <c r="U561" s="2"/>
      <c r="V561" s="5" t="s">
        <v>247</v>
      </c>
      <c r="W561" s="5">
        <v>950</v>
      </c>
    </row>
    <row r="562" spans="1:23" s="10" customFormat="1">
      <c r="A562" s="9">
        <v>1502</v>
      </c>
      <c r="B562" s="11" t="str">
        <f>VLOOKUP($A562,SkillEnum!$A$2:$C$1020,2,FALSE)</f>
        <v>SI_SA_AV_GUST_SCREW</v>
      </c>
      <c r="C562" s="11">
        <v>7</v>
      </c>
      <c r="D562" s="10" t="str">
        <f>VLOOKUP($C562,SkillEnum!$D$2:$E$10,2,FALSE)</f>
        <v>ST_SPECIAL_ACTIVE</v>
      </c>
      <c r="E562" s="11" t="str">
        <f>VLOOKUP($A562,SkillEnum!$A$2:$C$1020,3,FALSE)</f>
        <v>거스트 스크류</v>
      </c>
      <c r="F562" s="11" t="str">
        <f>"시전자 주위에 바람과 함께 불기둥이 회전하며 일어나 마법공격력의 "&amp;ROUND(2.1*H562*100,0)&amp;" %로 주위 적들을 연속타격 한다."</f>
        <v>시전자 주위에 바람과 함께 불기둥이 회전하며 일어나 마법공격력의 147 %로 주위 적들을 연속타격 한다.</v>
      </c>
      <c r="G562" s="10">
        <v>1</v>
      </c>
      <c r="H562" s="2">
        <v>0.7</v>
      </c>
      <c r="I562" s="2">
        <v>10</v>
      </c>
      <c r="J562" s="2">
        <v>200</v>
      </c>
      <c r="K562" s="2">
        <v>0</v>
      </c>
      <c r="L562" s="2">
        <v>0</v>
      </c>
      <c r="M562" s="2">
        <v>0</v>
      </c>
      <c r="N562" s="2">
        <v>0</v>
      </c>
      <c r="O562" s="2">
        <v>0</v>
      </c>
      <c r="P562" s="2" t="s">
        <v>437</v>
      </c>
      <c r="Q562" s="2" t="str">
        <f t="shared" si="77"/>
        <v>SI_SA_AV_GUST_SCREW</v>
      </c>
      <c r="R562" s="2" t="b">
        <v>0</v>
      </c>
      <c r="S562" s="2" t="b">
        <v>1</v>
      </c>
      <c r="T562" s="2">
        <v>1</v>
      </c>
      <c r="U562" s="2"/>
      <c r="V562" s="1"/>
    </row>
    <row r="563" spans="1:23">
      <c r="A563" s="4">
        <v>1502</v>
      </c>
      <c r="B563" s="7" t="str">
        <f>VLOOKUP($A563,SkillEnum!$A$2:$C$1020,2,FALSE)</f>
        <v>SI_SA_AV_GUST_SCREW</v>
      </c>
      <c r="C563" s="7">
        <v>7</v>
      </c>
      <c r="D563" s="2" t="str">
        <f>VLOOKUP($C563,SkillEnum!$D$2:$E$10,2,FALSE)</f>
        <v>ST_SPECIAL_ACTIVE</v>
      </c>
      <c r="E563" s="7" t="str">
        <f>VLOOKUP($A563,SkillEnum!$A$2:$C$1020,3,FALSE)</f>
        <v>거스트 스크류</v>
      </c>
      <c r="F563" s="7" t="str">
        <f t="shared" ref="F563:F571" si="78">"시전자 주위에 바람과 함께 불기둥이 회전하며 일어나 마법공격력의 "&amp;ROUND(2.1*H563*100,0)&amp;" %로 주위 적들을 연속타격 한다."</f>
        <v>시전자 주위에 바람과 함께 불기둥이 회전하며 일어나 마법공격력의 176 %로 주위 적들을 연속타격 한다.</v>
      </c>
      <c r="G563" s="2">
        <v>2</v>
      </c>
      <c r="H563" s="2">
        <v>0.84</v>
      </c>
      <c r="I563" s="2">
        <v>10</v>
      </c>
      <c r="J563" s="2">
        <v>200</v>
      </c>
      <c r="K563" s="2">
        <v>0</v>
      </c>
      <c r="L563" s="2">
        <v>0</v>
      </c>
      <c r="M563" s="2">
        <v>0</v>
      </c>
      <c r="N563" s="2">
        <v>0</v>
      </c>
      <c r="O563" s="2">
        <v>0</v>
      </c>
      <c r="P563" s="2" t="s">
        <v>437</v>
      </c>
      <c r="Q563" s="2" t="str">
        <f t="shared" si="77"/>
        <v>SI_SA_AV_GUST_SCREW</v>
      </c>
      <c r="R563" s="2" t="b">
        <v>0</v>
      </c>
      <c r="S563" s="2" t="b">
        <v>1</v>
      </c>
      <c r="T563" s="2">
        <v>1</v>
      </c>
      <c r="V563" s="1"/>
    </row>
    <row r="564" spans="1:23">
      <c r="A564" s="4">
        <v>1502</v>
      </c>
      <c r="B564" s="7" t="str">
        <f>VLOOKUP($A564,SkillEnum!$A$2:$C$1020,2,FALSE)</f>
        <v>SI_SA_AV_GUST_SCREW</v>
      </c>
      <c r="C564" s="7">
        <v>7</v>
      </c>
      <c r="D564" s="2" t="str">
        <f>VLOOKUP($C564,SkillEnum!$D$2:$E$10,2,FALSE)</f>
        <v>ST_SPECIAL_ACTIVE</v>
      </c>
      <c r="E564" s="7" t="str">
        <f>VLOOKUP($A564,SkillEnum!$A$2:$C$1020,3,FALSE)</f>
        <v>거스트 스크류</v>
      </c>
      <c r="F564" s="7" t="str">
        <f t="shared" si="78"/>
        <v>시전자 주위에 바람과 함께 불기둥이 회전하며 일어나 마법공격력의 206 %로 주위 적들을 연속타격 한다.</v>
      </c>
      <c r="G564" s="2">
        <v>3</v>
      </c>
      <c r="H564" s="2">
        <v>0.98</v>
      </c>
      <c r="I564" s="2">
        <v>10</v>
      </c>
      <c r="J564" s="2">
        <v>200</v>
      </c>
      <c r="K564" s="2">
        <v>0</v>
      </c>
      <c r="L564" s="2">
        <v>0</v>
      </c>
      <c r="M564" s="2">
        <v>0</v>
      </c>
      <c r="N564" s="2">
        <v>0</v>
      </c>
      <c r="O564" s="2">
        <v>0</v>
      </c>
      <c r="P564" s="2" t="s">
        <v>437</v>
      </c>
      <c r="Q564" s="2" t="str">
        <f t="shared" si="77"/>
        <v>SI_SA_AV_GUST_SCREW</v>
      </c>
      <c r="R564" s="2" t="b">
        <v>0</v>
      </c>
      <c r="S564" s="2" t="b">
        <v>1</v>
      </c>
      <c r="T564" s="2">
        <v>1</v>
      </c>
      <c r="V564" s="1"/>
    </row>
    <row r="565" spans="1:23">
      <c r="A565" s="4">
        <v>1502</v>
      </c>
      <c r="B565" s="7" t="str">
        <f>VLOOKUP($A565,SkillEnum!$A$2:$C$1020,2,FALSE)</f>
        <v>SI_SA_AV_GUST_SCREW</v>
      </c>
      <c r="C565" s="7">
        <v>7</v>
      </c>
      <c r="D565" s="2" t="str">
        <f>VLOOKUP($C565,SkillEnum!$D$2:$E$10,2,FALSE)</f>
        <v>ST_SPECIAL_ACTIVE</v>
      </c>
      <c r="E565" s="7" t="str">
        <f>VLOOKUP($A565,SkillEnum!$A$2:$C$1020,3,FALSE)</f>
        <v>거스트 스크류</v>
      </c>
      <c r="F565" s="7" t="str">
        <f t="shared" si="78"/>
        <v>시전자 주위에 바람과 함께 불기둥이 회전하며 일어나 마법공격력의 235 %로 주위 적들을 연속타격 한다.</v>
      </c>
      <c r="G565" s="2">
        <v>4</v>
      </c>
      <c r="H565" s="2">
        <v>1.1200000000000001</v>
      </c>
      <c r="I565" s="2">
        <v>10</v>
      </c>
      <c r="J565" s="2">
        <v>200</v>
      </c>
      <c r="K565" s="2">
        <v>0</v>
      </c>
      <c r="L565" s="2">
        <v>0</v>
      </c>
      <c r="M565" s="2">
        <v>0</v>
      </c>
      <c r="N565" s="2">
        <v>0</v>
      </c>
      <c r="O565" s="2">
        <v>0</v>
      </c>
      <c r="P565" s="2" t="s">
        <v>437</v>
      </c>
      <c r="Q565" s="2" t="str">
        <f t="shared" si="77"/>
        <v>SI_SA_AV_GUST_SCREW</v>
      </c>
      <c r="R565" s="2" t="b">
        <v>0</v>
      </c>
      <c r="S565" s="2" t="b">
        <v>1</v>
      </c>
      <c r="T565" s="2">
        <v>1</v>
      </c>
      <c r="V565" s="1"/>
    </row>
    <row r="566" spans="1:23">
      <c r="A566" s="4">
        <v>1502</v>
      </c>
      <c r="B566" s="7" t="str">
        <f>VLOOKUP($A566,SkillEnum!$A$2:$C$1020,2,FALSE)</f>
        <v>SI_SA_AV_GUST_SCREW</v>
      </c>
      <c r="C566" s="7">
        <v>7</v>
      </c>
      <c r="D566" s="2" t="str">
        <f>VLOOKUP($C566,SkillEnum!$D$2:$E$10,2,FALSE)</f>
        <v>ST_SPECIAL_ACTIVE</v>
      </c>
      <c r="E566" s="7" t="str">
        <f>VLOOKUP($A566,SkillEnum!$A$2:$C$1020,3,FALSE)</f>
        <v>거스트 스크류</v>
      </c>
      <c r="F566" s="7" t="str">
        <f t="shared" si="78"/>
        <v>시전자 주위에 바람과 함께 불기둥이 회전하며 일어나 마법공격력의 279 %로 주위 적들을 연속타격 한다.</v>
      </c>
      <c r="G566" s="2">
        <v>5</v>
      </c>
      <c r="H566" s="2">
        <v>1.33</v>
      </c>
      <c r="I566" s="2">
        <v>10</v>
      </c>
      <c r="J566" s="2">
        <v>200</v>
      </c>
      <c r="K566" s="2">
        <v>0</v>
      </c>
      <c r="L566" s="2">
        <v>0</v>
      </c>
      <c r="M566" s="2">
        <v>0</v>
      </c>
      <c r="N566" s="2">
        <v>0</v>
      </c>
      <c r="O566" s="2">
        <v>0</v>
      </c>
      <c r="P566" s="2" t="s">
        <v>437</v>
      </c>
      <c r="Q566" s="2" t="str">
        <f t="shared" si="77"/>
        <v>SI_SA_AV_GUST_SCREW</v>
      </c>
      <c r="R566" s="2" t="b">
        <v>0</v>
      </c>
      <c r="S566" s="2" t="b">
        <v>1</v>
      </c>
      <c r="T566" s="2">
        <v>1</v>
      </c>
      <c r="V566" s="1"/>
    </row>
    <row r="567" spans="1:23">
      <c r="A567" s="4">
        <v>1502</v>
      </c>
      <c r="B567" s="7" t="str">
        <f>VLOOKUP($A567,SkillEnum!$A$2:$C$1020,2,FALSE)</f>
        <v>SI_SA_AV_GUST_SCREW</v>
      </c>
      <c r="C567" s="7">
        <v>7</v>
      </c>
      <c r="D567" s="2" t="str">
        <f>VLOOKUP($C567,SkillEnum!$D$2:$E$10,2,FALSE)</f>
        <v>ST_SPECIAL_ACTIVE</v>
      </c>
      <c r="E567" s="7" t="str">
        <f>VLOOKUP($A567,SkillEnum!$A$2:$C$1020,3,FALSE)</f>
        <v>거스트 스크류</v>
      </c>
      <c r="F567" s="7" t="str">
        <f t="shared" si="78"/>
        <v>시전자 주위에 바람과 함께 불기둥이 회전하며 일어나 마법공격력의 323 %로 주위 적들을 연속타격 한다.</v>
      </c>
      <c r="G567" s="2">
        <v>6</v>
      </c>
      <c r="H567" s="2">
        <v>1.54</v>
      </c>
      <c r="I567" s="2">
        <v>10</v>
      </c>
      <c r="J567" s="2">
        <v>200</v>
      </c>
      <c r="K567" s="2">
        <v>0</v>
      </c>
      <c r="L567" s="2">
        <v>0</v>
      </c>
      <c r="M567" s="2">
        <v>0</v>
      </c>
      <c r="N567" s="2">
        <v>0</v>
      </c>
      <c r="O567" s="2">
        <v>0</v>
      </c>
      <c r="P567" s="2" t="s">
        <v>437</v>
      </c>
      <c r="Q567" s="2" t="str">
        <f t="shared" si="77"/>
        <v>SI_SA_AV_GUST_SCREW</v>
      </c>
      <c r="R567" s="2" t="b">
        <v>0</v>
      </c>
      <c r="S567" s="2" t="b">
        <v>1</v>
      </c>
      <c r="T567" s="2">
        <v>1</v>
      </c>
      <c r="V567" s="1"/>
    </row>
    <row r="568" spans="1:23">
      <c r="A568" s="4">
        <v>1502</v>
      </c>
      <c r="B568" s="7" t="str">
        <f>VLOOKUP($A568,SkillEnum!$A$2:$C$1020,2,FALSE)</f>
        <v>SI_SA_AV_GUST_SCREW</v>
      </c>
      <c r="C568" s="7">
        <v>7</v>
      </c>
      <c r="D568" s="2" t="str">
        <f>VLOOKUP($C568,SkillEnum!$D$2:$E$10,2,FALSE)</f>
        <v>ST_SPECIAL_ACTIVE</v>
      </c>
      <c r="E568" s="7" t="str">
        <f>VLOOKUP($A568,SkillEnum!$A$2:$C$1020,3,FALSE)</f>
        <v>거스트 스크류</v>
      </c>
      <c r="F568" s="7" t="str">
        <f t="shared" si="78"/>
        <v>시전자 주위에 바람과 함께 불기둥이 회전하며 일어나 마법공격력의 368 %로 주위 적들을 연속타격 한다.</v>
      </c>
      <c r="G568" s="2">
        <v>7</v>
      </c>
      <c r="H568" s="2">
        <v>1.75</v>
      </c>
      <c r="I568" s="2">
        <v>10</v>
      </c>
      <c r="J568" s="2">
        <v>200</v>
      </c>
      <c r="K568" s="2">
        <v>0</v>
      </c>
      <c r="L568" s="2">
        <v>0</v>
      </c>
      <c r="M568" s="2">
        <v>0</v>
      </c>
      <c r="N568" s="2">
        <v>0</v>
      </c>
      <c r="O568" s="2">
        <v>0</v>
      </c>
      <c r="P568" s="2" t="s">
        <v>437</v>
      </c>
      <c r="Q568" s="2" t="str">
        <f t="shared" si="77"/>
        <v>SI_SA_AV_GUST_SCREW</v>
      </c>
      <c r="R568" s="2" t="b">
        <v>0</v>
      </c>
      <c r="S568" s="2" t="b">
        <v>1</v>
      </c>
      <c r="T568" s="2">
        <v>1</v>
      </c>
      <c r="V568" s="1"/>
    </row>
    <row r="569" spans="1:23">
      <c r="A569" s="4">
        <v>1502</v>
      </c>
      <c r="B569" s="7" t="str">
        <f>VLOOKUP($A569,SkillEnum!$A$2:$C$1020,2,FALSE)</f>
        <v>SI_SA_AV_GUST_SCREW</v>
      </c>
      <c r="C569" s="7">
        <v>7</v>
      </c>
      <c r="D569" s="2" t="str">
        <f>VLOOKUP($C569,SkillEnum!$D$2:$E$10,2,FALSE)</f>
        <v>ST_SPECIAL_ACTIVE</v>
      </c>
      <c r="E569" s="7" t="str">
        <f>VLOOKUP($A569,SkillEnum!$A$2:$C$1020,3,FALSE)</f>
        <v>거스트 스크류</v>
      </c>
      <c r="F569" s="7" t="str">
        <f t="shared" si="78"/>
        <v>시전자 주위에 바람과 함께 불기둥이 회전하며 일어나 마법공격력의 412 %로 주위 적들을 연속타격 한다.</v>
      </c>
      <c r="G569" s="2">
        <v>8</v>
      </c>
      <c r="H569" s="2">
        <v>1.96</v>
      </c>
      <c r="I569" s="2">
        <v>10</v>
      </c>
      <c r="J569" s="2">
        <v>200</v>
      </c>
      <c r="K569" s="2">
        <v>0</v>
      </c>
      <c r="L569" s="2">
        <v>0</v>
      </c>
      <c r="M569" s="2">
        <v>0</v>
      </c>
      <c r="N569" s="2">
        <v>0</v>
      </c>
      <c r="O569" s="2">
        <v>0</v>
      </c>
      <c r="P569" s="2" t="s">
        <v>437</v>
      </c>
      <c r="Q569" s="2" t="str">
        <f t="shared" si="77"/>
        <v>SI_SA_AV_GUST_SCREW</v>
      </c>
      <c r="R569" s="2" t="b">
        <v>0</v>
      </c>
      <c r="S569" s="2" t="b">
        <v>1</v>
      </c>
      <c r="T569" s="2">
        <v>1</v>
      </c>
      <c r="V569" s="1"/>
    </row>
    <row r="570" spans="1:23">
      <c r="A570" s="4">
        <v>1502</v>
      </c>
      <c r="B570" s="7" t="str">
        <f>VLOOKUP($A570,SkillEnum!$A$2:$C$1020,2,FALSE)</f>
        <v>SI_SA_AV_GUST_SCREW</v>
      </c>
      <c r="C570" s="7">
        <v>7</v>
      </c>
      <c r="D570" s="2" t="str">
        <f>VLOOKUP($C570,SkillEnum!$D$2:$E$10,2,FALSE)</f>
        <v>ST_SPECIAL_ACTIVE</v>
      </c>
      <c r="E570" s="7" t="str">
        <f>VLOOKUP($A570,SkillEnum!$A$2:$C$1020,3,FALSE)</f>
        <v>거스트 스크류</v>
      </c>
      <c r="F570" s="7" t="str">
        <f t="shared" si="78"/>
        <v>시전자 주위에 바람과 함께 불기둥이 회전하며 일어나 마법공격력의 470 %로 주위 적들을 연속타격 한다.</v>
      </c>
      <c r="G570" s="2">
        <v>9</v>
      </c>
      <c r="H570" s="2">
        <v>2.2400000000000002</v>
      </c>
      <c r="I570" s="2">
        <v>10</v>
      </c>
      <c r="J570" s="2">
        <v>200</v>
      </c>
      <c r="K570" s="2">
        <v>0</v>
      </c>
      <c r="L570" s="2">
        <v>0</v>
      </c>
      <c r="M570" s="2">
        <v>0</v>
      </c>
      <c r="N570" s="2">
        <v>0</v>
      </c>
      <c r="O570" s="2">
        <v>0</v>
      </c>
      <c r="P570" s="2" t="s">
        <v>437</v>
      </c>
      <c r="Q570" s="2" t="str">
        <f t="shared" si="77"/>
        <v>SI_SA_AV_GUST_SCREW</v>
      </c>
      <c r="R570" s="2" t="b">
        <v>0</v>
      </c>
      <c r="S570" s="2" t="b">
        <v>1</v>
      </c>
      <c r="T570" s="2">
        <v>1</v>
      </c>
      <c r="V570" s="1"/>
    </row>
    <row r="571" spans="1:23" s="5" customFormat="1">
      <c r="A571" s="6">
        <v>1502</v>
      </c>
      <c r="B571" s="8" t="str">
        <f>VLOOKUP($A571,SkillEnum!$A$2:$C$1020,2,FALSE)</f>
        <v>SI_SA_AV_GUST_SCREW</v>
      </c>
      <c r="C571" s="8">
        <v>7</v>
      </c>
      <c r="D571" s="5" t="str">
        <f>VLOOKUP($C571,SkillEnum!$D$2:$E$10,2,FALSE)</f>
        <v>ST_SPECIAL_ACTIVE</v>
      </c>
      <c r="E571" s="8" t="str">
        <f>VLOOKUP($A571,SkillEnum!$A$2:$C$1020,3,FALSE)</f>
        <v>거스트 스크류</v>
      </c>
      <c r="F571" s="8" t="str">
        <f t="shared" si="78"/>
        <v>시전자 주위에 바람과 함께 불기둥이 회전하며 일어나 마법공격력의 529 %로 주위 적들을 연속타격 한다.</v>
      </c>
      <c r="G571" s="5">
        <v>10</v>
      </c>
      <c r="H571" s="5">
        <v>2.52</v>
      </c>
      <c r="I571" s="5">
        <v>10</v>
      </c>
      <c r="J571" s="5">
        <v>200</v>
      </c>
      <c r="K571" s="5">
        <v>0</v>
      </c>
      <c r="L571" s="5">
        <v>0</v>
      </c>
      <c r="M571" s="5">
        <v>0</v>
      </c>
      <c r="N571" s="5">
        <v>0</v>
      </c>
      <c r="O571" s="5">
        <v>0</v>
      </c>
      <c r="P571" s="2" t="s">
        <v>437</v>
      </c>
      <c r="Q571" s="2" t="str">
        <f t="shared" si="77"/>
        <v>SI_SA_AV_GUST_SCREW</v>
      </c>
      <c r="R571" s="5" t="b">
        <v>0</v>
      </c>
      <c r="S571" s="2" t="b">
        <v>1</v>
      </c>
      <c r="T571" s="2">
        <v>1</v>
      </c>
      <c r="U571" s="2"/>
    </row>
    <row r="572" spans="1:23" s="10" customFormat="1">
      <c r="A572" s="9">
        <v>1503</v>
      </c>
      <c r="B572" s="11" t="str">
        <f>VLOOKUP($A572,SkillEnum!$A$2:$C$1020,2,FALSE)</f>
        <v>SI_SA_AV_LIGHTNING_BOLT</v>
      </c>
      <c r="C572" s="11">
        <v>7</v>
      </c>
      <c r="D572" s="10" t="str">
        <f>VLOOKUP($C572,SkillEnum!$D$2:$E$10,2,FALSE)</f>
        <v>ST_SPECIAL_ACTIVE</v>
      </c>
      <c r="E572" s="11" t="str">
        <f>VLOOKUP($A572,SkillEnum!$A$2:$C$1020,3,FALSE)</f>
        <v>라이트닝 볼트</v>
      </c>
      <c r="F572" s="11" t="str">
        <f>"마법의 기운을 증폭시켜 한방향으로 강력한 벼락줄기를 내뿜어 마법공격력의 "&amp;ROUND(0.65*1.2*H572*100,0)&amp;" %로 연속타격 한다."</f>
        <v>마법의 기운을 증폭시켜 한방향으로 강력한 벼락줄기를 내뿜어 마법공격력의 55 %로 연속타격 한다.</v>
      </c>
      <c r="G572" s="10">
        <v>1</v>
      </c>
      <c r="H572" s="2">
        <v>0.7</v>
      </c>
      <c r="I572" s="2">
        <v>10</v>
      </c>
      <c r="J572" s="2">
        <v>200</v>
      </c>
      <c r="K572" s="2">
        <v>0</v>
      </c>
      <c r="L572" s="2">
        <v>0</v>
      </c>
      <c r="M572" s="2">
        <v>0</v>
      </c>
      <c r="N572" s="2">
        <v>0</v>
      </c>
      <c r="O572" s="2">
        <v>0</v>
      </c>
      <c r="P572" s="2" t="s">
        <v>437</v>
      </c>
      <c r="Q572" s="2" t="str">
        <f t="shared" si="77"/>
        <v>SI_SA_AV_LIGHTNING_BOLT</v>
      </c>
      <c r="R572" s="2" t="b">
        <v>0</v>
      </c>
      <c r="S572" s="2" t="b">
        <v>1</v>
      </c>
      <c r="T572" s="2">
        <v>1</v>
      </c>
      <c r="U572" s="2"/>
    </row>
    <row r="573" spans="1:23">
      <c r="A573" s="4">
        <v>1503</v>
      </c>
      <c r="B573" s="7" t="str">
        <f>VLOOKUP($A573,SkillEnum!$A$2:$C$1020,2,FALSE)</f>
        <v>SI_SA_AV_LIGHTNING_BOLT</v>
      </c>
      <c r="C573" s="7">
        <v>7</v>
      </c>
      <c r="D573" s="2" t="str">
        <f>VLOOKUP($C573,SkillEnum!$D$2:$E$10,2,FALSE)</f>
        <v>ST_SPECIAL_ACTIVE</v>
      </c>
      <c r="E573" s="7" t="str">
        <f>VLOOKUP($A573,SkillEnum!$A$2:$C$1020,3,FALSE)</f>
        <v>라이트닝 볼트</v>
      </c>
      <c r="F573" s="7" t="str">
        <f t="shared" ref="F573:F581" si="79">"마법의 기운을 증폭시켜 한방향으로 강력한 벼락줄기를 내뿜어 마법공격력의 "&amp;ROUND(0.65*1.2*H573*100,0)&amp;" %로 연속타격 한다."</f>
        <v>마법의 기운을 증폭시켜 한방향으로 강력한 벼락줄기를 내뿜어 마법공격력의 66 %로 연속타격 한다.</v>
      </c>
      <c r="G573" s="2">
        <v>2</v>
      </c>
      <c r="H573" s="2">
        <v>0.84</v>
      </c>
      <c r="I573" s="2">
        <v>10</v>
      </c>
      <c r="J573" s="2">
        <v>200</v>
      </c>
      <c r="K573" s="2">
        <v>0</v>
      </c>
      <c r="L573" s="2">
        <v>0</v>
      </c>
      <c r="M573" s="2">
        <v>0</v>
      </c>
      <c r="N573" s="2">
        <v>0</v>
      </c>
      <c r="O573" s="2">
        <v>0</v>
      </c>
      <c r="P573" s="2" t="s">
        <v>437</v>
      </c>
      <c r="Q573" s="2" t="str">
        <f t="shared" si="77"/>
        <v>SI_SA_AV_LIGHTNING_BOLT</v>
      </c>
      <c r="R573" s="2" t="b">
        <v>0</v>
      </c>
      <c r="S573" s="2" t="b">
        <v>1</v>
      </c>
      <c r="T573" s="2">
        <v>1</v>
      </c>
    </row>
    <row r="574" spans="1:23">
      <c r="A574" s="4">
        <v>1503</v>
      </c>
      <c r="B574" s="7" t="str">
        <f>VLOOKUP($A574,SkillEnum!$A$2:$C$1020,2,FALSE)</f>
        <v>SI_SA_AV_LIGHTNING_BOLT</v>
      </c>
      <c r="C574" s="7">
        <v>7</v>
      </c>
      <c r="D574" s="2" t="str">
        <f>VLOOKUP($C574,SkillEnum!$D$2:$E$10,2,FALSE)</f>
        <v>ST_SPECIAL_ACTIVE</v>
      </c>
      <c r="E574" s="7" t="str">
        <f>VLOOKUP($A574,SkillEnum!$A$2:$C$1020,3,FALSE)</f>
        <v>라이트닝 볼트</v>
      </c>
      <c r="F574" s="7" t="str">
        <f t="shared" si="79"/>
        <v>마법의 기운을 증폭시켜 한방향으로 강력한 벼락줄기를 내뿜어 마법공격력의 76 %로 연속타격 한다.</v>
      </c>
      <c r="G574" s="2">
        <v>3</v>
      </c>
      <c r="H574" s="2">
        <v>0.98</v>
      </c>
      <c r="I574" s="2">
        <v>10</v>
      </c>
      <c r="J574" s="2">
        <v>200</v>
      </c>
      <c r="K574" s="2">
        <v>0</v>
      </c>
      <c r="L574" s="2">
        <v>0</v>
      </c>
      <c r="M574" s="2">
        <v>0</v>
      </c>
      <c r="N574" s="2">
        <v>0</v>
      </c>
      <c r="O574" s="2">
        <v>0</v>
      </c>
      <c r="P574" s="2" t="s">
        <v>437</v>
      </c>
      <c r="Q574" s="2" t="str">
        <f t="shared" si="77"/>
        <v>SI_SA_AV_LIGHTNING_BOLT</v>
      </c>
      <c r="R574" s="2" t="b">
        <v>0</v>
      </c>
      <c r="S574" s="2" t="b">
        <v>1</v>
      </c>
      <c r="T574" s="2">
        <v>1</v>
      </c>
    </row>
    <row r="575" spans="1:23">
      <c r="A575" s="4">
        <v>1503</v>
      </c>
      <c r="B575" s="7" t="str">
        <f>VLOOKUP($A575,SkillEnum!$A$2:$C$1020,2,FALSE)</f>
        <v>SI_SA_AV_LIGHTNING_BOLT</v>
      </c>
      <c r="C575" s="7">
        <v>7</v>
      </c>
      <c r="D575" s="2" t="str">
        <f>VLOOKUP($C575,SkillEnum!$D$2:$E$10,2,FALSE)</f>
        <v>ST_SPECIAL_ACTIVE</v>
      </c>
      <c r="E575" s="7" t="str">
        <f>VLOOKUP($A575,SkillEnum!$A$2:$C$1020,3,FALSE)</f>
        <v>라이트닝 볼트</v>
      </c>
      <c r="F575" s="7" t="str">
        <f t="shared" si="79"/>
        <v>마법의 기운을 증폭시켜 한방향으로 강력한 벼락줄기를 내뿜어 마법공격력의 87 %로 연속타격 한다.</v>
      </c>
      <c r="G575" s="2">
        <v>4</v>
      </c>
      <c r="H575" s="2">
        <v>1.1200000000000001</v>
      </c>
      <c r="I575" s="2">
        <v>10</v>
      </c>
      <c r="J575" s="2">
        <v>200</v>
      </c>
      <c r="K575" s="2">
        <v>0</v>
      </c>
      <c r="L575" s="2">
        <v>0</v>
      </c>
      <c r="M575" s="2">
        <v>0</v>
      </c>
      <c r="N575" s="2">
        <v>0</v>
      </c>
      <c r="O575" s="2">
        <v>0</v>
      </c>
      <c r="P575" s="2" t="s">
        <v>437</v>
      </c>
      <c r="Q575" s="2" t="str">
        <f t="shared" si="77"/>
        <v>SI_SA_AV_LIGHTNING_BOLT</v>
      </c>
      <c r="R575" s="2" t="b">
        <v>0</v>
      </c>
      <c r="S575" s="2" t="b">
        <v>1</v>
      </c>
      <c r="T575" s="2">
        <v>1</v>
      </c>
    </row>
    <row r="576" spans="1:23">
      <c r="A576" s="4">
        <v>1503</v>
      </c>
      <c r="B576" s="7" t="str">
        <f>VLOOKUP($A576,SkillEnum!$A$2:$C$1020,2,FALSE)</f>
        <v>SI_SA_AV_LIGHTNING_BOLT</v>
      </c>
      <c r="C576" s="7">
        <v>7</v>
      </c>
      <c r="D576" s="2" t="str">
        <f>VLOOKUP($C576,SkillEnum!$D$2:$E$10,2,FALSE)</f>
        <v>ST_SPECIAL_ACTIVE</v>
      </c>
      <c r="E576" s="7" t="str">
        <f>VLOOKUP($A576,SkillEnum!$A$2:$C$1020,3,FALSE)</f>
        <v>라이트닝 볼트</v>
      </c>
      <c r="F576" s="7" t="str">
        <f t="shared" si="79"/>
        <v>마법의 기운을 증폭시켜 한방향으로 강력한 벼락줄기를 내뿜어 마법공격력의 104 %로 연속타격 한다.</v>
      </c>
      <c r="G576" s="2">
        <v>5</v>
      </c>
      <c r="H576" s="2">
        <v>1.33</v>
      </c>
      <c r="I576" s="2">
        <v>10</v>
      </c>
      <c r="J576" s="2">
        <v>200</v>
      </c>
      <c r="K576" s="2">
        <v>0</v>
      </c>
      <c r="L576" s="2">
        <v>0</v>
      </c>
      <c r="M576" s="2">
        <v>0</v>
      </c>
      <c r="N576" s="2">
        <v>0</v>
      </c>
      <c r="O576" s="2">
        <v>0</v>
      </c>
      <c r="P576" s="2" t="s">
        <v>437</v>
      </c>
      <c r="Q576" s="2" t="str">
        <f t="shared" si="77"/>
        <v>SI_SA_AV_LIGHTNING_BOLT</v>
      </c>
      <c r="R576" s="2" t="b">
        <v>0</v>
      </c>
      <c r="S576" s="2" t="b">
        <v>1</v>
      </c>
      <c r="T576" s="2">
        <v>1</v>
      </c>
    </row>
    <row r="577" spans="1:21">
      <c r="A577" s="4">
        <v>1503</v>
      </c>
      <c r="B577" s="7" t="str">
        <f>VLOOKUP($A577,SkillEnum!$A$2:$C$1020,2,FALSE)</f>
        <v>SI_SA_AV_LIGHTNING_BOLT</v>
      </c>
      <c r="C577" s="7">
        <v>7</v>
      </c>
      <c r="D577" s="2" t="str">
        <f>VLOOKUP($C577,SkillEnum!$D$2:$E$10,2,FALSE)</f>
        <v>ST_SPECIAL_ACTIVE</v>
      </c>
      <c r="E577" s="7" t="str">
        <f>VLOOKUP($A577,SkillEnum!$A$2:$C$1020,3,FALSE)</f>
        <v>라이트닝 볼트</v>
      </c>
      <c r="F577" s="7" t="str">
        <f t="shared" si="79"/>
        <v>마법의 기운을 증폭시켜 한방향으로 강력한 벼락줄기를 내뿜어 마법공격력의 120 %로 연속타격 한다.</v>
      </c>
      <c r="G577" s="2">
        <v>6</v>
      </c>
      <c r="H577" s="2">
        <v>1.54</v>
      </c>
      <c r="I577" s="2">
        <v>10</v>
      </c>
      <c r="J577" s="2">
        <v>200</v>
      </c>
      <c r="K577" s="2">
        <v>0</v>
      </c>
      <c r="L577" s="2">
        <v>0</v>
      </c>
      <c r="M577" s="2">
        <v>0</v>
      </c>
      <c r="N577" s="2">
        <v>0</v>
      </c>
      <c r="O577" s="2">
        <v>0</v>
      </c>
      <c r="P577" s="2" t="s">
        <v>437</v>
      </c>
      <c r="Q577" s="2" t="str">
        <f t="shared" si="77"/>
        <v>SI_SA_AV_LIGHTNING_BOLT</v>
      </c>
      <c r="R577" s="2" t="b">
        <v>0</v>
      </c>
      <c r="S577" s="2" t="b">
        <v>1</v>
      </c>
      <c r="T577" s="2">
        <v>1</v>
      </c>
    </row>
    <row r="578" spans="1:21">
      <c r="A578" s="4">
        <v>1503</v>
      </c>
      <c r="B578" s="7" t="str">
        <f>VLOOKUP($A578,SkillEnum!$A$2:$C$1020,2,FALSE)</f>
        <v>SI_SA_AV_LIGHTNING_BOLT</v>
      </c>
      <c r="C578" s="7">
        <v>7</v>
      </c>
      <c r="D578" s="2" t="str">
        <f>VLOOKUP($C578,SkillEnum!$D$2:$E$10,2,FALSE)</f>
        <v>ST_SPECIAL_ACTIVE</v>
      </c>
      <c r="E578" s="7" t="str">
        <f>VLOOKUP($A578,SkillEnum!$A$2:$C$1020,3,FALSE)</f>
        <v>라이트닝 볼트</v>
      </c>
      <c r="F578" s="7" t="str">
        <f t="shared" si="79"/>
        <v>마법의 기운을 증폭시켜 한방향으로 강력한 벼락줄기를 내뿜어 마법공격력의 137 %로 연속타격 한다.</v>
      </c>
      <c r="G578" s="2">
        <v>7</v>
      </c>
      <c r="H578" s="2">
        <v>1.75</v>
      </c>
      <c r="I578" s="2">
        <v>10</v>
      </c>
      <c r="J578" s="2">
        <v>200</v>
      </c>
      <c r="K578" s="2">
        <v>0</v>
      </c>
      <c r="L578" s="2">
        <v>0</v>
      </c>
      <c r="M578" s="2">
        <v>0</v>
      </c>
      <c r="N578" s="2">
        <v>0</v>
      </c>
      <c r="O578" s="2">
        <v>0</v>
      </c>
      <c r="P578" s="2" t="s">
        <v>437</v>
      </c>
      <c r="Q578" s="2" t="str">
        <f t="shared" si="77"/>
        <v>SI_SA_AV_LIGHTNING_BOLT</v>
      </c>
      <c r="R578" s="2" t="b">
        <v>0</v>
      </c>
      <c r="S578" s="2" t="b">
        <v>1</v>
      </c>
      <c r="T578" s="2">
        <v>1</v>
      </c>
    </row>
    <row r="579" spans="1:21">
      <c r="A579" s="4">
        <v>1503</v>
      </c>
      <c r="B579" s="7" t="str">
        <f>VLOOKUP($A579,SkillEnum!$A$2:$C$1020,2,FALSE)</f>
        <v>SI_SA_AV_LIGHTNING_BOLT</v>
      </c>
      <c r="C579" s="7">
        <v>7</v>
      </c>
      <c r="D579" s="2" t="str">
        <f>VLOOKUP($C579,SkillEnum!$D$2:$E$10,2,FALSE)</f>
        <v>ST_SPECIAL_ACTIVE</v>
      </c>
      <c r="E579" s="7" t="str">
        <f>VLOOKUP($A579,SkillEnum!$A$2:$C$1020,3,FALSE)</f>
        <v>라이트닝 볼트</v>
      </c>
      <c r="F579" s="7" t="str">
        <f t="shared" si="79"/>
        <v>마법의 기운을 증폭시켜 한방향으로 강력한 벼락줄기를 내뿜어 마법공격력의 153 %로 연속타격 한다.</v>
      </c>
      <c r="G579" s="2">
        <v>8</v>
      </c>
      <c r="H579" s="2">
        <v>1.96</v>
      </c>
      <c r="I579" s="2">
        <v>10</v>
      </c>
      <c r="J579" s="2">
        <v>200</v>
      </c>
      <c r="K579" s="2">
        <v>0</v>
      </c>
      <c r="L579" s="2">
        <v>0</v>
      </c>
      <c r="M579" s="2">
        <v>0</v>
      </c>
      <c r="N579" s="2">
        <v>0</v>
      </c>
      <c r="O579" s="2">
        <v>0</v>
      </c>
      <c r="P579" s="2" t="s">
        <v>437</v>
      </c>
      <c r="Q579" s="2" t="str">
        <f t="shared" si="77"/>
        <v>SI_SA_AV_LIGHTNING_BOLT</v>
      </c>
      <c r="R579" s="2" t="b">
        <v>0</v>
      </c>
      <c r="S579" s="2" t="b">
        <v>1</v>
      </c>
      <c r="T579" s="2">
        <v>1</v>
      </c>
    </row>
    <row r="580" spans="1:21">
      <c r="A580" s="4">
        <v>1503</v>
      </c>
      <c r="B580" s="7" t="str">
        <f>VLOOKUP($A580,SkillEnum!$A$2:$C$1020,2,FALSE)</f>
        <v>SI_SA_AV_LIGHTNING_BOLT</v>
      </c>
      <c r="C580" s="7">
        <v>7</v>
      </c>
      <c r="D580" s="2" t="str">
        <f>VLOOKUP($C580,SkillEnum!$D$2:$E$10,2,FALSE)</f>
        <v>ST_SPECIAL_ACTIVE</v>
      </c>
      <c r="E580" s="7" t="str">
        <f>VLOOKUP($A580,SkillEnum!$A$2:$C$1020,3,FALSE)</f>
        <v>라이트닝 볼트</v>
      </c>
      <c r="F580" s="7" t="str">
        <f t="shared" si="79"/>
        <v>마법의 기운을 증폭시켜 한방향으로 강력한 벼락줄기를 내뿜어 마법공격력의 175 %로 연속타격 한다.</v>
      </c>
      <c r="G580" s="2">
        <v>9</v>
      </c>
      <c r="H580" s="2">
        <v>2.2400000000000002</v>
      </c>
      <c r="I580" s="2">
        <v>10</v>
      </c>
      <c r="J580" s="2">
        <v>200</v>
      </c>
      <c r="K580" s="2">
        <v>0</v>
      </c>
      <c r="L580" s="2">
        <v>0</v>
      </c>
      <c r="M580" s="2">
        <v>0</v>
      </c>
      <c r="N580" s="2">
        <v>0</v>
      </c>
      <c r="O580" s="2">
        <v>0</v>
      </c>
      <c r="P580" s="2" t="s">
        <v>437</v>
      </c>
      <c r="Q580" s="2" t="str">
        <f t="shared" si="77"/>
        <v>SI_SA_AV_LIGHTNING_BOLT</v>
      </c>
      <c r="R580" s="2" t="b">
        <v>0</v>
      </c>
      <c r="S580" s="2" t="b">
        <v>1</v>
      </c>
      <c r="T580" s="2">
        <v>1</v>
      </c>
    </row>
    <row r="581" spans="1:21" s="5" customFormat="1">
      <c r="A581" s="6">
        <v>1503</v>
      </c>
      <c r="B581" s="8" t="str">
        <f>VLOOKUP($A581,SkillEnum!$A$2:$C$1020,2,FALSE)</f>
        <v>SI_SA_AV_LIGHTNING_BOLT</v>
      </c>
      <c r="C581" s="8">
        <v>7</v>
      </c>
      <c r="D581" s="5" t="str">
        <f>VLOOKUP($C581,SkillEnum!$D$2:$E$10,2,FALSE)</f>
        <v>ST_SPECIAL_ACTIVE</v>
      </c>
      <c r="E581" s="8" t="str">
        <f>VLOOKUP($A581,SkillEnum!$A$2:$C$1020,3,FALSE)</f>
        <v>라이트닝 볼트</v>
      </c>
      <c r="F581" s="8" t="str">
        <f t="shared" si="79"/>
        <v>마법의 기운을 증폭시켜 한방향으로 강력한 벼락줄기를 내뿜어 마법공격력의 197 %로 연속타격 한다.</v>
      </c>
      <c r="G581" s="5">
        <v>10</v>
      </c>
      <c r="H581" s="5">
        <v>2.52</v>
      </c>
      <c r="I581" s="5">
        <v>10</v>
      </c>
      <c r="J581" s="5">
        <v>200</v>
      </c>
      <c r="K581" s="5">
        <v>0</v>
      </c>
      <c r="L581" s="5">
        <v>0</v>
      </c>
      <c r="M581" s="5">
        <v>0</v>
      </c>
      <c r="N581" s="5">
        <v>0</v>
      </c>
      <c r="O581" s="5">
        <v>0</v>
      </c>
      <c r="P581" s="2" t="s">
        <v>437</v>
      </c>
      <c r="Q581" s="2" t="str">
        <f t="shared" si="77"/>
        <v>SI_SA_AV_LIGHTNING_BOLT</v>
      </c>
      <c r="R581" s="5" t="b">
        <v>0</v>
      </c>
      <c r="S581" s="2" t="b">
        <v>1</v>
      </c>
      <c r="T581" s="2">
        <v>1</v>
      </c>
      <c r="U581" s="2"/>
    </row>
    <row r="582" spans="1:21" s="10" customFormat="1">
      <c r="A582" s="9">
        <v>1504</v>
      </c>
      <c r="B582" s="11" t="str">
        <f>VLOOKUP($A582,SkillEnum!$A$2:$C$1020,2,FALSE)</f>
        <v>SI_SA_AV_GUST_STORM</v>
      </c>
      <c r="C582" s="11">
        <v>7</v>
      </c>
      <c r="D582" s="10" t="str">
        <f>VLOOKUP($C582,SkillEnum!$D$2:$E$10,2,FALSE)</f>
        <v>ST_SPECIAL_ACTIVE</v>
      </c>
      <c r="E582" s="11" t="str">
        <f>VLOOKUP($A582,SkillEnum!$A$2:$C$1020,3,FALSE)</f>
        <v>거스트 스톰</v>
      </c>
      <c r="F582" s="11" t="str">
        <f>"시전자 주위에 거스트 스크류 보다 더욱 범위가 넓고 강한 위력의 불기둥을 생성해 거리에 따라 마법공격력의 "&amp;ROUND(1.2*1.2*H582*100,0)&amp;"~"&amp;ROUND(1.4*1.2*H582*100,0)&amp;" % 로 주위 적들을 연속타격 한다."</f>
        <v>시전자 주위에 거스트 스크류 보다 더욱 범위가 넓고 강한 위력의 불기둥을 생성해 거리에 따라 마법공격력의 101~118 % 로 주위 적들을 연속타격 한다.</v>
      </c>
      <c r="G582" s="10">
        <v>1</v>
      </c>
      <c r="H582" s="2">
        <v>0.7</v>
      </c>
      <c r="I582" s="2">
        <v>30</v>
      </c>
      <c r="J582" s="2">
        <v>300</v>
      </c>
      <c r="K582" s="2">
        <v>0</v>
      </c>
      <c r="L582" s="2">
        <v>0</v>
      </c>
      <c r="M582" s="2">
        <v>0</v>
      </c>
      <c r="N582" s="2">
        <v>0</v>
      </c>
      <c r="O582" s="2">
        <v>0</v>
      </c>
      <c r="P582" s="2" t="s">
        <v>437</v>
      </c>
      <c r="Q582" s="2" t="str">
        <f t="shared" si="77"/>
        <v>SI_SA_AV_GUST_STORM</v>
      </c>
      <c r="R582" s="2" t="b">
        <v>0</v>
      </c>
      <c r="S582" s="2" t="b">
        <v>1</v>
      </c>
      <c r="T582" s="2">
        <v>1</v>
      </c>
      <c r="U582" s="2"/>
    </row>
    <row r="583" spans="1:21">
      <c r="A583" s="4">
        <v>1504</v>
      </c>
      <c r="B583" s="7" t="str">
        <f>VLOOKUP($A583,SkillEnum!$A$2:$C$1020,2,FALSE)</f>
        <v>SI_SA_AV_GUST_STORM</v>
      </c>
      <c r="C583" s="7">
        <v>7</v>
      </c>
      <c r="D583" s="2" t="str">
        <f>VLOOKUP($C583,SkillEnum!$D$2:$E$10,2,FALSE)</f>
        <v>ST_SPECIAL_ACTIVE</v>
      </c>
      <c r="E583" s="7" t="str">
        <f>VLOOKUP($A583,SkillEnum!$A$2:$C$1020,3,FALSE)</f>
        <v>거스트 스톰</v>
      </c>
      <c r="F583" s="7" t="str">
        <f t="shared" ref="F583:F591" si="80">"시전자 주위에 거스트 스크류 보다 더욱 범위가 넓고 강한 위력의 불기둥을 생성해 거리에 따라 마법공격력의 "&amp;ROUND(1.2*1.2*H583*100,0)&amp;"~"&amp;ROUND(1.4*1.2*H583*100,0)&amp;" % 로 주위 적들을 연속타격 한다."</f>
        <v>시전자 주위에 거스트 스크류 보다 더욱 범위가 넓고 강한 위력의 불기둥을 생성해 거리에 따라 마법공격력의 121~141 % 로 주위 적들을 연속타격 한다.</v>
      </c>
      <c r="G583" s="2">
        <v>2</v>
      </c>
      <c r="H583" s="2">
        <v>0.84</v>
      </c>
      <c r="I583" s="2">
        <v>30</v>
      </c>
      <c r="J583" s="2">
        <v>300</v>
      </c>
      <c r="K583" s="2">
        <v>0</v>
      </c>
      <c r="L583" s="2">
        <v>0</v>
      </c>
      <c r="M583" s="2">
        <v>0</v>
      </c>
      <c r="N583" s="2">
        <v>0</v>
      </c>
      <c r="O583" s="2">
        <v>0</v>
      </c>
      <c r="P583" s="2" t="s">
        <v>437</v>
      </c>
      <c r="Q583" s="2" t="str">
        <f t="shared" si="77"/>
        <v>SI_SA_AV_GUST_STORM</v>
      </c>
      <c r="R583" s="2" t="b">
        <v>0</v>
      </c>
      <c r="S583" s="2" t="b">
        <v>1</v>
      </c>
      <c r="T583" s="2">
        <v>1</v>
      </c>
    </row>
    <row r="584" spans="1:21">
      <c r="A584" s="4">
        <v>1504</v>
      </c>
      <c r="B584" s="7" t="str">
        <f>VLOOKUP($A584,SkillEnum!$A$2:$C$1020,2,FALSE)</f>
        <v>SI_SA_AV_GUST_STORM</v>
      </c>
      <c r="C584" s="7">
        <v>7</v>
      </c>
      <c r="D584" s="2" t="str">
        <f>VLOOKUP($C584,SkillEnum!$D$2:$E$10,2,FALSE)</f>
        <v>ST_SPECIAL_ACTIVE</v>
      </c>
      <c r="E584" s="7" t="str">
        <f>VLOOKUP($A584,SkillEnum!$A$2:$C$1020,3,FALSE)</f>
        <v>거스트 스톰</v>
      </c>
      <c r="F584" s="7" t="str">
        <f t="shared" si="80"/>
        <v>시전자 주위에 거스트 스크류 보다 더욱 범위가 넓고 강한 위력의 불기둥을 생성해 거리에 따라 마법공격력의 141~165 % 로 주위 적들을 연속타격 한다.</v>
      </c>
      <c r="G584" s="2">
        <v>3</v>
      </c>
      <c r="H584" s="2">
        <v>0.98</v>
      </c>
      <c r="I584" s="2">
        <v>30</v>
      </c>
      <c r="J584" s="2">
        <v>300</v>
      </c>
      <c r="K584" s="2">
        <v>0</v>
      </c>
      <c r="L584" s="2">
        <v>0</v>
      </c>
      <c r="M584" s="2">
        <v>0</v>
      </c>
      <c r="N584" s="2">
        <v>0</v>
      </c>
      <c r="O584" s="2">
        <v>0</v>
      </c>
      <c r="P584" s="2" t="s">
        <v>437</v>
      </c>
      <c r="Q584" s="2" t="str">
        <f t="shared" si="77"/>
        <v>SI_SA_AV_GUST_STORM</v>
      </c>
      <c r="R584" s="2" t="b">
        <v>0</v>
      </c>
      <c r="S584" s="2" t="b">
        <v>1</v>
      </c>
      <c r="T584" s="2">
        <v>1</v>
      </c>
    </row>
    <row r="585" spans="1:21">
      <c r="A585" s="4">
        <v>1504</v>
      </c>
      <c r="B585" s="7" t="str">
        <f>VLOOKUP($A585,SkillEnum!$A$2:$C$1020,2,FALSE)</f>
        <v>SI_SA_AV_GUST_STORM</v>
      </c>
      <c r="C585" s="7">
        <v>7</v>
      </c>
      <c r="D585" s="2" t="str">
        <f>VLOOKUP($C585,SkillEnum!$D$2:$E$10,2,FALSE)</f>
        <v>ST_SPECIAL_ACTIVE</v>
      </c>
      <c r="E585" s="7" t="str">
        <f>VLOOKUP($A585,SkillEnum!$A$2:$C$1020,3,FALSE)</f>
        <v>거스트 스톰</v>
      </c>
      <c r="F585" s="7" t="str">
        <f t="shared" si="80"/>
        <v>시전자 주위에 거스트 스크류 보다 더욱 범위가 넓고 강한 위력의 불기둥을 생성해 거리에 따라 마법공격력의 161~188 % 로 주위 적들을 연속타격 한다.</v>
      </c>
      <c r="G585" s="2">
        <v>4</v>
      </c>
      <c r="H585" s="2">
        <v>1.1200000000000001</v>
      </c>
      <c r="I585" s="2">
        <v>30</v>
      </c>
      <c r="J585" s="2">
        <v>300</v>
      </c>
      <c r="K585" s="2">
        <v>0</v>
      </c>
      <c r="L585" s="2">
        <v>0</v>
      </c>
      <c r="M585" s="2">
        <v>0</v>
      </c>
      <c r="N585" s="2">
        <v>0</v>
      </c>
      <c r="O585" s="2">
        <v>0</v>
      </c>
      <c r="P585" s="2" t="s">
        <v>437</v>
      </c>
      <c r="Q585" s="2" t="str">
        <f t="shared" si="77"/>
        <v>SI_SA_AV_GUST_STORM</v>
      </c>
      <c r="R585" s="2" t="b">
        <v>0</v>
      </c>
      <c r="S585" s="2" t="b">
        <v>1</v>
      </c>
      <c r="T585" s="2">
        <v>1</v>
      </c>
    </row>
    <row r="586" spans="1:21">
      <c r="A586" s="4">
        <v>1504</v>
      </c>
      <c r="B586" s="7" t="str">
        <f>VLOOKUP($A586,SkillEnum!$A$2:$C$1020,2,FALSE)</f>
        <v>SI_SA_AV_GUST_STORM</v>
      </c>
      <c r="C586" s="7">
        <v>7</v>
      </c>
      <c r="D586" s="2" t="str">
        <f>VLOOKUP($C586,SkillEnum!$D$2:$E$10,2,FALSE)</f>
        <v>ST_SPECIAL_ACTIVE</v>
      </c>
      <c r="E586" s="7" t="str">
        <f>VLOOKUP($A586,SkillEnum!$A$2:$C$1020,3,FALSE)</f>
        <v>거스트 스톰</v>
      </c>
      <c r="F586" s="7" t="str">
        <f t="shared" si="80"/>
        <v>시전자 주위에 거스트 스크류 보다 더욱 범위가 넓고 강한 위력의 불기둥을 생성해 거리에 따라 마법공격력의 192~223 % 로 주위 적들을 연속타격 한다.</v>
      </c>
      <c r="G586" s="2">
        <v>5</v>
      </c>
      <c r="H586" s="2">
        <v>1.33</v>
      </c>
      <c r="I586" s="2">
        <v>30</v>
      </c>
      <c r="J586" s="2">
        <v>300</v>
      </c>
      <c r="K586" s="2">
        <v>0</v>
      </c>
      <c r="L586" s="2">
        <v>0</v>
      </c>
      <c r="M586" s="2">
        <v>0</v>
      </c>
      <c r="N586" s="2">
        <v>0</v>
      </c>
      <c r="O586" s="2">
        <v>0</v>
      </c>
      <c r="P586" s="2" t="s">
        <v>437</v>
      </c>
      <c r="Q586" s="2" t="str">
        <f t="shared" si="77"/>
        <v>SI_SA_AV_GUST_STORM</v>
      </c>
      <c r="R586" s="2" t="b">
        <v>0</v>
      </c>
      <c r="S586" s="2" t="b">
        <v>1</v>
      </c>
      <c r="T586" s="2">
        <v>1</v>
      </c>
    </row>
    <row r="587" spans="1:21">
      <c r="A587" s="4">
        <v>1504</v>
      </c>
      <c r="B587" s="7" t="str">
        <f>VLOOKUP($A587,SkillEnum!$A$2:$C$1020,2,FALSE)</f>
        <v>SI_SA_AV_GUST_STORM</v>
      </c>
      <c r="C587" s="7">
        <v>7</v>
      </c>
      <c r="D587" s="2" t="str">
        <f>VLOOKUP($C587,SkillEnum!$D$2:$E$10,2,FALSE)</f>
        <v>ST_SPECIAL_ACTIVE</v>
      </c>
      <c r="E587" s="7" t="str">
        <f>VLOOKUP($A587,SkillEnum!$A$2:$C$1020,3,FALSE)</f>
        <v>거스트 스톰</v>
      </c>
      <c r="F587" s="7" t="str">
        <f t="shared" si="80"/>
        <v>시전자 주위에 거스트 스크류 보다 더욱 범위가 넓고 강한 위력의 불기둥을 생성해 거리에 따라 마법공격력의 222~259 % 로 주위 적들을 연속타격 한다.</v>
      </c>
      <c r="G587" s="2">
        <v>6</v>
      </c>
      <c r="H587" s="2">
        <v>1.54</v>
      </c>
      <c r="I587" s="2">
        <v>30</v>
      </c>
      <c r="J587" s="2">
        <v>300</v>
      </c>
      <c r="K587" s="2">
        <v>0</v>
      </c>
      <c r="L587" s="2">
        <v>0</v>
      </c>
      <c r="M587" s="2">
        <v>0</v>
      </c>
      <c r="N587" s="2">
        <v>0</v>
      </c>
      <c r="O587" s="2">
        <v>0</v>
      </c>
      <c r="P587" s="2" t="s">
        <v>437</v>
      </c>
      <c r="Q587" s="2" t="str">
        <f t="shared" si="77"/>
        <v>SI_SA_AV_GUST_STORM</v>
      </c>
      <c r="R587" s="2" t="b">
        <v>0</v>
      </c>
      <c r="S587" s="2" t="b">
        <v>1</v>
      </c>
      <c r="T587" s="2">
        <v>1</v>
      </c>
    </row>
    <row r="588" spans="1:21">
      <c r="A588" s="4">
        <v>1504</v>
      </c>
      <c r="B588" s="7" t="str">
        <f>VLOOKUP($A588,SkillEnum!$A$2:$C$1020,2,FALSE)</f>
        <v>SI_SA_AV_GUST_STORM</v>
      </c>
      <c r="C588" s="7">
        <v>7</v>
      </c>
      <c r="D588" s="2" t="str">
        <f>VLOOKUP($C588,SkillEnum!$D$2:$E$10,2,FALSE)</f>
        <v>ST_SPECIAL_ACTIVE</v>
      </c>
      <c r="E588" s="7" t="str">
        <f>VLOOKUP($A588,SkillEnum!$A$2:$C$1020,3,FALSE)</f>
        <v>거스트 스톰</v>
      </c>
      <c r="F588" s="7" t="str">
        <f t="shared" si="80"/>
        <v>시전자 주위에 거스트 스크류 보다 더욱 범위가 넓고 강한 위력의 불기둥을 생성해 거리에 따라 마법공격력의 252~294 % 로 주위 적들을 연속타격 한다.</v>
      </c>
      <c r="G588" s="2">
        <v>7</v>
      </c>
      <c r="H588" s="2">
        <v>1.75</v>
      </c>
      <c r="I588" s="2">
        <v>30</v>
      </c>
      <c r="J588" s="2">
        <v>300</v>
      </c>
      <c r="K588" s="2">
        <v>0</v>
      </c>
      <c r="L588" s="2">
        <v>0</v>
      </c>
      <c r="M588" s="2">
        <v>0</v>
      </c>
      <c r="N588" s="2">
        <v>0</v>
      </c>
      <c r="O588" s="2">
        <v>0</v>
      </c>
      <c r="P588" s="2" t="s">
        <v>437</v>
      </c>
      <c r="Q588" s="2" t="str">
        <f t="shared" si="77"/>
        <v>SI_SA_AV_GUST_STORM</v>
      </c>
      <c r="R588" s="2" t="b">
        <v>0</v>
      </c>
      <c r="S588" s="2" t="b">
        <v>1</v>
      </c>
      <c r="T588" s="2">
        <v>1</v>
      </c>
    </row>
    <row r="589" spans="1:21">
      <c r="A589" s="4">
        <v>1504</v>
      </c>
      <c r="B589" s="7" t="str">
        <f>VLOOKUP($A589,SkillEnum!$A$2:$C$1020,2,FALSE)</f>
        <v>SI_SA_AV_GUST_STORM</v>
      </c>
      <c r="C589" s="7">
        <v>7</v>
      </c>
      <c r="D589" s="2" t="str">
        <f>VLOOKUP($C589,SkillEnum!$D$2:$E$10,2,FALSE)</f>
        <v>ST_SPECIAL_ACTIVE</v>
      </c>
      <c r="E589" s="7" t="str">
        <f>VLOOKUP($A589,SkillEnum!$A$2:$C$1020,3,FALSE)</f>
        <v>거스트 스톰</v>
      </c>
      <c r="F589" s="7" t="str">
        <f t="shared" si="80"/>
        <v>시전자 주위에 거스트 스크류 보다 더욱 범위가 넓고 강한 위력의 불기둥을 생성해 거리에 따라 마법공격력의 282~329 % 로 주위 적들을 연속타격 한다.</v>
      </c>
      <c r="G589" s="2">
        <v>8</v>
      </c>
      <c r="H589" s="2">
        <v>1.96</v>
      </c>
      <c r="I589" s="2">
        <v>30</v>
      </c>
      <c r="J589" s="2">
        <v>300</v>
      </c>
      <c r="K589" s="2">
        <v>0</v>
      </c>
      <c r="L589" s="2">
        <v>0</v>
      </c>
      <c r="M589" s="2">
        <v>0</v>
      </c>
      <c r="N589" s="2">
        <v>0</v>
      </c>
      <c r="O589" s="2">
        <v>0</v>
      </c>
      <c r="P589" s="2" t="s">
        <v>437</v>
      </c>
      <c r="Q589" s="2" t="str">
        <f t="shared" si="77"/>
        <v>SI_SA_AV_GUST_STORM</v>
      </c>
      <c r="R589" s="2" t="b">
        <v>0</v>
      </c>
      <c r="S589" s="2" t="b">
        <v>1</v>
      </c>
      <c r="T589" s="2">
        <v>1</v>
      </c>
    </row>
    <row r="590" spans="1:21">
      <c r="A590" s="4">
        <v>1504</v>
      </c>
      <c r="B590" s="7" t="str">
        <f>VLOOKUP($A590,SkillEnum!$A$2:$C$1020,2,FALSE)</f>
        <v>SI_SA_AV_GUST_STORM</v>
      </c>
      <c r="C590" s="7">
        <v>7</v>
      </c>
      <c r="D590" s="2" t="str">
        <f>VLOOKUP($C590,SkillEnum!$D$2:$E$10,2,FALSE)</f>
        <v>ST_SPECIAL_ACTIVE</v>
      </c>
      <c r="E590" s="7" t="str">
        <f>VLOOKUP($A590,SkillEnum!$A$2:$C$1020,3,FALSE)</f>
        <v>거스트 스톰</v>
      </c>
      <c r="F590" s="7" t="str">
        <f t="shared" si="80"/>
        <v>시전자 주위에 거스트 스크류 보다 더욱 범위가 넓고 강한 위력의 불기둥을 생성해 거리에 따라 마법공격력의 323~376 % 로 주위 적들을 연속타격 한다.</v>
      </c>
      <c r="G590" s="2">
        <v>9</v>
      </c>
      <c r="H590" s="2">
        <v>2.2400000000000002</v>
      </c>
      <c r="I590" s="2">
        <v>30</v>
      </c>
      <c r="J590" s="2">
        <v>300</v>
      </c>
      <c r="K590" s="2">
        <v>0</v>
      </c>
      <c r="L590" s="2">
        <v>0</v>
      </c>
      <c r="M590" s="2">
        <v>0</v>
      </c>
      <c r="N590" s="2">
        <v>0</v>
      </c>
      <c r="O590" s="2">
        <v>0</v>
      </c>
      <c r="P590" s="2" t="s">
        <v>437</v>
      </c>
      <c r="Q590" s="2" t="str">
        <f t="shared" si="77"/>
        <v>SI_SA_AV_GUST_STORM</v>
      </c>
      <c r="R590" s="2" t="b">
        <v>0</v>
      </c>
      <c r="S590" s="2" t="b">
        <v>1</v>
      </c>
      <c r="T590" s="2">
        <v>1</v>
      </c>
    </row>
    <row r="591" spans="1:21" s="5" customFormat="1">
      <c r="A591" s="6">
        <v>1504</v>
      </c>
      <c r="B591" s="8" t="str">
        <f>VLOOKUP($A591,SkillEnum!$A$2:$C$1020,2,FALSE)</f>
        <v>SI_SA_AV_GUST_STORM</v>
      </c>
      <c r="C591" s="8">
        <v>7</v>
      </c>
      <c r="D591" s="5" t="str">
        <f>VLOOKUP($C591,SkillEnum!$D$2:$E$10,2,FALSE)</f>
        <v>ST_SPECIAL_ACTIVE</v>
      </c>
      <c r="E591" s="8" t="str">
        <f>VLOOKUP($A591,SkillEnum!$A$2:$C$1020,3,FALSE)</f>
        <v>거스트 스톰</v>
      </c>
      <c r="F591" s="8" t="str">
        <f t="shared" si="80"/>
        <v>시전자 주위에 거스트 스크류 보다 더욱 범위가 넓고 강한 위력의 불기둥을 생성해 거리에 따라 마법공격력의 363~423 % 로 주위 적들을 연속타격 한다.</v>
      </c>
      <c r="G591" s="5">
        <v>10</v>
      </c>
      <c r="H591" s="5">
        <v>2.52</v>
      </c>
      <c r="I591" s="5">
        <v>30</v>
      </c>
      <c r="J591" s="5">
        <v>300</v>
      </c>
      <c r="K591" s="5">
        <v>0</v>
      </c>
      <c r="L591" s="5">
        <v>0</v>
      </c>
      <c r="M591" s="5">
        <v>0</v>
      </c>
      <c r="N591" s="5">
        <v>0</v>
      </c>
      <c r="O591" s="5">
        <v>0</v>
      </c>
      <c r="P591" s="2" t="s">
        <v>437</v>
      </c>
      <c r="Q591" s="2" t="str">
        <f t="shared" si="77"/>
        <v>SI_SA_AV_GUST_STORM</v>
      </c>
      <c r="R591" s="5" t="b">
        <v>0</v>
      </c>
      <c r="S591" s="2" t="b">
        <v>1</v>
      </c>
      <c r="T591" s="2">
        <v>1</v>
      </c>
      <c r="U591" s="2"/>
    </row>
    <row r="592" spans="1:21" s="10" customFormat="1">
      <c r="A592" s="9">
        <v>1505</v>
      </c>
      <c r="B592" s="11" t="str">
        <f>VLOOKUP($A592,SkillEnum!$A$2:$C$1020,2,FALSE)</f>
        <v>SI_SA_AV_METEO_CALL</v>
      </c>
      <c r="C592" s="11">
        <v>7</v>
      </c>
      <c r="D592" s="10" t="str">
        <f>VLOOKUP($C592,SkillEnum!$D$2:$E$10,2,FALSE)</f>
        <v>ST_SPECIAL_ACTIVE</v>
      </c>
      <c r="E592" s="11" t="str">
        <f>VLOOKUP($A592,SkillEnum!$A$2:$C$1020,3,FALSE)</f>
        <v>메테오 콜</v>
      </c>
      <c r="F592" s="11" t="str">
        <f>"작은 운석 덩어리를 소환하여 전방으로 던져 마법공격력의 "&amp;ROUND(1.2*H592*100,0)&amp;" % 로 연속타격을 주고, 넓은 범위로 폭발시켜 마법공격력의 "&amp;ROUND(2.3*H592*100,0)&amp;" % 로 연속타격을 준다."</f>
        <v>작은 운석 덩어리를 소환하여 전방으로 던져 마법공격력의 84 % 로 연속타격을 주고, 넓은 범위로 폭발시켜 마법공격력의 161 % 로 연속타격을 준다.</v>
      </c>
      <c r="G592" s="10">
        <v>1</v>
      </c>
      <c r="H592" s="2">
        <v>0.7</v>
      </c>
      <c r="I592" s="2">
        <v>25</v>
      </c>
      <c r="J592" s="2">
        <v>270</v>
      </c>
      <c r="K592" s="2">
        <v>0</v>
      </c>
      <c r="L592" s="2">
        <v>0</v>
      </c>
      <c r="M592" s="2">
        <v>0</v>
      </c>
      <c r="N592" s="2">
        <v>0</v>
      </c>
      <c r="O592" s="2">
        <v>0</v>
      </c>
      <c r="P592" s="2" t="s">
        <v>437</v>
      </c>
      <c r="Q592" s="2" t="str">
        <f t="shared" si="77"/>
        <v>SI_SA_AV_METEO_CALL</v>
      </c>
      <c r="R592" s="2" t="b">
        <v>0</v>
      </c>
      <c r="S592" s="2" t="b">
        <v>1</v>
      </c>
      <c r="T592" s="2">
        <v>1</v>
      </c>
      <c r="U592" s="2"/>
    </row>
    <row r="593" spans="1:21">
      <c r="A593" s="4">
        <v>1505</v>
      </c>
      <c r="B593" s="7" t="str">
        <f>VLOOKUP($A593,SkillEnum!$A$2:$C$1020,2,FALSE)</f>
        <v>SI_SA_AV_METEO_CALL</v>
      </c>
      <c r="C593" s="7">
        <v>7</v>
      </c>
      <c r="D593" s="2" t="str">
        <f>VLOOKUP($C593,SkillEnum!$D$2:$E$10,2,FALSE)</f>
        <v>ST_SPECIAL_ACTIVE</v>
      </c>
      <c r="E593" s="7" t="str">
        <f>VLOOKUP($A593,SkillEnum!$A$2:$C$1020,3,FALSE)</f>
        <v>메테오 콜</v>
      </c>
      <c r="F593" s="7" t="str">
        <f t="shared" ref="F593:F601" si="81">"작은 운석 덩어리를 소환하여 전방으로 던져 마법공격력의 "&amp;ROUND(1.2*H593*100,0)&amp;" % 로 연속타격을 주고, 넓은 범위로 폭발시켜 마법공격력의 "&amp;ROUND(2.3*H593*100,0)&amp;" % 로 연속타격을 준다."</f>
        <v>작은 운석 덩어리를 소환하여 전방으로 던져 마법공격력의 101 % 로 연속타격을 주고, 넓은 범위로 폭발시켜 마법공격력의 193 % 로 연속타격을 준다.</v>
      </c>
      <c r="G593" s="2">
        <v>2</v>
      </c>
      <c r="H593" s="2">
        <v>0.84</v>
      </c>
      <c r="I593" s="2">
        <v>25</v>
      </c>
      <c r="J593" s="2">
        <v>270</v>
      </c>
      <c r="K593" s="2">
        <v>0</v>
      </c>
      <c r="L593" s="2">
        <v>0</v>
      </c>
      <c r="M593" s="2">
        <v>0</v>
      </c>
      <c r="N593" s="2">
        <v>0</v>
      </c>
      <c r="O593" s="2">
        <v>0</v>
      </c>
      <c r="P593" s="2" t="s">
        <v>437</v>
      </c>
      <c r="Q593" s="2" t="str">
        <f t="shared" si="77"/>
        <v>SI_SA_AV_METEO_CALL</v>
      </c>
      <c r="R593" s="2" t="b">
        <v>0</v>
      </c>
      <c r="S593" s="2" t="b">
        <v>1</v>
      </c>
      <c r="T593" s="2">
        <v>1</v>
      </c>
    </row>
    <row r="594" spans="1:21">
      <c r="A594" s="4">
        <v>1505</v>
      </c>
      <c r="B594" s="7" t="str">
        <f>VLOOKUP($A594,SkillEnum!$A$2:$C$1020,2,FALSE)</f>
        <v>SI_SA_AV_METEO_CALL</v>
      </c>
      <c r="C594" s="7">
        <v>7</v>
      </c>
      <c r="D594" s="2" t="str">
        <f>VLOOKUP($C594,SkillEnum!$D$2:$E$10,2,FALSE)</f>
        <v>ST_SPECIAL_ACTIVE</v>
      </c>
      <c r="E594" s="7" t="str">
        <f>VLOOKUP($A594,SkillEnum!$A$2:$C$1020,3,FALSE)</f>
        <v>메테오 콜</v>
      </c>
      <c r="F594" s="7" t="str">
        <f t="shared" si="81"/>
        <v>작은 운석 덩어리를 소환하여 전방으로 던져 마법공격력의 118 % 로 연속타격을 주고, 넓은 범위로 폭발시켜 마법공격력의 225 % 로 연속타격을 준다.</v>
      </c>
      <c r="G594" s="2">
        <v>3</v>
      </c>
      <c r="H594" s="2">
        <v>0.98</v>
      </c>
      <c r="I594" s="2">
        <v>25</v>
      </c>
      <c r="J594" s="2">
        <v>270</v>
      </c>
      <c r="K594" s="2">
        <v>0</v>
      </c>
      <c r="L594" s="2">
        <v>0</v>
      </c>
      <c r="M594" s="2">
        <v>0</v>
      </c>
      <c r="N594" s="2">
        <v>0</v>
      </c>
      <c r="O594" s="2">
        <v>0</v>
      </c>
      <c r="P594" s="2" t="s">
        <v>437</v>
      </c>
      <c r="Q594" s="2" t="str">
        <f t="shared" si="77"/>
        <v>SI_SA_AV_METEO_CALL</v>
      </c>
      <c r="R594" s="2" t="b">
        <v>0</v>
      </c>
      <c r="S594" s="2" t="b">
        <v>1</v>
      </c>
      <c r="T594" s="2">
        <v>1</v>
      </c>
    </row>
    <row r="595" spans="1:21">
      <c r="A595" s="4">
        <v>1505</v>
      </c>
      <c r="B595" s="7" t="str">
        <f>VLOOKUP($A595,SkillEnum!$A$2:$C$1020,2,FALSE)</f>
        <v>SI_SA_AV_METEO_CALL</v>
      </c>
      <c r="C595" s="7">
        <v>7</v>
      </c>
      <c r="D595" s="2" t="str">
        <f>VLOOKUP($C595,SkillEnum!$D$2:$E$10,2,FALSE)</f>
        <v>ST_SPECIAL_ACTIVE</v>
      </c>
      <c r="E595" s="7" t="str">
        <f>VLOOKUP($A595,SkillEnum!$A$2:$C$1020,3,FALSE)</f>
        <v>메테오 콜</v>
      </c>
      <c r="F595" s="7" t="str">
        <f t="shared" si="81"/>
        <v>작은 운석 덩어리를 소환하여 전방으로 던져 마법공격력의 134 % 로 연속타격을 주고, 넓은 범위로 폭발시켜 마법공격력의 258 % 로 연속타격을 준다.</v>
      </c>
      <c r="G595" s="2">
        <v>4</v>
      </c>
      <c r="H595" s="2">
        <v>1.1200000000000001</v>
      </c>
      <c r="I595" s="2">
        <v>25</v>
      </c>
      <c r="J595" s="2">
        <v>270</v>
      </c>
      <c r="K595" s="2">
        <v>0</v>
      </c>
      <c r="L595" s="2">
        <v>0</v>
      </c>
      <c r="M595" s="2">
        <v>0</v>
      </c>
      <c r="N595" s="2">
        <v>0</v>
      </c>
      <c r="O595" s="2">
        <v>0</v>
      </c>
      <c r="P595" s="2" t="s">
        <v>437</v>
      </c>
      <c r="Q595" s="2" t="str">
        <f t="shared" si="77"/>
        <v>SI_SA_AV_METEO_CALL</v>
      </c>
      <c r="R595" s="2" t="b">
        <v>0</v>
      </c>
      <c r="S595" s="2" t="b">
        <v>1</v>
      </c>
      <c r="T595" s="2">
        <v>1</v>
      </c>
    </row>
    <row r="596" spans="1:21">
      <c r="A596" s="4">
        <v>1505</v>
      </c>
      <c r="B596" s="7" t="str">
        <f>VLOOKUP($A596,SkillEnum!$A$2:$C$1020,2,FALSE)</f>
        <v>SI_SA_AV_METEO_CALL</v>
      </c>
      <c r="C596" s="7">
        <v>7</v>
      </c>
      <c r="D596" s="2" t="str">
        <f>VLOOKUP($C596,SkillEnum!$D$2:$E$10,2,FALSE)</f>
        <v>ST_SPECIAL_ACTIVE</v>
      </c>
      <c r="E596" s="7" t="str">
        <f>VLOOKUP($A596,SkillEnum!$A$2:$C$1020,3,FALSE)</f>
        <v>메테오 콜</v>
      </c>
      <c r="F596" s="7" t="str">
        <f t="shared" si="81"/>
        <v>작은 운석 덩어리를 소환하여 전방으로 던져 마법공격력의 160 % 로 연속타격을 주고, 넓은 범위로 폭발시켜 마법공격력의 306 % 로 연속타격을 준다.</v>
      </c>
      <c r="G596" s="2">
        <v>5</v>
      </c>
      <c r="H596" s="2">
        <v>1.33</v>
      </c>
      <c r="I596" s="2">
        <v>25</v>
      </c>
      <c r="J596" s="2">
        <v>270</v>
      </c>
      <c r="K596" s="2">
        <v>0</v>
      </c>
      <c r="L596" s="2">
        <v>0</v>
      </c>
      <c r="M596" s="2">
        <v>0</v>
      </c>
      <c r="N596" s="2">
        <v>0</v>
      </c>
      <c r="O596" s="2">
        <v>0</v>
      </c>
      <c r="P596" s="2" t="s">
        <v>437</v>
      </c>
      <c r="Q596" s="2" t="str">
        <f t="shared" si="77"/>
        <v>SI_SA_AV_METEO_CALL</v>
      </c>
      <c r="R596" s="2" t="b">
        <v>0</v>
      </c>
      <c r="S596" s="2" t="b">
        <v>1</v>
      </c>
      <c r="T596" s="2">
        <v>1</v>
      </c>
    </row>
    <row r="597" spans="1:21">
      <c r="A597" s="4">
        <v>1505</v>
      </c>
      <c r="B597" s="7" t="str">
        <f>VLOOKUP($A597,SkillEnum!$A$2:$C$1020,2,FALSE)</f>
        <v>SI_SA_AV_METEO_CALL</v>
      </c>
      <c r="C597" s="7">
        <v>7</v>
      </c>
      <c r="D597" s="2" t="str">
        <f>VLOOKUP($C597,SkillEnum!$D$2:$E$10,2,FALSE)</f>
        <v>ST_SPECIAL_ACTIVE</v>
      </c>
      <c r="E597" s="7" t="str">
        <f>VLOOKUP($A597,SkillEnum!$A$2:$C$1020,3,FALSE)</f>
        <v>메테오 콜</v>
      </c>
      <c r="F597" s="7" t="str">
        <f t="shared" si="81"/>
        <v>작은 운석 덩어리를 소환하여 전방으로 던져 마법공격력의 185 % 로 연속타격을 주고, 넓은 범위로 폭발시켜 마법공격력의 354 % 로 연속타격을 준다.</v>
      </c>
      <c r="G597" s="2">
        <v>6</v>
      </c>
      <c r="H597" s="2">
        <v>1.54</v>
      </c>
      <c r="I597" s="2">
        <v>25</v>
      </c>
      <c r="J597" s="2">
        <v>270</v>
      </c>
      <c r="K597" s="2">
        <v>0</v>
      </c>
      <c r="L597" s="2">
        <v>0</v>
      </c>
      <c r="M597" s="2">
        <v>0</v>
      </c>
      <c r="N597" s="2">
        <v>0</v>
      </c>
      <c r="O597" s="2">
        <v>0</v>
      </c>
      <c r="P597" s="2" t="s">
        <v>437</v>
      </c>
      <c r="Q597" s="2" t="str">
        <f t="shared" si="77"/>
        <v>SI_SA_AV_METEO_CALL</v>
      </c>
      <c r="R597" s="2" t="b">
        <v>0</v>
      </c>
      <c r="S597" s="2" t="b">
        <v>1</v>
      </c>
      <c r="T597" s="2">
        <v>1</v>
      </c>
    </row>
    <row r="598" spans="1:21">
      <c r="A598" s="4">
        <v>1505</v>
      </c>
      <c r="B598" s="7" t="str">
        <f>VLOOKUP($A598,SkillEnum!$A$2:$C$1020,2,FALSE)</f>
        <v>SI_SA_AV_METEO_CALL</v>
      </c>
      <c r="C598" s="7">
        <v>7</v>
      </c>
      <c r="D598" s="2" t="str">
        <f>VLOOKUP($C598,SkillEnum!$D$2:$E$10,2,FALSE)</f>
        <v>ST_SPECIAL_ACTIVE</v>
      </c>
      <c r="E598" s="7" t="str">
        <f>VLOOKUP($A598,SkillEnum!$A$2:$C$1020,3,FALSE)</f>
        <v>메테오 콜</v>
      </c>
      <c r="F598" s="7" t="str">
        <f t="shared" si="81"/>
        <v>작은 운석 덩어리를 소환하여 전방으로 던져 마법공격력의 210 % 로 연속타격을 주고, 넓은 범위로 폭발시켜 마법공격력의 403 % 로 연속타격을 준다.</v>
      </c>
      <c r="G598" s="2">
        <v>7</v>
      </c>
      <c r="H598" s="2">
        <v>1.75</v>
      </c>
      <c r="I598" s="2">
        <v>25</v>
      </c>
      <c r="J598" s="2">
        <v>270</v>
      </c>
      <c r="K598" s="2">
        <v>0</v>
      </c>
      <c r="L598" s="2">
        <v>0</v>
      </c>
      <c r="M598" s="2">
        <v>0</v>
      </c>
      <c r="N598" s="2">
        <v>0</v>
      </c>
      <c r="O598" s="2">
        <v>0</v>
      </c>
      <c r="P598" s="2" t="s">
        <v>437</v>
      </c>
      <c r="Q598" s="2" t="str">
        <f t="shared" si="77"/>
        <v>SI_SA_AV_METEO_CALL</v>
      </c>
      <c r="R598" s="2" t="b">
        <v>0</v>
      </c>
      <c r="S598" s="2" t="b">
        <v>1</v>
      </c>
      <c r="T598" s="2">
        <v>1</v>
      </c>
    </row>
    <row r="599" spans="1:21">
      <c r="A599" s="4">
        <v>1505</v>
      </c>
      <c r="B599" s="7" t="str">
        <f>VLOOKUP($A599,SkillEnum!$A$2:$C$1020,2,FALSE)</f>
        <v>SI_SA_AV_METEO_CALL</v>
      </c>
      <c r="C599" s="7">
        <v>7</v>
      </c>
      <c r="D599" s="2" t="str">
        <f>VLOOKUP($C599,SkillEnum!$D$2:$E$10,2,FALSE)</f>
        <v>ST_SPECIAL_ACTIVE</v>
      </c>
      <c r="E599" s="7" t="str">
        <f>VLOOKUP($A599,SkillEnum!$A$2:$C$1020,3,FALSE)</f>
        <v>메테오 콜</v>
      </c>
      <c r="F599" s="7" t="str">
        <f t="shared" si="81"/>
        <v>작은 운석 덩어리를 소환하여 전방으로 던져 마법공격력의 235 % 로 연속타격을 주고, 넓은 범위로 폭발시켜 마법공격력의 451 % 로 연속타격을 준다.</v>
      </c>
      <c r="G599" s="2">
        <v>8</v>
      </c>
      <c r="H599" s="2">
        <v>1.96</v>
      </c>
      <c r="I599" s="2">
        <v>25</v>
      </c>
      <c r="J599" s="2">
        <v>270</v>
      </c>
      <c r="K599" s="2">
        <v>0</v>
      </c>
      <c r="L599" s="2">
        <v>0</v>
      </c>
      <c r="M599" s="2">
        <v>0</v>
      </c>
      <c r="N599" s="2">
        <v>0</v>
      </c>
      <c r="O599" s="2">
        <v>0</v>
      </c>
      <c r="P599" s="2" t="s">
        <v>437</v>
      </c>
      <c r="Q599" s="2" t="str">
        <f t="shared" si="77"/>
        <v>SI_SA_AV_METEO_CALL</v>
      </c>
      <c r="R599" s="2" t="b">
        <v>0</v>
      </c>
      <c r="S599" s="2" t="b">
        <v>1</v>
      </c>
      <c r="T599" s="2">
        <v>1</v>
      </c>
    </row>
    <row r="600" spans="1:21">
      <c r="A600" s="4">
        <v>1505</v>
      </c>
      <c r="B600" s="7" t="str">
        <f>VLOOKUP($A600,SkillEnum!$A$2:$C$1020,2,FALSE)</f>
        <v>SI_SA_AV_METEO_CALL</v>
      </c>
      <c r="C600" s="7">
        <v>7</v>
      </c>
      <c r="D600" s="2" t="str">
        <f>VLOOKUP($C600,SkillEnum!$D$2:$E$10,2,FALSE)</f>
        <v>ST_SPECIAL_ACTIVE</v>
      </c>
      <c r="E600" s="7" t="str">
        <f>VLOOKUP($A600,SkillEnum!$A$2:$C$1020,3,FALSE)</f>
        <v>메테오 콜</v>
      </c>
      <c r="F600" s="7" t="str">
        <f t="shared" si="81"/>
        <v>작은 운석 덩어리를 소환하여 전방으로 던져 마법공격력의 269 % 로 연속타격을 주고, 넓은 범위로 폭발시켜 마법공격력의 515 % 로 연속타격을 준다.</v>
      </c>
      <c r="G600" s="2">
        <v>9</v>
      </c>
      <c r="H600" s="2">
        <v>2.2400000000000002</v>
      </c>
      <c r="I600" s="2">
        <v>25</v>
      </c>
      <c r="J600" s="2">
        <v>270</v>
      </c>
      <c r="K600" s="2">
        <v>0</v>
      </c>
      <c r="L600" s="2">
        <v>0</v>
      </c>
      <c r="M600" s="2">
        <v>0</v>
      </c>
      <c r="N600" s="2">
        <v>0</v>
      </c>
      <c r="O600" s="2">
        <v>0</v>
      </c>
      <c r="P600" s="2" t="s">
        <v>437</v>
      </c>
      <c r="Q600" s="2" t="str">
        <f t="shared" si="77"/>
        <v>SI_SA_AV_METEO_CALL</v>
      </c>
      <c r="R600" s="2" t="b">
        <v>0</v>
      </c>
      <c r="S600" s="2" t="b">
        <v>1</v>
      </c>
      <c r="T600" s="2">
        <v>1</v>
      </c>
    </row>
    <row r="601" spans="1:21" s="5" customFormat="1">
      <c r="A601" s="6">
        <v>1505</v>
      </c>
      <c r="B601" s="8" t="str">
        <f>VLOOKUP($A601,SkillEnum!$A$2:$C$1020,2,FALSE)</f>
        <v>SI_SA_AV_METEO_CALL</v>
      </c>
      <c r="C601" s="8">
        <v>7</v>
      </c>
      <c r="D601" s="5" t="str">
        <f>VLOOKUP($C601,SkillEnum!$D$2:$E$10,2,FALSE)</f>
        <v>ST_SPECIAL_ACTIVE</v>
      </c>
      <c r="E601" s="8" t="str">
        <f>VLOOKUP($A601,SkillEnum!$A$2:$C$1020,3,FALSE)</f>
        <v>메테오 콜</v>
      </c>
      <c r="F601" s="8" t="str">
        <f t="shared" si="81"/>
        <v>작은 운석 덩어리를 소환하여 전방으로 던져 마법공격력의 302 % 로 연속타격을 주고, 넓은 범위로 폭발시켜 마법공격력의 580 % 로 연속타격을 준다.</v>
      </c>
      <c r="G601" s="5">
        <v>10</v>
      </c>
      <c r="H601" s="5">
        <v>2.52</v>
      </c>
      <c r="I601" s="5">
        <v>25</v>
      </c>
      <c r="J601" s="5">
        <v>270</v>
      </c>
      <c r="K601" s="5">
        <v>0</v>
      </c>
      <c r="L601" s="5">
        <v>0</v>
      </c>
      <c r="M601" s="5">
        <v>0</v>
      </c>
      <c r="N601" s="5">
        <v>0</v>
      </c>
      <c r="O601" s="5">
        <v>0</v>
      </c>
      <c r="P601" s="2" t="s">
        <v>437</v>
      </c>
      <c r="Q601" s="2" t="str">
        <f t="shared" si="77"/>
        <v>SI_SA_AV_METEO_CALL</v>
      </c>
      <c r="R601" s="5" t="b">
        <v>0</v>
      </c>
      <c r="S601" s="2" t="b">
        <v>1</v>
      </c>
      <c r="T601" s="2">
        <v>1</v>
      </c>
      <c r="U601" s="2"/>
    </row>
    <row r="602" spans="1:21" s="10" customFormat="1">
      <c r="A602" s="9">
        <v>1506</v>
      </c>
      <c r="B602" s="11" t="str">
        <f>VLOOKUP($A602,SkillEnum!$A$2:$C$1020,2,FALSE)</f>
        <v>SI_SA_AHM_CHAIN_BURST</v>
      </c>
      <c r="C602" s="11">
        <v>7</v>
      </c>
      <c r="D602" s="10" t="str">
        <f>VLOOKUP($C602,SkillEnum!$D$2:$E$10,2,FALSE)</f>
        <v>ST_SPECIAL_ACTIVE</v>
      </c>
      <c r="E602" s="11" t="str">
        <f>VLOOKUP($A602,SkillEnum!$A$2:$C$1020,3,FALSE)</f>
        <v>체인 버스트</v>
      </c>
      <c r="F602" s="11" t="str">
        <f>"파이어볼을 무작위로 난사하여 타격 당 마법공격력의 "&amp;ROUND(1.15*H602*100,0)&amp;" % 데미지를 주고, 마지막에 마법공격력 "&amp;ROUND(1.5*1.2*H602*100,0)&amp;" %의 빅파이어볼로 공격하여 눈앞의 적들을 섬멸한다."</f>
        <v>파이어볼을 무작위로 난사하여 타격 당 마법공격력의 81 % 데미지를 주고, 마지막에 마법공격력 126 %의 빅파이어볼로 공격하여 눈앞의 적들을 섬멸한다.</v>
      </c>
      <c r="G602" s="10">
        <v>1</v>
      </c>
      <c r="H602" s="2">
        <v>0.7</v>
      </c>
      <c r="I602" s="2">
        <v>3</v>
      </c>
      <c r="J602" s="2">
        <v>100</v>
      </c>
      <c r="K602" s="2">
        <v>0</v>
      </c>
      <c r="L602" s="2">
        <v>0</v>
      </c>
      <c r="M602" s="2">
        <v>0</v>
      </c>
      <c r="N602" s="2">
        <v>0</v>
      </c>
      <c r="O602" s="2">
        <v>0</v>
      </c>
      <c r="P602" s="2" t="s">
        <v>437</v>
      </c>
      <c r="Q602" s="2" t="str">
        <f t="shared" si="77"/>
        <v>SI_SA_AHM_CHAIN_BURST</v>
      </c>
      <c r="R602" s="2" t="b">
        <v>0</v>
      </c>
      <c r="S602" s="2" t="b">
        <v>1</v>
      </c>
      <c r="T602" s="2">
        <v>1</v>
      </c>
      <c r="U602" s="2"/>
    </row>
    <row r="603" spans="1:21">
      <c r="A603" s="4">
        <v>1506</v>
      </c>
      <c r="B603" s="7" t="str">
        <f>VLOOKUP($A603,SkillEnum!$A$2:$C$1020,2,FALSE)</f>
        <v>SI_SA_AHM_CHAIN_BURST</v>
      </c>
      <c r="C603" s="7">
        <v>7</v>
      </c>
      <c r="D603" s="2" t="str">
        <f>VLOOKUP($C603,SkillEnum!$D$2:$E$10,2,FALSE)</f>
        <v>ST_SPECIAL_ACTIVE</v>
      </c>
      <c r="E603" s="7" t="str">
        <f>VLOOKUP($A603,SkillEnum!$A$2:$C$1020,3,FALSE)</f>
        <v>체인 버스트</v>
      </c>
      <c r="F603" s="7" t="str">
        <f t="shared" ref="F603:F611" si="82">"파이어볼을 무작위로 난사하여 타격 당 마법공격력의 "&amp;ROUND(1.15*H603*100,0)&amp;" % 데미지를 주고, 마지막에 마법공격력 "&amp;ROUND(1.5*1.2*H603*100,0)&amp;" %의 빅파이어볼로 공격하여 눈앞의 적들을 섬멸한다."</f>
        <v>파이어볼을 무작위로 난사하여 타격 당 마법공격력의 97 % 데미지를 주고, 마지막에 마법공격력 151 %의 빅파이어볼로 공격하여 눈앞의 적들을 섬멸한다.</v>
      </c>
      <c r="G603" s="2">
        <v>2</v>
      </c>
      <c r="H603" s="2">
        <v>0.84</v>
      </c>
      <c r="I603" s="2">
        <v>3</v>
      </c>
      <c r="J603" s="2">
        <v>100</v>
      </c>
      <c r="K603" s="2">
        <v>0</v>
      </c>
      <c r="L603" s="2">
        <v>0</v>
      </c>
      <c r="M603" s="2">
        <v>0</v>
      </c>
      <c r="N603" s="2">
        <v>0</v>
      </c>
      <c r="O603" s="2">
        <v>0</v>
      </c>
      <c r="P603" s="2" t="s">
        <v>437</v>
      </c>
      <c r="Q603" s="2" t="str">
        <f t="shared" si="77"/>
        <v>SI_SA_AHM_CHAIN_BURST</v>
      </c>
      <c r="R603" s="2" t="b">
        <v>0</v>
      </c>
      <c r="S603" s="2" t="b">
        <v>1</v>
      </c>
      <c r="T603" s="2">
        <v>1</v>
      </c>
    </row>
    <row r="604" spans="1:21">
      <c r="A604" s="4">
        <v>1506</v>
      </c>
      <c r="B604" s="7" t="str">
        <f>VLOOKUP($A604,SkillEnum!$A$2:$C$1020,2,FALSE)</f>
        <v>SI_SA_AHM_CHAIN_BURST</v>
      </c>
      <c r="C604" s="7">
        <v>7</v>
      </c>
      <c r="D604" s="2" t="str">
        <f>VLOOKUP($C604,SkillEnum!$D$2:$E$10,2,FALSE)</f>
        <v>ST_SPECIAL_ACTIVE</v>
      </c>
      <c r="E604" s="7" t="str">
        <f>VLOOKUP($A604,SkillEnum!$A$2:$C$1020,3,FALSE)</f>
        <v>체인 버스트</v>
      </c>
      <c r="F604" s="7" t="str">
        <f t="shared" si="82"/>
        <v>파이어볼을 무작위로 난사하여 타격 당 마법공격력의 113 % 데미지를 주고, 마지막에 마법공격력 176 %의 빅파이어볼로 공격하여 눈앞의 적들을 섬멸한다.</v>
      </c>
      <c r="G604" s="2">
        <v>3</v>
      </c>
      <c r="H604" s="2">
        <v>0.98</v>
      </c>
      <c r="I604" s="2">
        <v>3</v>
      </c>
      <c r="J604" s="2">
        <v>100</v>
      </c>
      <c r="K604" s="2">
        <v>0</v>
      </c>
      <c r="L604" s="2">
        <v>0</v>
      </c>
      <c r="M604" s="2">
        <v>0</v>
      </c>
      <c r="N604" s="2">
        <v>0</v>
      </c>
      <c r="O604" s="2">
        <v>0</v>
      </c>
      <c r="P604" s="2" t="s">
        <v>437</v>
      </c>
      <c r="Q604" s="2" t="str">
        <f t="shared" si="77"/>
        <v>SI_SA_AHM_CHAIN_BURST</v>
      </c>
      <c r="R604" s="2" t="b">
        <v>0</v>
      </c>
      <c r="S604" s="2" t="b">
        <v>1</v>
      </c>
      <c r="T604" s="2">
        <v>1</v>
      </c>
    </row>
    <row r="605" spans="1:21">
      <c r="A605" s="4">
        <v>1506</v>
      </c>
      <c r="B605" s="7" t="str">
        <f>VLOOKUP($A605,SkillEnum!$A$2:$C$1020,2,FALSE)</f>
        <v>SI_SA_AHM_CHAIN_BURST</v>
      </c>
      <c r="C605" s="7">
        <v>7</v>
      </c>
      <c r="D605" s="2" t="str">
        <f>VLOOKUP($C605,SkillEnum!$D$2:$E$10,2,FALSE)</f>
        <v>ST_SPECIAL_ACTIVE</v>
      </c>
      <c r="E605" s="7" t="str">
        <f>VLOOKUP($A605,SkillEnum!$A$2:$C$1020,3,FALSE)</f>
        <v>체인 버스트</v>
      </c>
      <c r="F605" s="7" t="str">
        <f t="shared" si="82"/>
        <v>파이어볼을 무작위로 난사하여 타격 당 마법공격력의 129 % 데미지를 주고, 마지막에 마법공격력 202 %의 빅파이어볼로 공격하여 눈앞의 적들을 섬멸한다.</v>
      </c>
      <c r="G605" s="2">
        <v>4</v>
      </c>
      <c r="H605" s="2">
        <v>1.1200000000000001</v>
      </c>
      <c r="I605" s="2">
        <v>3</v>
      </c>
      <c r="J605" s="2">
        <v>100</v>
      </c>
      <c r="K605" s="2">
        <v>0</v>
      </c>
      <c r="L605" s="2">
        <v>0</v>
      </c>
      <c r="M605" s="2">
        <v>0</v>
      </c>
      <c r="N605" s="2">
        <v>0</v>
      </c>
      <c r="O605" s="2">
        <v>0</v>
      </c>
      <c r="P605" s="2" t="s">
        <v>437</v>
      </c>
      <c r="Q605" s="2" t="str">
        <f t="shared" si="77"/>
        <v>SI_SA_AHM_CHAIN_BURST</v>
      </c>
      <c r="R605" s="2" t="b">
        <v>0</v>
      </c>
      <c r="S605" s="2" t="b">
        <v>1</v>
      </c>
      <c r="T605" s="2">
        <v>1</v>
      </c>
    </row>
    <row r="606" spans="1:21">
      <c r="A606" s="4">
        <v>1506</v>
      </c>
      <c r="B606" s="7" t="str">
        <f>VLOOKUP($A606,SkillEnum!$A$2:$C$1020,2,FALSE)</f>
        <v>SI_SA_AHM_CHAIN_BURST</v>
      </c>
      <c r="C606" s="7">
        <v>7</v>
      </c>
      <c r="D606" s="2" t="str">
        <f>VLOOKUP($C606,SkillEnum!$D$2:$E$10,2,FALSE)</f>
        <v>ST_SPECIAL_ACTIVE</v>
      </c>
      <c r="E606" s="7" t="str">
        <f>VLOOKUP($A606,SkillEnum!$A$2:$C$1020,3,FALSE)</f>
        <v>체인 버스트</v>
      </c>
      <c r="F606" s="7" t="str">
        <f t="shared" si="82"/>
        <v>파이어볼을 무작위로 난사하여 타격 당 마법공격력의 153 % 데미지를 주고, 마지막에 마법공격력 239 %의 빅파이어볼로 공격하여 눈앞의 적들을 섬멸한다.</v>
      </c>
      <c r="G606" s="2">
        <v>5</v>
      </c>
      <c r="H606" s="2">
        <v>1.33</v>
      </c>
      <c r="I606" s="2">
        <v>3</v>
      </c>
      <c r="J606" s="2">
        <v>100</v>
      </c>
      <c r="K606" s="2">
        <v>0</v>
      </c>
      <c r="L606" s="2">
        <v>0</v>
      </c>
      <c r="M606" s="2">
        <v>0</v>
      </c>
      <c r="N606" s="2">
        <v>0</v>
      </c>
      <c r="O606" s="2">
        <v>0</v>
      </c>
      <c r="P606" s="2" t="s">
        <v>437</v>
      </c>
      <c r="Q606" s="2" t="str">
        <f t="shared" si="77"/>
        <v>SI_SA_AHM_CHAIN_BURST</v>
      </c>
      <c r="R606" s="2" t="b">
        <v>0</v>
      </c>
      <c r="S606" s="2" t="b">
        <v>1</v>
      </c>
      <c r="T606" s="2">
        <v>1</v>
      </c>
    </row>
    <row r="607" spans="1:21">
      <c r="A607" s="4">
        <v>1506</v>
      </c>
      <c r="B607" s="7" t="str">
        <f>VLOOKUP($A607,SkillEnum!$A$2:$C$1020,2,FALSE)</f>
        <v>SI_SA_AHM_CHAIN_BURST</v>
      </c>
      <c r="C607" s="7">
        <v>7</v>
      </c>
      <c r="D607" s="2" t="str">
        <f>VLOOKUP($C607,SkillEnum!$D$2:$E$10,2,FALSE)</f>
        <v>ST_SPECIAL_ACTIVE</v>
      </c>
      <c r="E607" s="7" t="str">
        <f>VLOOKUP($A607,SkillEnum!$A$2:$C$1020,3,FALSE)</f>
        <v>체인 버스트</v>
      </c>
      <c r="F607" s="7" t="str">
        <f t="shared" si="82"/>
        <v>파이어볼을 무작위로 난사하여 타격 당 마법공격력의 177 % 데미지를 주고, 마지막에 마법공격력 277 %의 빅파이어볼로 공격하여 눈앞의 적들을 섬멸한다.</v>
      </c>
      <c r="G607" s="2">
        <v>6</v>
      </c>
      <c r="H607" s="2">
        <v>1.54</v>
      </c>
      <c r="I607" s="2">
        <v>3</v>
      </c>
      <c r="J607" s="2">
        <v>100</v>
      </c>
      <c r="K607" s="2">
        <v>0</v>
      </c>
      <c r="L607" s="2">
        <v>0</v>
      </c>
      <c r="M607" s="2">
        <v>0</v>
      </c>
      <c r="N607" s="2">
        <v>0</v>
      </c>
      <c r="O607" s="2">
        <v>0</v>
      </c>
      <c r="P607" s="2" t="s">
        <v>437</v>
      </c>
      <c r="Q607" s="2" t="str">
        <f t="shared" si="77"/>
        <v>SI_SA_AHM_CHAIN_BURST</v>
      </c>
      <c r="R607" s="2" t="b">
        <v>0</v>
      </c>
      <c r="S607" s="2" t="b">
        <v>1</v>
      </c>
      <c r="T607" s="2">
        <v>1</v>
      </c>
    </row>
    <row r="608" spans="1:21">
      <c r="A608" s="4">
        <v>1506</v>
      </c>
      <c r="B608" s="7" t="str">
        <f>VLOOKUP($A608,SkillEnum!$A$2:$C$1020,2,FALSE)</f>
        <v>SI_SA_AHM_CHAIN_BURST</v>
      </c>
      <c r="C608" s="7">
        <v>7</v>
      </c>
      <c r="D608" s="2" t="str">
        <f>VLOOKUP($C608,SkillEnum!$D$2:$E$10,2,FALSE)</f>
        <v>ST_SPECIAL_ACTIVE</v>
      </c>
      <c r="E608" s="7" t="str">
        <f>VLOOKUP($A608,SkillEnum!$A$2:$C$1020,3,FALSE)</f>
        <v>체인 버스트</v>
      </c>
      <c r="F608" s="7" t="str">
        <f t="shared" si="82"/>
        <v>파이어볼을 무작위로 난사하여 타격 당 마법공격력의 201 % 데미지를 주고, 마지막에 마법공격력 315 %의 빅파이어볼로 공격하여 눈앞의 적들을 섬멸한다.</v>
      </c>
      <c r="G608" s="2">
        <v>7</v>
      </c>
      <c r="H608" s="2">
        <v>1.75</v>
      </c>
      <c r="I608" s="2">
        <v>3</v>
      </c>
      <c r="J608" s="2">
        <v>100</v>
      </c>
      <c r="K608" s="2">
        <v>0</v>
      </c>
      <c r="L608" s="2">
        <v>0</v>
      </c>
      <c r="M608" s="2">
        <v>0</v>
      </c>
      <c r="N608" s="2">
        <v>0</v>
      </c>
      <c r="O608" s="2">
        <v>0</v>
      </c>
      <c r="P608" s="2" t="s">
        <v>437</v>
      </c>
      <c r="Q608" s="2" t="str">
        <f t="shared" si="77"/>
        <v>SI_SA_AHM_CHAIN_BURST</v>
      </c>
      <c r="R608" s="2" t="b">
        <v>0</v>
      </c>
      <c r="S608" s="2" t="b">
        <v>1</v>
      </c>
      <c r="T608" s="2">
        <v>1</v>
      </c>
    </row>
    <row r="609" spans="1:21">
      <c r="A609" s="4">
        <v>1506</v>
      </c>
      <c r="B609" s="7" t="str">
        <f>VLOOKUP($A609,SkillEnum!$A$2:$C$1020,2,FALSE)</f>
        <v>SI_SA_AHM_CHAIN_BURST</v>
      </c>
      <c r="C609" s="7">
        <v>7</v>
      </c>
      <c r="D609" s="2" t="str">
        <f>VLOOKUP($C609,SkillEnum!$D$2:$E$10,2,FALSE)</f>
        <v>ST_SPECIAL_ACTIVE</v>
      </c>
      <c r="E609" s="7" t="str">
        <f>VLOOKUP($A609,SkillEnum!$A$2:$C$1020,3,FALSE)</f>
        <v>체인 버스트</v>
      </c>
      <c r="F609" s="7" t="str">
        <f t="shared" si="82"/>
        <v>파이어볼을 무작위로 난사하여 타격 당 마법공격력의 225 % 데미지를 주고, 마지막에 마법공격력 353 %의 빅파이어볼로 공격하여 눈앞의 적들을 섬멸한다.</v>
      </c>
      <c r="G609" s="2">
        <v>8</v>
      </c>
      <c r="H609" s="2">
        <v>1.96</v>
      </c>
      <c r="I609" s="2">
        <v>3</v>
      </c>
      <c r="J609" s="2">
        <v>100</v>
      </c>
      <c r="K609" s="2">
        <v>0</v>
      </c>
      <c r="L609" s="2">
        <v>0</v>
      </c>
      <c r="M609" s="2">
        <v>0</v>
      </c>
      <c r="N609" s="2">
        <v>0</v>
      </c>
      <c r="O609" s="2">
        <v>0</v>
      </c>
      <c r="P609" s="2" t="s">
        <v>437</v>
      </c>
      <c r="Q609" s="2" t="str">
        <f t="shared" si="77"/>
        <v>SI_SA_AHM_CHAIN_BURST</v>
      </c>
      <c r="R609" s="2" t="b">
        <v>0</v>
      </c>
      <c r="S609" s="2" t="b">
        <v>1</v>
      </c>
      <c r="T609" s="2">
        <v>1</v>
      </c>
    </row>
    <row r="610" spans="1:21">
      <c r="A610" s="4">
        <v>1506</v>
      </c>
      <c r="B610" s="7" t="str">
        <f>VLOOKUP($A610,SkillEnum!$A$2:$C$1020,2,FALSE)</f>
        <v>SI_SA_AHM_CHAIN_BURST</v>
      </c>
      <c r="C610" s="7">
        <v>7</v>
      </c>
      <c r="D610" s="2" t="str">
        <f>VLOOKUP($C610,SkillEnum!$D$2:$E$10,2,FALSE)</f>
        <v>ST_SPECIAL_ACTIVE</v>
      </c>
      <c r="E610" s="7" t="str">
        <f>VLOOKUP($A610,SkillEnum!$A$2:$C$1020,3,FALSE)</f>
        <v>체인 버스트</v>
      </c>
      <c r="F610" s="7" t="str">
        <f t="shared" si="82"/>
        <v>파이어볼을 무작위로 난사하여 타격 당 마법공격력의 258 % 데미지를 주고, 마지막에 마법공격력 403 %의 빅파이어볼로 공격하여 눈앞의 적들을 섬멸한다.</v>
      </c>
      <c r="G610" s="2">
        <v>9</v>
      </c>
      <c r="H610" s="2">
        <v>2.2400000000000002</v>
      </c>
      <c r="I610" s="2">
        <v>3</v>
      </c>
      <c r="J610" s="2">
        <v>100</v>
      </c>
      <c r="K610" s="2">
        <v>0</v>
      </c>
      <c r="L610" s="2">
        <v>0</v>
      </c>
      <c r="M610" s="2">
        <v>0</v>
      </c>
      <c r="N610" s="2">
        <v>0</v>
      </c>
      <c r="O610" s="2">
        <v>0</v>
      </c>
      <c r="P610" s="2" t="s">
        <v>437</v>
      </c>
      <c r="Q610" s="2" t="str">
        <f t="shared" si="77"/>
        <v>SI_SA_AHM_CHAIN_BURST</v>
      </c>
      <c r="R610" s="2" t="b">
        <v>0</v>
      </c>
      <c r="S610" s="2" t="b">
        <v>1</v>
      </c>
      <c r="T610" s="2">
        <v>1</v>
      </c>
    </row>
    <row r="611" spans="1:21" s="5" customFormat="1">
      <c r="A611" s="6">
        <v>1506</v>
      </c>
      <c r="B611" s="8" t="str">
        <f>VLOOKUP($A611,SkillEnum!$A$2:$C$1020,2,FALSE)</f>
        <v>SI_SA_AHM_CHAIN_BURST</v>
      </c>
      <c r="C611" s="8">
        <v>7</v>
      </c>
      <c r="D611" s="5" t="str">
        <f>VLOOKUP($C611,SkillEnum!$D$2:$E$10,2,FALSE)</f>
        <v>ST_SPECIAL_ACTIVE</v>
      </c>
      <c r="E611" s="8" t="str">
        <f>VLOOKUP($A611,SkillEnum!$A$2:$C$1020,3,FALSE)</f>
        <v>체인 버스트</v>
      </c>
      <c r="F611" s="8" t="str">
        <f t="shared" si="82"/>
        <v>파이어볼을 무작위로 난사하여 타격 당 마법공격력의 290 % 데미지를 주고, 마지막에 마법공격력 454 %의 빅파이어볼로 공격하여 눈앞의 적들을 섬멸한다.</v>
      </c>
      <c r="G611" s="5">
        <v>10</v>
      </c>
      <c r="H611" s="5">
        <v>2.52</v>
      </c>
      <c r="I611" s="5">
        <v>3</v>
      </c>
      <c r="J611" s="5">
        <v>100</v>
      </c>
      <c r="K611" s="5">
        <v>0</v>
      </c>
      <c r="L611" s="5">
        <v>0</v>
      </c>
      <c r="M611" s="5">
        <v>0</v>
      </c>
      <c r="N611" s="5">
        <v>0</v>
      </c>
      <c r="O611" s="5">
        <v>0</v>
      </c>
      <c r="P611" s="2" t="s">
        <v>437</v>
      </c>
      <c r="Q611" s="2" t="str">
        <f t="shared" si="77"/>
        <v>SI_SA_AHM_CHAIN_BURST</v>
      </c>
      <c r="R611" s="5" t="b">
        <v>0</v>
      </c>
      <c r="S611" s="2" t="b">
        <v>1</v>
      </c>
      <c r="T611" s="2">
        <v>1</v>
      </c>
      <c r="U611" s="2"/>
    </row>
    <row r="612" spans="1:21">
      <c r="A612" s="4">
        <v>1507</v>
      </c>
      <c r="B612" s="7" t="str">
        <f>VLOOKUP($A612,SkillEnum!$A$2:$C$1020,2,FALSE)</f>
        <v>SI_SA_AHM_MAGIC_MISSILE</v>
      </c>
      <c r="C612" s="7">
        <v>7</v>
      </c>
      <c r="D612" s="2" t="str">
        <f>VLOOKUP($C612,SkillEnum!$D$2:$E$10,2,FALSE)</f>
        <v>ST_SPECIAL_ACTIVE</v>
      </c>
      <c r="E612" s="11" t="str">
        <f>VLOOKUP($A612,SkillEnum!$A$2:$C$1020,3,FALSE)</f>
        <v>매직 미사일</v>
      </c>
      <c r="F612" s="7" t="str">
        <f>"아름다운 궤적을 그리며 적을 쫓아가 마법공격력의 "&amp;ROUND(2*1.5*H612*100,0)&amp;" % 로 6번 타격하는 순수한 마법의 구체를 발사한다. (각성시 8번 타격)"</f>
        <v>아름다운 궤적을 그리며 적을 쫓아가 마법공격력의 210 % 로 6번 타격하는 순수한 마법의 구체를 발사한다. (각성시 8번 타격)</v>
      </c>
      <c r="G612" s="10">
        <v>1</v>
      </c>
      <c r="H612" s="2">
        <v>0.7</v>
      </c>
      <c r="I612" s="2">
        <v>10</v>
      </c>
      <c r="J612" s="2">
        <v>200</v>
      </c>
      <c r="K612" s="2">
        <v>0</v>
      </c>
      <c r="L612" s="2">
        <v>0</v>
      </c>
      <c r="M612" s="2">
        <v>0</v>
      </c>
      <c r="N612" s="2">
        <v>0</v>
      </c>
      <c r="O612" s="2">
        <v>0</v>
      </c>
      <c r="P612" s="2" t="s">
        <v>437</v>
      </c>
      <c r="Q612" s="2" t="str">
        <f t="shared" si="77"/>
        <v>SI_SA_AHM_MAGIC_MISSILE</v>
      </c>
      <c r="R612" s="2" t="b">
        <v>0</v>
      </c>
      <c r="S612" s="2" t="b">
        <v>1</v>
      </c>
      <c r="T612" s="2">
        <v>1</v>
      </c>
    </row>
    <row r="613" spans="1:21">
      <c r="A613" s="4">
        <v>1507</v>
      </c>
      <c r="B613" s="7" t="str">
        <f>VLOOKUP($A613,SkillEnum!$A$2:$C$1020,2,FALSE)</f>
        <v>SI_SA_AHM_MAGIC_MISSILE</v>
      </c>
      <c r="C613" s="7">
        <v>7</v>
      </c>
      <c r="D613" s="2" t="str">
        <f>VLOOKUP($C613,SkillEnum!$D$2:$E$10,2,FALSE)</f>
        <v>ST_SPECIAL_ACTIVE</v>
      </c>
      <c r="E613" s="7" t="str">
        <f>VLOOKUP($A613,SkillEnum!$A$2:$C$1020,3,FALSE)</f>
        <v>매직 미사일</v>
      </c>
      <c r="F613" s="7" t="str">
        <f t="shared" ref="F613:F621" si="83">"아름다운 궤적을 그리며 적을 쫓아가 마법공격력의 "&amp;ROUND(2*1.5*H613*100,0)&amp;" % 로 6번 타격하는 순수한 마법의 구체를 발사한다. (각성시 8번 타격)"</f>
        <v>아름다운 궤적을 그리며 적을 쫓아가 마법공격력의 252 % 로 6번 타격하는 순수한 마법의 구체를 발사한다. (각성시 8번 타격)</v>
      </c>
      <c r="G613" s="2">
        <v>2</v>
      </c>
      <c r="H613" s="2">
        <v>0.84</v>
      </c>
      <c r="I613" s="2">
        <v>10</v>
      </c>
      <c r="J613" s="2">
        <v>200</v>
      </c>
      <c r="K613" s="2">
        <v>0</v>
      </c>
      <c r="L613" s="2">
        <v>0</v>
      </c>
      <c r="M613" s="2">
        <v>0</v>
      </c>
      <c r="N613" s="2">
        <v>0</v>
      </c>
      <c r="O613" s="2">
        <v>0</v>
      </c>
      <c r="P613" s="2" t="s">
        <v>437</v>
      </c>
      <c r="Q613" s="2" t="str">
        <f t="shared" si="77"/>
        <v>SI_SA_AHM_MAGIC_MISSILE</v>
      </c>
      <c r="R613" s="2" t="b">
        <v>0</v>
      </c>
      <c r="S613" s="2" t="b">
        <v>1</v>
      </c>
      <c r="T613" s="2">
        <v>1</v>
      </c>
    </row>
    <row r="614" spans="1:21">
      <c r="A614" s="4">
        <v>1507</v>
      </c>
      <c r="B614" s="7" t="str">
        <f>VLOOKUP($A614,SkillEnum!$A$2:$C$1020,2,FALSE)</f>
        <v>SI_SA_AHM_MAGIC_MISSILE</v>
      </c>
      <c r="C614" s="7">
        <v>7</v>
      </c>
      <c r="D614" s="2" t="str">
        <f>VLOOKUP($C614,SkillEnum!$D$2:$E$10,2,FALSE)</f>
        <v>ST_SPECIAL_ACTIVE</v>
      </c>
      <c r="E614" s="7" t="str">
        <f>VLOOKUP($A614,SkillEnum!$A$2:$C$1020,3,FALSE)</f>
        <v>매직 미사일</v>
      </c>
      <c r="F614" s="7" t="str">
        <f t="shared" si="83"/>
        <v>아름다운 궤적을 그리며 적을 쫓아가 마법공격력의 294 % 로 6번 타격하는 순수한 마법의 구체를 발사한다. (각성시 8번 타격)</v>
      </c>
      <c r="G614" s="2">
        <v>3</v>
      </c>
      <c r="H614" s="2">
        <v>0.98</v>
      </c>
      <c r="I614" s="2">
        <v>10</v>
      </c>
      <c r="J614" s="2">
        <v>200</v>
      </c>
      <c r="K614" s="2">
        <v>0</v>
      </c>
      <c r="L614" s="2">
        <v>0</v>
      </c>
      <c r="M614" s="2">
        <v>0</v>
      </c>
      <c r="N614" s="2">
        <v>0</v>
      </c>
      <c r="O614" s="2">
        <v>0</v>
      </c>
      <c r="P614" s="2" t="s">
        <v>437</v>
      </c>
      <c r="Q614" s="2" t="str">
        <f t="shared" si="77"/>
        <v>SI_SA_AHM_MAGIC_MISSILE</v>
      </c>
      <c r="R614" s="2" t="b">
        <v>0</v>
      </c>
      <c r="S614" s="2" t="b">
        <v>1</v>
      </c>
      <c r="T614" s="2">
        <v>1</v>
      </c>
    </row>
    <row r="615" spans="1:21">
      <c r="A615" s="4">
        <v>1507</v>
      </c>
      <c r="B615" s="7" t="str">
        <f>VLOOKUP($A615,SkillEnum!$A$2:$C$1020,2,FALSE)</f>
        <v>SI_SA_AHM_MAGIC_MISSILE</v>
      </c>
      <c r="C615" s="7">
        <v>7</v>
      </c>
      <c r="D615" s="2" t="str">
        <f>VLOOKUP($C615,SkillEnum!$D$2:$E$10,2,FALSE)</f>
        <v>ST_SPECIAL_ACTIVE</v>
      </c>
      <c r="E615" s="7" t="str">
        <f>VLOOKUP($A615,SkillEnum!$A$2:$C$1020,3,FALSE)</f>
        <v>매직 미사일</v>
      </c>
      <c r="F615" s="7" t="str">
        <f t="shared" si="83"/>
        <v>아름다운 궤적을 그리며 적을 쫓아가 마법공격력의 336 % 로 6번 타격하는 순수한 마법의 구체를 발사한다. (각성시 8번 타격)</v>
      </c>
      <c r="G615" s="2">
        <v>4</v>
      </c>
      <c r="H615" s="2">
        <v>1.1200000000000001</v>
      </c>
      <c r="I615" s="2">
        <v>10</v>
      </c>
      <c r="J615" s="2">
        <v>200</v>
      </c>
      <c r="K615" s="2">
        <v>0</v>
      </c>
      <c r="L615" s="2">
        <v>0</v>
      </c>
      <c r="M615" s="2">
        <v>0</v>
      </c>
      <c r="N615" s="2">
        <v>0</v>
      </c>
      <c r="O615" s="2">
        <v>0</v>
      </c>
      <c r="P615" s="2" t="s">
        <v>437</v>
      </c>
      <c r="Q615" s="2" t="str">
        <f t="shared" si="77"/>
        <v>SI_SA_AHM_MAGIC_MISSILE</v>
      </c>
      <c r="R615" s="2" t="b">
        <v>0</v>
      </c>
      <c r="S615" s="2" t="b">
        <v>1</v>
      </c>
      <c r="T615" s="2">
        <v>1</v>
      </c>
    </row>
    <row r="616" spans="1:21">
      <c r="A616" s="4">
        <v>1507</v>
      </c>
      <c r="B616" s="7" t="str">
        <f>VLOOKUP($A616,SkillEnum!$A$2:$C$1020,2,FALSE)</f>
        <v>SI_SA_AHM_MAGIC_MISSILE</v>
      </c>
      <c r="C616" s="7">
        <v>7</v>
      </c>
      <c r="D616" s="2" t="str">
        <f>VLOOKUP($C616,SkillEnum!$D$2:$E$10,2,FALSE)</f>
        <v>ST_SPECIAL_ACTIVE</v>
      </c>
      <c r="E616" s="7" t="str">
        <f>VLOOKUP($A616,SkillEnum!$A$2:$C$1020,3,FALSE)</f>
        <v>매직 미사일</v>
      </c>
      <c r="F616" s="7" t="str">
        <f t="shared" si="83"/>
        <v>아름다운 궤적을 그리며 적을 쫓아가 마법공격력의 399 % 로 6번 타격하는 순수한 마법의 구체를 발사한다. (각성시 8번 타격)</v>
      </c>
      <c r="G616" s="2">
        <v>5</v>
      </c>
      <c r="H616" s="2">
        <v>1.33</v>
      </c>
      <c r="I616" s="2">
        <v>10</v>
      </c>
      <c r="J616" s="2">
        <v>200</v>
      </c>
      <c r="K616" s="2">
        <v>0</v>
      </c>
      <c r="L616" s="2">
        <v>0</v>
      </c>
      <c r="M616" s="2">
        <v>0</v>
      </c>
      <c r="N616" s="2">
        <v>0</v>
      </c>
      <c r="O616" s="2">
        <v>0</v>
      </c>
      <c r="P616" s="2" t="s">
        <v>437</v>
      </c>
      <c r="Q616" s="2" t="str">
        <f t="shared" si="77"/>
        <v>SI_SA_AHM_MAGIC_MISSILE</v>
      </c>
      <c r="R616" s="2" t="b">
        <v>0</v>
      </c>
      <c r="S616" s="2" t="b">
        <v>1</v>
      </c>
      <c r="T616" s="2">
        <v>1</v>
      </c>
    </row>
    <row r="617" spans="1:21">
      <c r="A617" s="4">
        <v>1507</v>
      </c>
      <c r="B617" s="7" t="str">
        <f>VLOOKUP($A617,SkillEnum!$A$2:$C$1020,2,FALSE)</f>
        <v>SI_SA_AHM_MAGIC_MISSILE</v>
      </c>
      <c r="C617" s="7">
        <v>7</v>
      </c>
      <c r="D617" s="2" t="str">
        <f>VLOOKUP($C617,SkillEnum!$D$2:$E$10,2,FALSE)</f>
        <v>ST_SPECIAL_ACTIVE</v>
      </c>
      <c r="E617" s="7" t="str">
        <f>VLOOKUP($A617,SkillEnum!$A$2:$C$1020,3,FALSE)</f>
        <v>매직 미사일</v>
      </c>
      <c r="F617" s="7" t="str">
        <f t="shared" si="83"/>
        <v>아름다운 궤적을 그리며 적을 쫓아가 마법공격력의 462 % 로 6번 타격하는 순수한 마법의 구체를 발사한다. (각성시 8번 타격)</v>
      </c>
      <c r="G617" s="2">
        <v>6</v>
      </c>
      <c r="H617" s="2">
        <v>1.54</v>
      </c>
      <c r="I617" s="2">
        <v>10</v>
      </c>
      <c r="J617" s="2">
        <v>200</v>
      </c>
      <c r="K617" s="2">
        <v>0</v>
      </c>
      <c r="L617" s="2">
        <v>0</v>
      </c>
      <c r="M617" s="2">
        <v>0</v>
      </c>
      <c r="N617" s="2">
        <v>0</v>
      </c>
      <c r="O617" s="2">
        <v>0</v>
      </c>
      <c r="P617" s="2" t="s">
        <v>437</v>
      </c>
      <c r="Q617" s="2" t="str">
        <f t="shared" si="77"/>
        <v>SI_SA_AHM_MAGIC_MISSILE</v>
      </c>
      <c r="R617" s="2" t="b">
        <v>0</v>
      </c>
      <c r="S617" s="2" t="b">
        <v>1</v>
      </c>
      <c r="T617" s="2">
        <v>1</v>
      </c>
    </row>
    <row r="618" spans="1:21">
      <c r="A618" s="4">
        <v>1507</v>
      </c>
      <c r="B618" s="7" t="str">
        <f>VLOOKUP($A618,SkillEnum!$A$2:$C$1020,2,FALSE)</f>
        <v>SI_SA_AHM_MAGIC_MISSILE</v>
      </c>
      <c r="C618" s="7">
        <v>7</v>
      </c>
      <c r="D618" s="2" t="str">
        <f>VLOOKUP($C618,SkillEnum!$D$2:$E$10,2,FALSE)</f>
        <v>ST_SPECIAL_ACTIVE</v>
      </c>
      <c r="E618" s="7" t="str">
        <f>VLOOKUP($A618,SkillEnum!$A$2:$C$1020,3,FALSE)</f>
        <v>매직 미사일</v>
      </c>
      <c r="F618" s="7" t="str">
        <f t="shared" si="83"/>
        <v>아름다운 궤적을 그리며 적을 쫓아가 마법공격력의 525 % 로 6번 타격하는 순수한 마법의 구체를 발사한다. (각성시 8번 타격)</v>
      </c>
      <c r="G618" s="2">
        <v>7</v>
      </c>
      <c r="H618" s="2">
        <v>1.75</v>
      </c>
      <c r="I618" s="2">
        <v>10</v>
      </c>
      <c r="J618" s="2">
        <v>200</v>
      </c>
      <c r="K618" s="2">
        <v>0</v>
      </c>
      <c r="L618" s="2">
        <v>0</v>
      </c>
      <c r="M618" s="2">
        <v>0</v>
      </c>
      <c r="N618" s="2">
        <v>0</v>
      </c>
      <c r="O618" s="2">
        <v>0</v>
      </c>
      <c r="P618" s="2" t="s">
        <v>437</v>
      </c>
      <c r="Q618" s="2" t="str">
        <f t="shared" si="77"/>
        <v>SI_SA_AHM_MAGIC_MISSILE</v>
      </c>
      <c r="R618" s="2" t="b">
        <v>0</v>
      </c>
      <c r="S618" s="2" t="b">
        <v>1</v>
      </c>
      <c r="T618" s="2">
        <v>1</v>
      </c>
    </row>
    <row r="619" spans="1:21">
      <c r="A619" s="4">
        <v>1507</v>
      </c>
      <c r="B619" s="7" t="str">
        <f>VLOOKUP($A619,SkillEnum!$A$2:$C$1020,2,FALSE)</f>
        <v>SI_SA_AHM_MAGIC_MISSILE</v>
      </c>
      <c r="C619" s="7">
        <v>7</v>
      </c>
      <c r="D619" s="2" t="str">
        <f>VLOOKUP($C619,SkillEnum!$D$2:$E$10,2,FALSE)</f>
        <v>ST_SPECIAL_ACTIVE</v>
      </c>
      <c r="E619" s="7" t="str">
        <f>VLOOKUP($A619,SkillEnum!$A$2:$C$1020,3,FALSE)</f>
        <v>매직 미사일</v>
      </c>
      <c r="F619" s="7" t="str">
        <f t="shared" si="83"/>
        <v>아름다운 궤적을 그리며 적을 쫓아가 마법공격력의 588 % 로 6번 타격하는 순수한 마법의 구체를 발사한다. (각성시 8번 타격)</v>
      </c>
      <c r="G619" s="2">
        <v>8</v>
      </c>
      <c r="H619" s="2">
        <v>1.96</v>
      </c>
      <c r="I619" s="2">
        <v>10</v>
      </c>
      <c r="J619" s="2">
        <v>200</v>
      </c>
      <c r="K619" s="2">
        <v>0</v>
      </c>
      <c r="L619" s="2">
        <v>0</v>
      </c>
      <c r="M619" s="2">
        <v>0</v>
      </c>
      <c r="N619" s="2">
        <v>0</v>
      </c>
      <c r="O619" s="2">
        <v>0</v>
      </c>
      <c r="P619" s="2" t="s">
        <v>437</v>
      </c>
      <c r="Q619" s="2" t="str">
        <f t="shared" ref="Q619:Q702" si="84">B619</f>
        <v>SI_SA_AHM_MAGIC_MISSILE</v>
      </c>
      <c r="R619" s="2" t="b">
        <v>0</v>
      </c>
      <c r="S619" s="2" t="b">
        <v>1</v>
      </c>
      <c r="T619" s="2">
        <v>1</v>
      </c>
    </row>
    <row r="620" spans="1:21">
      <c r="A620" s="4">
        <v>1507</v>
      </c>
      <c r="B620" s="7" t="str">
        <f>VLOOKUP($A620,SkillEnum!$A$2:$C$1020,2,FALSE)</f>
        <v>SI_SA_AHM_MAGIC_MISSILE</v>
      </c>
      <c r="C620" s="7">
        <v>7</v>
      </c>
      <c r="D620" s="2" t="str">
        <f>VLOOKUP($C620,SkillEnum!$D$2:$E$10,2,FALSE)</f>
        <v>ST_SPECIAL_ACTIVE</v>
      </c>
      <c r="E620" s="7" t="str">
        <f>VLOOKUP($A620,SkillEnum!$A$2:$C$1020,3,FALSE)</f>
        <v>매직 미사일</v>
      </c>
      <c r="F620" s="7" t="str">
        <f t="shared" si="83"/>
        <v>아름다운 궤적을 그리며 적을 쫓아가 마법공격력의 672 % 로 6번 타격하는 순수한 마법의 구체를 발사한다. (각성시 8번 타격)</v>
      </c>
      <c r="G620" s="2">
        <v>9</v>
      </c>
      <c r="H620" s="2">
        <v>2.2400000000000002</v>
      </c>
      <c r="I620" s="2">
        <v>10</v>
      </c>
      <c r="J620" s="2">
        <v>200</v>
      </c>
      <c r="K620" s="2">
        <v>0</v>
      </c>
      <c r="L620" s="2">
        <v>0</v>
      </c>
      <c r="M620" s="2">
        <v>0</v>
      </c>
      <c r="N620" s="2">
        <v>0</v>
      </c>
      <c r="O620" s="2">
        <v>0</v>
      </c>
      <c r="P620" s="2" t="s">
        <v>437</v>
      </c>
      <c r="Q620" s="2" t="str">
        <f t="shared" si="84"/>
        <v>SI_SA_AHM_MAGIC_MISSILE</v>
      </c>
      <c r="R620" s="2" t="b">
        <v>0</v>
      </c>
      <c r="S620" s="2" t="b">
        <v>1</v>
      </c>
      <c r="T620" s="2">
        <v>1</v>
      </c>
    </row>
    <row r="621" spans="1:21">
      <c r="A621" s="4">
        <v>1507</v>
      </c>
      <c r="B621" s="7" t="str">
        <f>VLOOKUP($A621,SkillEnum!$A$2:$C$1020,2,FALSE)</f>
        <v>SI_SA_AHM_MAGIC_MISSILE</v>
      </c>
      <c r="C621" s="7">
        <v>7</v>
      </c>
      <c r="D621" s="2" t="str">
        <f>VLOOKUP($C621,SkillEnum!$D$2:$E$10,2,FALSE)</f>
        <v>ST_SPECIAL_ACTIVE</v>
      </c>
      <c r="E621" s="8" t="str">
        <f>VLOOKUP($A621,SkillEnum!$A$2:$C$1020,3,FALSE)</f>
        <v>매직 미사일</v>
      </c>
      <c r="F621" s="7" t="str">
        <f t="shared" si="83"/>
        <v>아름다운 궤적을 그리며 적을 쫓아가 마법공격력의 756 % 로 6번 타격하는 순수한 마법의 구체를 발사한다. (각성시 8번 타격)</v>
      </c>
      <c r="G621" s="5">
        <v>10</v>
      </c>
      <c r="H621" s="5">
        <v>2.52</v>
      </c>
      <c r="I621" s="5">
        <v>10</v>
      </c>
      <c r="J621" s="5">
        <v>200</v>
      </c>
      <c r="K621" s="5">
        <v>0</v>
      </c>
      <c r="L621" s="5">
        <v>0</v>
      </c>
      <c r="M621" s="5">
        <v>0</v>
      </c>
      <c r="N621" s="5">
        <v>0</v>
      </c>
      <c r="O621" s="5">
        <v>0</v>
      </c>
      <c r="P621" s="2" t="s">
        <v>437</v>
      </c>
      <c r="Q621" s="2" t="str">
        <f t="shared" si="84"/>
        <v>SI_SA_AHM_MAGIC_MISSILE</v>
      </c>
      <c r="R621" s="5" t="b">
        <v>0</v>
      </c>
      <c r="S621" s="2" t="b">
        <v>1</v>
      </c>
      <c r="T621" s="2">
        <v>1</v>
      </c>
    </row>
    <row r="622" spans="1:21" s="10" customFormat="1">
      <c r="A622" s="9">
        <v>1508</v>
      </c>
      <c r="B622" s="11" t="str">
        <f>VLOOKUP($A622,SkillEnum!$A$2:$C$1020,2,FALSE)</f>
        <v>SI_SA_AHM_INFERNAL_WAVE</v>
      </c>
      <c r="C622" s="11">
        <v>7</v>
      </c>
      <c r="D622" s="10" t="str">
        <f>VLOOKUP($C622,SkillEnum!$D$2:$E$10,2,FALSE)</f>
        <v>ST_SPECIAL_ACTIVE</v>
      </c>
      <c r="E622" s="11" t="str">
        <f>VLOOKUP($A622,SkillEnum!$A$2:$C$1020,3,FALSE)</f>
        <v>인퍼널 웨이브</v>
      </c>
      <c r="F622" s="11" t="str">
        <f>"완드를 휘둘러 물리공격력의 "&amp;ROUND(3*H622*100,0)&amp;" %로 3타 가격하고 라이트닝 볼트로 마법데미지의 "&amp;ROUND(0.5*H622*100,0)&amp;" %로 연속타격한 뒤, 강력한 메테오를 던져 마법데미지의 "&amp;ROUND(1.5*H622*100,0)&amp;" %로 연속타격하여 마무리 하는 필살 콤비네이션"</f>
        <v>완드를 휘둘러 물리공격력의 210 %로 3타 가격하고 라이트닝 볼트로 마법데미지의 35 %로 연속타격한 뒤, 강력한 메테오를 던져 마법데미지의 105 %로 연속타격하여 마무리 하는 필살 콤비네이션</v>
      </c>
      <c r="G622" s="10">
        <v>1</v>
      </c>
      <c r="H622" s="2">
        <v>0.7</v>
      </c>
      <c r="I622" s="2">
        <v>23</v>
      </c>
      <c r="J622" s="2">
        <v>250</v>
      </c>
      <c r="K622" s="2">
        <v>0</v>
      </c>
      <c r="L622" s="2">
        <v>0</v>
      </c>
      <c r="M622" s="2">
        <v>0</v>
      </c>
      <c r="N622" s="2">
        <v>0</v>
      </c>
      <c r="O622" s="2">
        <v>0</v>
      </c>
      <c r="P622" s="2" t="s">
        <v>437</v>
      </c>
      <c r="Q622" s="2" t="str">
        <f t="shared" si="84"/>
        <v>SI_SA_AHM_INFERNAL_WAVE</v>
      </c>
      <c r="R622" s="2" t="b">
        <v>0</v>
      </c>
      <c r="S622" s="2" t="b">
        <v>1</v>
      </c>
      <c r="T622" s="2">
        <v>1</v>
      </c>
      <c r="U622" s="2"/>
    </row>
    <row r="623" spans="1:21">
      <c r="A623" s="4">
        <v>1508</v>
      </c>
      <c r="B623" s="7" t="str">
        <f>VLOOKUP($A623,SkillEnum!$A$2:$C$1020,2,FALSE)</f>
        <v>SI_SA_AHM_INFERNAL_WAVE</v>
      </c>
      <c r="C623" s="7">
        <v>7</v>
      </c>
      <c r="D623" s="2" t="str">
        <f>VLOOKUP($C623,SkillEnum!$D$2:$E$10,2,FALSE)</f>
        <v>ST_SPECIAL_ACTIVE</v>
      </c>
      <c r="E623" s="7" t="str">
        <f>VLOOKUP($A623,SkillEnum!$A$2:$C$1020,3,FALSE)</f>
        <v>인퍼널 웨이브</v>
      </c>
      <c r="F623" s="7" t="str">
        <f t="shared" ref="F623:F631" si="85">"완드를 휘둘러 물리공격력의 "&amp;ROUND(3*H623*100,0)&amp;" %로 3타 가격하고 라이트닝 볼트로 마법데미지의 "&amp;ROUND(0.5*H623*100,0)&amp;" %로 연속타격한 뒤, 강력한 메테오를 던져 마법데미지의 "&amp;ROUND(1.5*H623*100,0)&amp;" %로 연속타격하여 마무리 하는 필살 콤비네이션"</f>
        <v>완드를 휘둘러 물리공격력의 252 %로 3타 가격하고 라이트닝 볼트로 마법데미지의 42 %로 연속타격한 뒤, 강력한 메테오를 던져 마법데미지의 126 %로 연속타격하여 마무리 하는 필살 콤비네이션</v>
      </c>
      <c r="G623" s="2">
        <v>2</v>
      </c>
      <c r="H623" s="2">
        <v>0.84</v>
      </c>
      <c r="I623" s="2">
        <v>23</v>
      </c>
      <c r="J623" s="2">
        <v>250</v>
      </c>
      <c r="K623" s="2">
        <v>0</v>
      </c>
      <c r="L623" s="2">
        <v>0</v>
      </c>
      <c r="M623" s="2">
        <v>0</v>
      </c>
      <c r="N623" s="2">
        <v>0</v>
      </c>
      <c r="O623" s="2">
        <v>0</v>
      </c>
      <c r="P623" s="2" t="s">
        <v>437</v>
      </c>
      <c r="Q623" s="2" t="str">
        <f t="shared" si="84"/>
        <v>SI_SA_AHM_INFERNAL_WAVE</v>
      </c>
      <c r="R623" s="2" t="b">
        <v>0</v>
      </c>
      <c r="S623" s="2" t="b">
        <v>1</v>
      </c>
      <c r="T623" s="2">
        <v>1</v>
      </c>
    </row>
    <row r="624" spans="1:21">
      <c r="A624" s="4">
        <v>1508</v>
      </c>
      <c r="B624" s="7" t="str">
        <f>VLOOKUP($A624,SkillEnum!$A$2:$C$1020,2,FALSE)</f>
        <v>SI_SA_AHM_INFERNAL_WAVE</v>
      </c>
      <c r="C624" s="7">
        <v>7</v>
      </c>
      <c r="D624" s="2" t="str">
        <f>VLOOKUP($C624,SkillEnum!$D$2:$E$10,2,FALSE)</f>
        <v>ST_SPECIAL_ACTIVE</v>
      </c>
      <c r="E624" s="7" t="str">
        <f>VLOOKUP($A624,SkillEnum!$A$2:$C$1020,3,FALSE)</f>
        <v>인퍼널 웨이브</v>
      </c>
      <c r="F624" s="7" t="str">
        <f t="shared" si="85"/>
        <v>완드를 휘둘러 물리공격력의 294 %로 3타 가격하고 라이트닝 볼트로 마법데미지의 49 %로 연속타격한 뒤, 강력한 메테오를 던져 마법데미지의 147 %로 연속타격하여 마무리 하는 필살 콤비네이션</v>
      </c>
      <c r="G624" s="2">
        <v>3</v>
      </c>
      <c r="H624" s="2">
        <v>0.98</v>
      </c>
      <c r="I624" s="2">
        <v>23</v>
      </c>
      <c r="J624" s="2">
        <v>250</v>
      </c>
      <c r="K624" s="2">
        <v>0</v>
      </c>
      <c r="L624" s="2">
        <v>0</v>
      </c>
      <c r="M624" s="2">
        <v>0</v>
      </c>
      <c r="N624" s="2">
        <v>0</v>
      </c>
      <c r="O624" s="2">
        <v>0</v>
      </c>
      <c r="P624" s="2" t="s">
        <v>437</v>
      </c>
      <c r="Q624" s="2" t="str">
        <f t="shared" si="84"/>
        <v>SI_SA_AHM_INFERNAL_WAVE</v>
      </c>
      <c r="R624" s="2" t="b">
        <v>0</v>
      </c>
      <c r="S624" s="2" t="b">
        <v>1</v>
      </c>
      <c r="T624" s="2">
        <v>1</v>
      </c>
    </row>
    <row r="625" spans="1:21">
      <c r="A625" s="4">
        <v>1508</v>
      </c>
      <c r="B625" s="7" t="str">
        <f>VLOOKUP($A625,SkillEnum!$A$2:$C$1020,2,FALSE)</f>
        <v>SI_SA_AHM_INFERNAL_WAVE</v>
      </c>
      <c r="C625" s="7">
        <v>7</v>
      </c>
      <c r="D625" s="2" t="str">
        <f>VLOOKUP($C625,SkillEnum!$D$2:$E$10,2,FALSE)</f>
        <v>ST_SPECIAL_ACTIVE</v>
      </c>
      <c r="E625" s="7" t="str">
        <f>VLOOKUP($A625,SkillEnum!$A$2:$C$1020,3,FALSE)</f>
        <v>인퍼널 웨이브</v>
      </c>
      <c r="F625" s="7" t="str">
        <f t="shared" si="85"/>
        <v>완드를 휘둘러 물리공격력의 336 %로 3타 가격하고 라이트닝 볼트로 마법데미지의 56 %로 연속타격한 뒤, 강력한 메테오를 던져 마법데미지의 168 %로 연속타격하여 마무리 하는 필살 콤비네이션</v>
      </c>
      <c r="G625" s="2">
        <v>4</v>
      </c>
      <c r="H625" s="2">
        <v>1.1200000000000001</v>
      </c>
      <c r="I625" s="2">
        <v>23</v>
      </c>
      <c r="J625" s="2">
        <v>250</v>
      </c>
      <c r="K625" s="2">
        <v>0</v>
      </c>
      <c r="L625" s="2">
        <v>0</v>
      </c>
      <c r="M625" s="2">
        <v>0</v>
      </c>
      <c r="N625" s="2">
        <v>0</v>
      </c>
      <c r="O625" s="2">
        <v>0</v>
      </c>
      <c r="P625" s="2" t="s">
        <v>437</v>
      </c>
      <c r="Q625" s="2" t="str">
        <f t="shared" si="84"/>
        <v>SI_SA_AHM_INFERNAL_WAVE</v>
      </c>
      <c r="R625" s="2" t="b">
        <v>0</v>
      </c>
      <c r="S625" s="2" t="b">
        <v>1</v>
      </c>
      <c r="T625" s="2">
        <v>1</v>
      </c>
    </row>
    <row r="626" spans="1:21">
      <c r="A626" s="4">
        <v>1508</v>
      </c>
      <c r="B626" s="7" t="str">
        <f>VLOOKUP($A626,SkillEnum!$A$2:$C$1020,2,FALSE)</f>
        <v>SI_SA_AHM_INFERNAL_WAVE</v>
      </c>
      <c r="C626" s="7">
        <v>7</v>
      </c>
      <c r="D626" s="2" t="str">
        <f>VLOOKUP($C626,SkillEnum!$D$2:$E$10,2,FALSE)</f>
        <v>ST_SPECIAL_ACTIVE</v>
      </c>
      <c r="E626" s="7" t="str">
        <f>VLOOKUP($A626,SkillEnum!$A$2:$C$1020,3,FALSE)</f>
        <v>인퍼널 웨이브</v>
      </c>
      <c r="F626" s="7" t="str">
        <f t="shared" si="85"/>
        <v>완드를 휘둘러 물리공격력의 399 %로 3타 가격하고 라이트닝 볼트로 마법데미지의 67 %로 연속타격한 뒤, 강력한 메테오를 던져 마법데미지의 200 %로 연속타격하여 마무리 하는 필살 콤비네이션</v>
      </c>
      <c r="G626" s="2">
        <v>5</v>
      </c>
      <c r="H626" s="2">
        <v>1.33</v>
      </c>
      <c r="I626" s="2">
        <v>23</v>
      </c>
      <c r="J626" s="2">
        <v>250</v>
      </c>
      <c r="K626" s="2">
        <v>0</v>
      </c>
      <c r="L626" s="2">
        <v>0</v>
      </c>
      <c r="M626" s="2">
        <v>0</v>
      </c>
      <c r="N626" s="2">
        <v>0</v>
      </c>
      <c r="O626" s="2">
        <v>0</v>
      </c>
      <c r="P626" s="2" t="s">
        <v>437</v>
      </c>
      <c r="Q626" s="2" t="str">
        <f t="shared" si="84"/>
        <v>SI_SA_AHM_INFERNAL_WAVE</v>
      </c>
      <c r="R626" s="2" t="b">
        <v>0</v>
      </c>
      <c r="S626" s="2" t="b">
        <v>1</v>
      </c>
      <c r="T626" s="2">
        <v>1</v>
      </c>
    </row>
    <row r="627" spans="1:21">
      <c r="A627" s="4">
        <v>1508</v>
      </c>
      <c r="B627" s="7" t="str">
        <f>VLOOKUP($A627,SkillEnum!$A$2:$C$1020,2,FALSE)</f>
        <v>SI_SA_AHM_INFERNAL_WAVE</v>
      </c>
      <c r="C627" s="7">
        <v>7</v>
      </c>
      <c r="D627" s="2" t="str">
        <f>VLOOKUP($C627,SkillEnum!$D$2:$E$10,2,FALSE)</f>
        <v>ST_SPECIAL_ACTIVE</v>
      </c>
      <c r="E627" s="7" t="str">
        <f>VLOOKUP($A627,SkillEnum!$A$2:$C$1020,3,FALSE)</f>
        <v>인퍼널 웨이브</v>
      </c>
      <c r="F627" s="7" t="str">
        <f t="shared" si="85"/>
        <v>완드를 휘둘러 물리공격력의 462 %로 3타 가격하고 라이트닝 볼트로 마법데미지의 77 %로 연속타격한 뒤, 강력한 메테오를 던져 마법데미지의 231 %로 연속타격하여 마무리 하는 필살 콤비네이션</v>
      </c>
      <c r="G627" s="2">
        <v>6</v>
      </c>
      <c r="H627" s="2">
        <v>1.54</v>
      </c>
      <c r="I627" s="2">
        <v>23</v>
      </c>
      <c r="J627" s="2">
        <v>250</v>
      </c>
      <c r="K627" s="2">
        <v>0</v>
      </c>
      <c r="L627" s="2">
        <v>0</v>
      </c>
      <c r="M627" s="2">
        <v>0</v>
      </c>
      <c r="N627" s="2">
        <v>0</v>
      </c>
      <c r="O627" s="2">
        <v>0</v>
      </c>
      <c r="P627" s="2" t="s">
        <v>437</v>
      </c>
      <c r="Q627" s="2" t="str">
        <f t="shared" si="84"/>
        <v>SI_SA_AHM_INFERNAL_WAVE</v>
      </c>
      <c r="R627" s="2" t="b">
        <v>0</v>
      </c>
      <c r="S627" s="2" t="b">
        <v>1</v>
      </c>
      <c r="T627" s="2">
        <v>1</v>
      </c>
    </row>
    <row r="628" spans="1:21">
      <c r="A628" s="4">
        <v>1508</v>
      </c>
      <c r="B628" s="7" t="str">
        <f>VLOOKUP($A628,SkillEnum!$A$2:$C$1020,2,FALSE)</f>
        <v>SI_SA_AHM_INFERNAL_WAVE</v>
      </c>
      <c r="C628" s="7">
        <v>7</v>
      </c>
      <c r="D628" s="2" t="str">
        <f>VLOOKUP($C628,SkillEnum!$D$2:$E$10,2,FALSE)</f>
        <v>ST_SPECIAL_ACTIVE</v>
      </c>
      <c r="E628" s="7" t="str">
        <f>VLOOKUP($A628,SkillEnum!$A$2:$C$1020,3,FALSE)</f>
        <v>인퍼널 웨이브</v>
      </c>
      <c r="F628" s="7" t="str">
        <f t="shared" si="85"/>
        <v>완드를 휘둘러 물리공격력의 525 %로 3타 가격하고 라이트닝 볼트로 마법데미지의 88 %로 연속타격한 뒤, 강력한 메테오를 던져 마법데미지의 263 %로 연속타격하여 마무리 하는 필살 콤비네이션</v>
      </c>
      <c r="G628" s="2">
        <v>7</v>
      </c>
      <c r="H628" s="2">
        <v>1.75</v>
      </c>
      <c r="I628" s="2">
        <v>23</v>
      </c>
      <c r="J628" s="2">
        <v>250</v>
      </c>
      <c r="K628" s="2">
        <v>0</v>
      </c>
      <c r="L628" s="2">
        <v>0</v>
      </c>
      <c r="M628" s="2">
        <v>0</v>
      </c>
      <c r="N628" s="2">
        <v>0</v>
      </c>
      <c r="O628" s="2">
        <v>0</v>
      </c>
      <c r="P628" s="2" t="s">
        <v>437</v>
      </c>
      <c r="Q628" s="2" t="str">
        <f t="shared" si="84"/>
        <v>SI_SA_AHM_INFERNAL_WAVE</v>
      </c>
      <c r="R628" s="2" t="b">
        <v>0</v>
      </c>
      <c r="S628" s="2" t="b">
        <v>1</v>
      </c>
      <c r="T628" s="2">
        <v>1</v>
      </c>
    </row>
    <row r="629" spans="1:21">
      <c r="A629" s="4">
        <v>1508</v>
      </c>
      <c r="B629" s="7" t="str">
        <f>VLOOKUP($A629,SkillEnum!$A$2:$C$1020,2,FALSE)</f>
        <v>SI_SA_AHM_INFERNAL_WAVE</v>
      </c>
      <c r="C629" s="7">
        <v>7</v>
      </c>
      <c r="D629" s="2" t="str">
        <f>VLOOKUP($C629,SkillEnum!$D$2:$E$10,2,FALSE)</f>
        <v>ST_SPECIAL_ACTIVE</v>
      </c>
      <c r="E629" s="7" t="str">
        <f>VLOOKUP($A629,SkillEnum!$A$2:$C$1020,3,FALSE)</f>
        <v>인퍼널 웨이브</v>
      </c>
      <c r="F629" s="7" t="str">
        <f t="shared" si="85"/>
        <v>완드를 휘둘러 물리공격력의 588 %로 3타 가격하고 라이트닝 볼트로 마법데미지의 98 %로 연속타격한 뒤, 강력한 메테오를 던져 마법데미지의 294 %로 연속타격하여 마무리 하는 필살 콤비네이션</v>
      </c>
      <c r="G629" s="2">
        <v>8</v>
      </c>
      <c r="H629" s="2">
        <v>1.96</v>
      </c>
      <c r="I629" s="2">
        <v>23</v>
      </c>
      <c r="J629" s="2">
        <v>250</v>
      </c>
      <c r="K629" s="2">
        <v>0</v>
      </c>
      <c r="L629" s="2">
        <v>0</v>
      </c>
      <c r="M629" s="2">
        <v>0</v>
      </c>
      <c r="N629" s="2">
        <v>0</v>
      </c>
      <c r="O629" s="2">
        <v>0</v>
      </c>
      <c r="P629" s="2" t="s">
        <v>437</v>
      </c>
      <c r="Q629" s="2" t="str">
        <f t="shared" si="84"/>
        <v>SI_SA_AHM_INFERNAL_WAVE</v>
      </c>
      <c r="R629" s="2" t="b">
        <v>0</v>
      </c>
      <c r="S629" s="2" t="b">
        <v>1</v>
      </c>
      <c r="T629" s="2">
        <v>1</v>
      </c>
    </row>
    <row r="630" spans="1:21">
      <c r="A630" s="4">
        <v>1508</v>
      </c>
      <c r="B630" s="7" t="str">
        <f>VLOOKUP($A630,SkillEnum!$A$2:$C$1020,2,FALSE)</f>
        <v>SI_SA_AHM_INFERNAL_WAVE</v>
      </c>
      <c r="C630" s="7">
        <v>7</v>
      </c>
      <c r="D630" s="2" t="str">
        <f>VLOOKUP($C630,SkillEnum!$D$2:$E$10,2,FALSE)</f>
        <v>ST_SPECIAL_ACTIVE</v>
      </c>
      <c r="E630" s="7" t="str">
        <f>VLOOKUP($A630,SkillEnum!$A$2:$C$1020,3,FALSE)</f>
        <v>인퍼널 웨이브</v>
      </c>
      <c r="F630" s="7" t="str">
        <f t="shared" si="85"/>
        <v>완드를 휘둘러 물리공격력의 672 %로 3타 가격하고 라이트닝 볼트로 마법데미지의 112 %로 연속타격한 뒤, 강력한 메테오를 던져 마법데미지의 336 %로 연속타격하여 마무리 하는 필살 콤비네이션</v>
      </c>
      <c r="G630" s="2">
        <v>9</v>
      </c>
      <c r="H630" s="2">
        <v>2.2400000000000002</v>
      </c>
      <c r="I630" s="2">
        <v>23</v>
      </c>
      <c r="J630" s="2">
        <v>250</v>
      </c>
      <c r="K630" s="2">
        <v>0</v>
      </c>
      <c r="L630" s="2">
        <v>0</v>
      </c>
      <c r="M630" s="2">
        <v>0</v>
      </c>
      <c r="N630" s="2">
        <v>0</v>
      </c>
      <c r="O630" s="2">
        <v>0</v>
      </c>
      <c r="P630" s="2" t="s">
        <v>437</v>
      </c>
      <c r="Q630" s="2" t="str">
        <f t="shared" si="84"/>
        <v>SI_SA_AHM_INFERNAL_WAVE</v>
      </c>
      <c r="R630" s="2" t="b">
        <v>0</v>
      </c>
      <c r="S630" s="2" t="b">
        <v>1</v>
      </c>
      <c r="T630" s="2">
        <v>1</v>
      </c>
    </row>
    <row r="631" spans="1:21" s="5" customFormat="1">
      <c r="A631" s="6">
        <v>1508</v>
      </c>
      <c r="B631" s="8" t="str">
        <f>VLOOKUP($A631,SkillEnum!$A$2:$C$1020,2,FALSE)</f>
        <v>SI_SA_AHM_INFERNAL_WAVE</v>
      </c>
      <c r="C631" s="8">
        <v>7</v>
      </c>
      <c r="D631" s="5" t="str">
        <f>VLOOKUP($C631,SkillEnum!$D$2:$E$10,2,FALSE)</f>
        <v>ST_SPECIAL_ACTIVE</v>
      </c>
      <c r="E631" s="8" t="str">
        <f>VLOOKUP($A631,SkillEnum!$A$2:$C$1020,3,FALSE)</f>
        <v>인퍼널 웨이브</v>
      </c>
      <c r="F631" s="8" t="str">
        <f t="shared" si="85"/>
        <v>완드를 휘둘러 물리공격력의 756 %로 3타 가격하고 라이트닝 볼트로 마법데미지의 126 %로 연속타격한 뒤, 강력한 메테오를 던져 마법데미지의 378 %로 연속타격하여 마무리 하는 필살 콤비네이션</v>
      </c>
      <c r="G631" s="5">
        <v>10</v>
      </c>
      <c r="H631" s="5">
        <v>2.52</v>
      </c>
      <c r="I631" s="5">
        <v>23</v>
      </c>
      <c r="J631" s="5">
        <v>250</v>
      </c>
      <c r="K631" s="5">
        <v>0</v>
      </c>
      <c r="L631" s="5">
        <v>0</v>
      </c>
      <c r="M631" s="5">
        <v>0</v>
      </c>
      <c r="N631" s="5">
        <v>0</v>
      </c>
      <c r="O631" s="5">
        <v>0</v>
      </c>
      <c r="P631" s="2" t="s">
        <v>437</v>
      </c>
      <c r="Q631" s="2" t="str">
        <f t="shared" si="84"/>
        <v>SI_SA_AHM_INFERNAL_WAVE</v>
      </c>
      <c r="R631" s="5" t="b">
        <v>0</v>
      </c>
      <c r="S631" s="2" t="b">
        <v>1</v>
      </c>
      <c r="T631" s="2">
        <v>1</v>
      </c>
      <c r="U631" s="2"/>
    </row>
    <row r="632" spans="1:21">
      <c r="A632" s="4">
        <v>1509</v>
      </c>
      <c r="B632" s="7" t="str">
        <f>VLOOKUP($A632,SkillEnum!$A$2:$C$1020,2,FALSE)</f>
        <v>SI_SA_ADM_HELL_STONE</v>
      </c>
      <c r="C632" s="7">
        <v>7</v>
      </c>
      <c r="D632" s="2" t="str">
        <f>VLOOKUP($C632,SkillEnum!$D$2:$E$10,2,FALSE)</f>
        <v>ST_SPECIAL_ACTIVE</v>
      </c>
      <c r="E632" s="11" t="str">
        <f>VLOOKUP($A632,SkillEnum!$A$2:$C$1020,3,FALSE)</f>
        <v>헬 스톤</v>
      </c>
      <c r="F632" s="11" t="str">
        <f>"회전하는 마계의 괴암석을 소환하여 마법공격력의 "&amp;ROUND(1.8*H632*100,0)&amp;" %로 전방의 적을 연속타격 하고 마법공격력의 "&amp;ROUND(2*H632*100,0)&amp;" % 데미지로 튕겨 낸다. (각성 시 공격력은 "&amp;ROUND(1.5*1.2*H632*100,0)&amp;" %로 같지만 연속타격 횟수가 많아 진다.)"</f>
        <v>회전하는 마계의 괴암석을 소환하여 마법공격력의 126 %로 전방의 적을 연속타격 하고 마법공격력의 140 % 데미지로 튕겨 낸다. (각성 시 공격력은 126 %로 같지만 연속타격 횟수가 많아 진다.)</v>
      </c>
      <c r="G632" s="10">
        <v>1</v>
      </c>
      <c r="H632" s="2">
        <v>0.7</v>
      </c>
      <c r="I632" s="2">
        <v>3</v>
      </c>
      <c r="J632" s="2">
        <v>120</v>
      </c>
      <c r="K632" s="2">
        <v>0</v>
      </c>
      <c r="L632" s="2">
        <v>0</v>
      </c>
      <c r="M632" s="2">
        <v>0</v>
      </c>
      <c r="N632" s="2">
        <v>0</v>
      </c>
      <c r="O632" s="2">
        <v>0</v>
      </c>
      <c r="P632" s="2" t="s">
        <v>437</v>
      </c>
      <c r="Q632" s="2" t="str">
        <f t="shared" si="84"/>
        <v>SI_SA_ADM_HELL_STONE</v>
      </c>
      <c r="R632" s="2" t="b">
        <v>0</v>
      </c>
      <c r="S632" s="2" t="b">
        <v>1</v>
      </c>
      <c r="T632" s="2">
        <v>1</v>
      </c>
    </row>
    <row r="633" spans="1:21">
      <c r="A633" s="4">
        <v>1509</v>
      </c>
      <c r="B633" s="7" t="str">
        <f>VLOOKUP($A633,SkillEnum!$A$2:$C$1020,2,FALSE)</f>
        <v>SI_SA_ADM_HELL_STONE</v>
      </c>
      <c r="C633" s="7">
        <v>7</v>
      </c>
      <c r="D633" s="2" t="str">
        <f>VLOOKUP($C633,SkillEnum!$D$2:$E$10,2,FALSE)</f>
        <v>ST_SPECIAL_ACTIVE</v>
      </c>
      <c r="E633" s="7" t="str">
        <f>VLOOKUP($A633,SkillEnum!$A$2:$C$1020,3,FALSE)</f>
        <v>헬 스톤</v>
      </c>
      <c r="F633" s="7" t="str">
        <f t="shared" ref="F633:F641" si="86">"회전하는 마계의 괴암석을 소환하여 마법공격력의 "&amp;ROUND(1.8*H633*100,0)&amp;" %로 전방의 적을 연속타격 하고 마법공격력의 "&amp;ROUND(2*H633*100,0)&amp;" % 데미지로 튕겨 낸다. (각성 시 공격력은 "&amp;ROUND(1.5*1.2*H633*100,0)&amp;" %로 같지만 연속타격 횟수가 많아 진다.)"</f>
        <v>회전하는 마계의 괴암석을 소환하여 마법공격력의 151 %로 전방의 적을 연속타격 하고 마법공격력의 168 % 데미지로 튕겨 낸다. (각성 시 공격력은 151 %로 같지만 연속타격 횟수가 많아 진다.)</v>
      </c>
      <c r="G633" s="2">
        <v>2</v>
      </c>
      <c r="H633" s="2">
        <v>0.84</v>
      </c>
      <c r="I633" s="2">
        <v>3</v>
      </c>
      <c r="J633" s="2">
        <v>120</v>
      </c>
      <c r="K633" s="2">
        <v>0</v>
      </c>
      <c r="L633" s="2">
        <v>0</v>
      </c>
      <c r="M633" s="2">
        <v>0</v>
      </c>
      <c r="N633" s="2">
        <v>0</v>
      </c>
      <c r="O633" s="2">
        <v>0</v>
      </c>
      <c r="P633" s="2" t="s">
        <v>437</v>
      </c>
      <c r="Q633" s="2" t="str">
        <f t="shared" si="84"/>
        <v>SI_SA_ADM_HELL_STONE</v>
      </c>
      <c r="R633" s="2" t="b">
        <v>0</v>
      </c>
      <c r="S633" s="2" t="b">
        <v>1</v>
      </c>
      <c r="T633" s="2">
        <v>1</v>
      </c>
    </row>
    <row r="634" spans="1:21">
      <c r="A634" s="4">
        <v>1509</v>
      </c>
      <c r="B634" s="7" t="str">
        <f>VLOOKUP($A634,SkillEnum!$A$2:$C$1020,2,FALSE)</f>
        <v>SI_SA_ADM_HELL_STONE</v>
      </c>
      <c r="C634" s="7">
        <v>7</v>
      </c>
      <c r="D634" s="2" t="str">
        <f>VLOOKUP($C634,SkillEnum!$D$2:$E$10,2,FALSE)</f>
        <v>ST_SPECIAL_ACTIVE</v>
      </c>
      <c r="E634" s="7" t="str">
        <f>VLOOKUP($A634,SkillEnum!$A$2:$C$1020,3,FALSE)</f>
        <v>헬 스톤</v>
      </c>
      <c r="F634" s="7" t="str">
        <f t="shared" si="86"/>
        <v>회전하는 마계의 괴암석을 소환하여 마법공격력의 176 %로 전방의 적을 연속타격 하고 마법공격력의 196 % 데미지로 튕겨 낸다. (각성 시 공격력은 176 %로 같지만 연속타격 횟수가 많아 진다.)</v>
      </c>
      <c r="G634" s="2">
        <v>3</v>
      </c>
      <c r="H634" s="2">
        <v>0.98</v>
      </c>
      <c r="I634" s="2">
        <v>3</v>
      </c>
      <c r="J634" s="2">
        <v>120</v>
      </c>
      <c r="K634" s="2">
        <v>0</v>
      </c>
      <c r="L634" s="2">
        <v>0</v>
      </c>
      <c r="M634" s="2">
        <v>0</v>
      </c>
      <c r="N634" s="2">
        <v>0</v>
      </c>
      <c r="O634" s="2">
        <v>0</v>
      </c>
      <c r="P634" s="2" t="s">
        <v>437</v>
      </c>
      <c r="Q634" s="2" t="str">
        <f t="shared" si="84"/>
        <v>SI_SA_ADM_HELL_STONE</v>
      </c>
      <c r="R634" s="2" t="b">
        <v>0</v>
      </c>
      <c r="S634" s="2" t="b">
        <v>1</v>
      </c>
      <c r="T634" s="2">
        <v>1</v>
      </c>
    </row>
    <row r="635" spans="1:21">
      <c r="A635" s="4">
        <v>1509</v>
      </c>
      <c r="B635" s="7" t="str">
        <f>VLOOKUP($A635,SkillEnum!$A$2:$C$1020,2,FALSE)</f>
        <v>SI_SA_ADM_HELL_STONE</v>
      </c>
      <c r="C635" s="7">
        <v>7</v>
      </c>
      <c r="D635" s="2" t="str">
        <f>VLOOKUP($C635,SkillEnum!$D$2:$E$10,2,FALSE)</f>
        <v>ST_SPECIAL_ACTIVE</v>
      </c>
      <c r="E635" s="7" t="str">
        <f>VLOOKUP($A635,SkillEnum!$A$2:$C$1020,3,FALSE)</f>
        <v>헬 스톤</v>
      </c>
      <c r="F635" s="7" t="str">
        <f t="shared" si="86"/>
        <v>회전하는 마계의 괴암석을 소환하여 마법공격력의 202 %로 전방의 적을 연속타격 하고 마법공격력의 224 % 데미지로 튕겨 낸다. (각성 시 공격력은 202 %로 같지만 연속타격 횟수가 많아 진다.)</v>
      </c>
      <c r="G635" s="2">
        <v>4</v>
      </c>
      <c r="H635" s="2">
        <v>1.1200000000000001</v>
      </c>
      <c r="I635" s="2">
        <v>3</v>
      </c>
      <c r="J635" s="2">
        <v>120</v>
      </c>
      <c r="K635" s="2">
        <v>0</v>
      </c>
      <c r="L635" s="2">
        <v>0</v>
      </c>
      <c r="M635" s="2">
        <v>0</v>
      </c>
      <c r="N635" s="2">
        <v>0</v>
      </c>
      <c r="O635" s="2">
        <v>0</v>
      </c>
      <c r="P635" s="2" t="s">
        <v>437</v>
      </c>
      <c r="Q635" s="2" t="str">
        <f t="shared" si="84"/>
        <v>SI_SA_ADM_HELL_STONE</v>
      </c>
      <c r="R635" s="2" t="b">
        <v>0</v>
      </c>
      <c r="S635" s="2" t="b">
        <v>1</v>
      </c>
      <c r="T635" s="2">
        <v>1</v>
      </c>
    </row>
    <row r="636" spans="1:21">
      <c r="A636" s="4">
        <v>1509</v>
      </c>
      <c r="B636" s="7" t="str">
        <f>VLOOKUP($A636,SkillEnum!$A$2:$C$1020,2,FALSE)</f>
        <v>SI_SA_ADM_HELL_STONE</v>
      </c>
      <c r="C636" s="7">
        <v>7</v>
      </c>
      <c r="D636" s="2" t="str">
        <f>VLOOKUP($C636,SkillEnum!$D$2:$E$10,2,FALSE)</f>
        <v>ST_SPECIAL_ACTIVE</v>
      </c>
      <c r="E636" s="7" t="str">
        <f>VLOOKUP($A636,SkillEnum!$A$2:$C$1020,3,FALSE)</f>
        <v>헬 스톤</v>
      </c>
      <c r="F636" s="7" t="str">
        <f t="shared" si="86"/>
        <v>회전하는 마계의 괴암석을 소환하여 마법공격력의 239 %로 전방의 적을 연속타격 하고 마법공격력의 266 % 데미지로 튕겨 낸다. (각성 시 공격력은 239 %로 같지만 연속타격 횟수가 많아 진다.)</v>
      </c>
      <c r="G636" s="2">
        <v>5</v>
      </c>
      <c r="H636" s="2">
        <v>1.33</v>
      </c>
      <c r="I636" s="2">
        <v>3</v>
      </c>
      <c r="J636" s="2">
        <v>120</v>
      </c>
      <c r="K636" s="2">
        <v>0</v>
      </c>
      <c r="L636" s="2">
        <v>0</v>
      </c>
      <c r="M636" s="2">
        <v>0</v>
      </c>
      <c r="N636" s="2">
        <v>0</v>
      </c>
      <c r="O636" s="2">
        <v>0</v>
      </c>
      <c r="P636" s="2" t="s">
        <v>437</v>
      </c>
      <c r="Q636" s="2" t="str">
        <f t="shared" si="84"/>
        <v>SI_SA_ADM_HELL_STONE</v>
      </c>
      <c r="R636" s="2" t="b">
        <v>0</v>
      </c>
      <c r="S636" s="2" t="b">
        <v>1</v>
      </c>
      <c r="T636" s="2">
        <v>1</v>
      </c>
    </row>
    <row r="637" spans="1:21">
      <c r="A637" s="4">
        <v>1509</v>
      </c>
      <c r="B637" s="7" t="str">
        <f>VLOOKUP($A637,SkillEnum!$A$2:$C$1020,2,FALSE)</f>
        <v>SI_SA_ADM_HELL_STONE</v>
      </c>
      <c r="C637" s="7">
        <v>7</v>
      </c>
      <c r="D637" s="2" t="str">
        <f>VLOOKUP($C637,SkillEnum!$D$2:$E$10,2,FALSE)</f>
        <v>ST_SPECIAL_ACTIVE</v>
      </c>
      <c r="E637" s="7" t="str">
        <f>VLOOKUP($A637,SkillEnum!$A$2:$C$1020,3,FALSE)</f>
        <v>헬 스톤</v>
      </c>
      <c r="F637" s="7" t="str">
        <f t="shared" si="86"/>
        <v>회전하는 마계의 괴암석을 소환하여 마법공격력의 277 %로 전방의 적을 연속타격 하고 마법공격력의 308 % 데미지로 튕겨 낸다. (각성 시 공격력은 277 %로 같지만 연속타격 횟수가 많아 진다.)</v>
      </c>
      <c r="G637" s="2">
        <v>6</v>
      </c>
      <c r="H637" s="2">
        <v>1.54</v>
      </c>
      <c r="I637" s="2">
        <v>3</v>
      </c>
      <c r="J637" s="2">
        <v>120</v>
      </c>
      <c r="K637" s="2">
        <v>0</v>
      </c>
      <c r="L637" s="2">
        <v>0</v>
      </c>
      <c r="M637" s="2">
        <v>0</v>
      </c>
      <c r="N637" s="2">
        <v>0</v>
      </c>
      <c r="O637" s="2">
        <v>0</v>
      </c>
      <c r="P637" s="2" t="s">
        <v>437</v>
      </c>
      <c r="Q637" s="2" t="str">
        <f t="shared" si="84"/>
        <v>SI_SA_ADM_HELL_STONE</v>
      </c>
      <c r="R637" s="2" t="b">
        <v>0</v>
      </c>
      <c r="S637" s="2" t="b">
        <v>1</v>
      </c>
      <c r="T637" s="2">
        <v>1</v>
      </c>
    </row>
    <row r="638" spans="1:21">
      <c r="A638" s="4">
        <v>1509</v>
      </c>
      <c r="B638" s="7" t="str">
        <f>VLOOKUP($A638,SkillEnum!$A$2:$C$1020,2,FALSE)</f>
        <v>SI_SA_ADM_HELL_STONE</v>
      </c>
      <c r="C638" s="7">
        <v>7</v>
      </c>
      <c r="D638" s="2" t="str">
        <f>VLOOKUP($C638,SkillEnum!$D$2:$E$10,2,FALSE)</f>
        <v>ST_SPECIAL_ACTIVE</v>
      </c>
      <c r="E638" s="7" t="str">
        <f>VLOOKUP($A638,SkillEnum!$A$2:$C$1020,3,FALSE)</f>
        <v>헬 스톤</v>
      </c>
      <c r="F638" s="7" t="str">
        <f t="shared" si="86"/>
        <v>회전하는 마계의 괴암석을 소환하여 마법공격력의 315 %로 전방의 적을 연속타격 하고 마법공격력의 350 % 데미지로 튕겨 낸다. (각성 시 공격력은 315 %로 같지만 연속타격 횟수가 많아 진다.)</v>
      </c>
      <c r="G638" s="2">
        <v>7</v>
      </c>
      <c r="H638" s="2">
        <v>1.75</v>
      </c>
      <c r="I638" s="2">
        <v>3</v>
      </c>
      <c r="J638" s="2">
        <v>120</v>
      </c>
      <c r="K638" s="2">
        <v>0</v>
      </c>
      <c r="L638" s="2">
        <v>0</v>
      </c>
      <c r="M638" s="2">
        <v>0</v>
      </c>
      <c r="N638" s="2">
        <v>0</v>
      </c>
      <c r="O638" s="2">
        <v>0</v>
      </c>
      <c r="P638" s="2" t="s">
        <v>437</v>
      </c>
      <c r="Q638" s="2" t="str">
        <f t="shared" si="84"/>
        <v>SI_SA_ADM_HELL_STONE</v>
      </c>
      <c r="R638" s="2" t="b">
        <v>0</v>
      </c>
      <c r="S638" s="2" t="b">
        <v>1</v>
      </c>
      <c r="T638" s="2">
        <v>1</v>
      </c>
    </row>
    <row r="639" spans="1:21">
      <c r="A639" s="4">
        <v>1509</v>
      </c>
      <c r="B639" s="7" t="str">
        <f>VLOOKUP($A639,SkillEnum!$A$2:$C$1020,2,FALSE)</f>
        <v>SI_SA_ADM_HELL_STONE</v>
      </c>
      <c r="C639" s="7">
        <v>7</v>
      </c>
      <c r="D639" s="2" t="str">
        <f>VLOOKUP($C639,SkillEnum!$D$2:$E$10,2,FALSE)</f>
        <v>ST_SPECIAL_ACTIVE</v>
      </c>
      <c r="E639" s="7" t="str">
        <f>VLOOKUP($A639,SkillEnum!$A$2:$C$1020,3,FALSE)</f>
        <v>헬 스톤</v>
      </c>
      <c r="F639" s="7" t="str">
        <f t="shared" si="86"/>
        <v>회전하는 마계의 괴암석을 소환하여 마법공격력의 353 %로 전방의 적을 연속타격 하고 마법공격력의 392 % 데미지로 튕겨 낸다. (각성 시 공격력은 353 %로 같지만 연속타격 횟수가 많아 진다.)</v>
      </c>
      <c r="G639" s="2">
        <v>8</v>
      </c>
      <c r="H639" s="2">
        <v>1.96</v>
      </c>
      <c r="I639" s="2">
        <v>3</v>
      </c>
      <c r="J639" s="2">
        <v>120</v>
      </c>
      <c r="K639" s="2">
        <v>0</v>
      </c>
      <c r="L639" s="2">
        <v>0</v>
      </c>
      <c r="M639" s="2">
        <v>0</v>
      </c>
      <c r="N639" s="2">
        <v>0</v>
      </c>
      <c r="O639" s="2">
        <v>0</v>
      </c>
      <c r="P639" s="2" t="s">
        <v>437</v>
      </c>
      <c r="Q639" s="2" t="str">
        <f t="shared" si="84"/>
        <v>SI_SA_ADM_HELL_STONE</v>
      </c>
      <c r="R639" s="2" t="b">
        <v>0</v>
      </c>
      <c r="S639" s="2" t="b">
        <v>1</v>
      </c>
      <c r="T639" s="2">
        <v>1</v>
      </c>
    </row>
    <row r="640" spans="1:21">
      <c r="A640" s="4">
        <v>1509</v>
      </c>
      <c r="B640" s="7" t="str">
        <f>VLOOKUP($A640,SkillEnum!$A$2:$C$1020,2,FALSE)</f>
        <v>SI_SA_ADM_HELL_STONE</v>
      </c>
      <c r="C640" s="7">
        <v>7</v>
      </c>
      <c r="D640" s="2" t="str">
        <f>VLOOKUP($C640,SkillEnum!$D$2:$E$10,2,FALSE)</f>
        <v>ST_SPECIAL_ACTIVE</v>
      </c>
      <c r="E640" s="7" t="str">
        <f>VLOOKUP($A640,SkillEnum!$A$2:$C$1020,3,FALSE)</f>
        <v>헬 스톤</v>
      </c>
      <c r="F640" s="7" t="str">
        <f t="shared" si="86"/>
        <v>회전하는 마계의 괴암석을 소환하여 마법공격력의 403 %로 전방의 적을 연속타격 하고 마법공격력의 448 % 데미지로 튕겨 낸다. (각성 시 공격력은 403 %로 같지만 연속타격 횟수가 많아 진다.)</v>
      </c>
      <c r="G640" s="2">
        <v>9</v>
      </c>
      <c r="H640" s="2">
        <v>2.2400000000000002</v>
      </c>
      <c r="I640" s="2">
        <v>3</v>
      </c>
      <c r="J640" s="2">
        <v>120</v>
      </c>
      <c r="K640" s="2">
        <v>0</v>
      </c>
      <c r="L640" s="2">
        <v>0</v>
      </c>
      <c r="M640" s="2">
        <v>0</v>
      </c>
      <c r="N640" s="2">
        <v>0</v>
      </c>
      <c r="O640" s="2">
        <v>0</v>
      </c>
      <c r="P640" s="2" t="s">
        <v>437</v>
      </c>
      <c r="Q640" s="2" t="str">
        <f t="shared" si="84"/>
        <v>SI_SA_ADM_HELL_STONE</v>
      </c>
      <c r="R640" s="2" t="b">
        <v>0</v>
      </c>
      <c r="S640" s="2" t="b">
        <v>1</v>
      </c>
      <c r="T640" s="2">
        <v>1</v>
      </c>
    </row>
    <row r="641" spans="1:21" s="5" customFormat="1">
      <c r="A641" s="6">
        <v>1509</v>
      </c>
      <c r="B641" s="8" t="str">
        <f>VLOOKUP($A641,SkillEnum!$A$2:$C$1020,2,FALSE)</f>
        <v>SI_SA_ADM_HELL_STONE</v>
      </c>
      <c r="C641" s="8">
        <v>7</v>
      </c>
      <c r="D641" s="5" t="str">
        <f>VLOOKUP($C641,SkillEnum!$D$2:$E$10,2,FALSE)</f>
        <v>ST_SPECIAL_ACTIVE</v>
      </c>
      <c r="E641" s="8" t="str">
        <f>VLOOKUP($A641,SkillEnum!$A$2:$C$1020,3,FALSE)</f>
        <v>헬 스톤</v>
      </c>
      <c r="F641" s="8" t="str">
        <f t="shared" si="86"/>
        <v>회전하는 마계의 괴암석을 소환하여 마법공격력의 454 %로 전방의 적을 연속타격 하고 마법공격력의 504 % 데미지로 튕겨 낸다. (각성 시 공격력은 454 %로 같지만 연속타격 횟수가 많아 진다.)</v>
      </c>
      <c r="G641" s="5">
        <v>10</v>
      </c>
      <c r="H641" s="5">
        <v>2.52</v>
      </c>
      <c r="I641" s="5">
        <v>3</v>
      </c>
      <c r="J641" s="5">
        <v>120</v>
      </c>
      <c r="K641" s="5">
        <v>0</v>
      </c>
      <c r="L641" s="5">
        <v>0</v>
      </c>
      <c r="M641" s="5">
        <v>0</v>
      </c>
      <c r="N641" s="5">
        <v>0</v>
      </c>
      <c r="O641" s="5">
        <v>0</v>
      </c>
      <c r="P641" s="2" t="s">
        <v>437</v>
      </c>
      <c r="Q641" s="2" t="str">
        <f t="shared" si="84"/>
        <v>SI_SA_ADM_HELL_STONE</v>
      </c>
      <c r="R641" s="5" t="b">
        <v>0</v>
      </c>
      <c r="S641" s="2" t="b">
        <v>1</v>
      </c>
      <c r="T641" s="2">
        <v>1</v>
      </c>
      <c r="U641" s="2"/>
    </row>
    <row r="642" spans="1:21">
      <c r="A642" s="4">
        <v>1510</v>
      </c>
      <c r="B642" s="7" t="str">
        <f>VLOOKUP($A642,SkillEnum!$A$2:$C$1020,2,FALSE)</f>
        <v>SI_SA_ADM_DARK_CLOUD</v>
      </c>
      <c r="C642" s="7">
        <v>7</v>
      </c>
      <c r="D642" s="2" t="str">
        <f>VLOOKUP($C642,SkillEnum!$D$2:$E$10,2,FALSE)</f>
        <v>ST_SPECIAL_ACTIVE</v>
      </c>
      <c r="E642" s="11" t="str">
        <f>VLOOKUP($A642,SkillEnum!$A$2:$C$1020,3,FALSE)</f>
        <v>다크 클라우드</v>
      </c>
      <c r="F642" s="7" t="str">
        <f>"짙은 어둠으로 둘러쌓인 구름을 만들어 내어 마법공격력의 "&amp;ROUND(2.3*H642*100,0)&amp;" %로 범위 내의 적을 연속타격하고 추가로 중독시켜 10초간 2000의 데미지를 준다."</f>
        <v>짙은 어둠으로 둘러쌓인 구름을 만들어 내어 마법공격력의 161 %로 범위 내의 적을 연속타격하고 추가로 중독시켜 10초간 2000의 데미지를 준다.</v>
      </c>
      <c r="G642" s="10">
        <v>1</v>
      </c>
      <c r="H642" s="2">
        <v>0.7</v>
      </c>
      <c r="I642" s="2">
        <v>10</v>
      </c>
      <c r="J642" s="2">
        <v>200</v>
      </c>
      <c r="K642" s="2">
        <v>0</v>
      </c>
      <c r="L642" s="2">
        <v>0</v>
      </c>
      <c r="M642" s="2">
        <v>0</v>
      </c>
      <c r="N642" s="2">
        <v>0</v>
      </c>
      <c r="O642" s="2">
        <v>0</v>
      </c>
      <c r="P642" s="2" t="s">
        <v>437</v>
      </c>
      <c r="Q642" s="2" t="str">
        <f t="shared" si="84"/>
        <v>SI_SA_ADM_DARK_CLOUD</v>
      </c>
      <c r="R642" s="2" t="b">
        <v>0</v>
      </c>
      <c r="S642" s="2" t="b">
        <v>1</v>
      </c>
      <c r="T642" s="2">
        <v>1</v>
      </c>
    </row>
    <row r="643" spans="1:21">
      <c r="A643" s="4">
        <v>1510</v>
      </c>
      <c r="B643" s="7" t="str">
        <f>VLOOKUP($A643,SkillEnum!$A$2:$C$1020,2,FALSE)</f>
        <v>SI_SA_ADM_DARK_CLOUD</v>
      </c>
      <c r="C643" s="7">
        <v>7</v>
      </c>
      <c r="D643" s="2" t="str">
        <f>VLOOKUP($C643,SkillEnum!$D$2:$E$10,2,FALSE)</f>
        <v>ST_SPECIAL_ACTIVE</v>
      </c>
      <c r="E643" s="7" t="str">
        <f>VLOOKUP($A643,SkillEnum!$A$2:$C$1020,3,FALSE)</f>
        <v>다크 클라우드</v>
      </c>
      <c r="F643" s="7" t="str">
        <f t="shared" ref="F643:F651" si="87">"짙은 어둠으로 둘러쌓인 구름을 만들어 내어 마법공격력의 "&amp;ROUND(2.3*H643*100,0)&amp;" %로 범위 내의 적을 연속타격하고 추가로 중독시켜 10초간 2000의 데미지를 준다."</f>
        <v>짙은 어둠으로 둘러쌓인 구름을 만들어 내어 마법공격력의 193 %로 범위 내의 적을 연속타격하고 추가로 중독시켜 10초간 2000의 데미지를 준다.</v>
      </c>
      <c r="G643" s="2">
        <v>2</v>
      </c>
      <c r="H643" s="2">
        <v>0.84</v>
      </c>
      <c r="I643" s="2">
        <v>10</v>
      </c>
      <c r="J643" s="2">
        <v>200</v>
      </c>
      <c r="K643" s="2">
        <v>0</v>
      </c>
      <c r="L643" s="2">
        <v>0</v>
      </c>
      <c r="M643" s="2">
        <v>0</v>
      </c>
      <c r="N643" s="2">
        <v>0</v>
      </c>
      <c r="O643" s="2">
        <v>0</v>
      </c>
      <c r="P643" s="2" t="s">
        <v>437</v>
      </c>
      <c r="Q643" s="2" t="str">
        <f t="shared" si="84"/>
        <v>SI_SA_ADM_DARK_CLOUD</v>
      </c>
      <c r="R643" s="2" t="b">
        <v>0</v>
      </c>
      <c r="S643" s="2" t="b">
        <v>1</v>
      </c>
      <c r="T643" s="2">
        <v>1</v>
      </c>
    </row>
    <row r="644" spans="1:21">
      <c r="A644" s="4">
        <v>1510</v>
      </c>
      <c r="B644" s="7" t="str">
        <f>VLOOKUP($A644,SkillEnum!$A$2:$C$1020,2,FALSE)</f>
        <v>SI_SA_ADM_DARK_CLOUD</v>
      </c>
      <c r="C644" s="7">
        <v>7</v>
      </c>
      <c r="D644" s="2" t="str">
        <f>VLOOKUP($C644,SkillEnum!$D$2:$E$10,2,FALSE)</f>
        <v>ST_SPECIAL_ACTIVE</v>
      </c>
      <c r="E644" s="7" t="str">
        <f>VLOOKUP($A644,SkillEnum!$A$2:$C$1020,3,FALSE)</f>
        <v>다크 클라우드</v>
      </c>
      <c r="F644" s="7" t="str">
        <f t="shared" si="87"/>
        <v>짙은 어둠으로 둘러쌓인 구름을 만들어 내어 마법공격력의 225 %로 범위 내의 적을 연속타격하고 추가로 중독시켜 10초간 2000의 데미지를 준다.</v>
      </c>
      <c r="G644" s="2">
        <v>3</v>
      </c>
      <c r="H644" s="2">
        <v>0.98</v>
      </c>
      <c r="I644" s="2">
        <v>10</v>
      </c>
      <c r="J644" s="2">
        <v>200</v>
      </c>
      <c r="K644" s="2">
        <v>0</v>
      </c>
      <c r="L644" s="2">
        <v>0</v>
      </c>
      <c r="M644" s="2">
        <v>0</v>
      </c>
      <c r="N644" s="2">
        <v>0</v>
      </c>
      <c r="O644" s="2">
        <v>0</v>
      </c>
      <c r="P644" s="2" t="s">
        <v>437</v>
      </c>
      <c r="Q644" s="2" t="str">
        <f t="shared" si="84"/>
        <v>SI_SA_ADM_DARK_CLOUD</v>
      </c>
      <c r="R644" s="2" t="b">
        <v>0</v>
      </c>
      <c r="S644" s="2" t="b">
        <v>1</v>
      </c>
      <c r="T644" s="2">
        <v>1</v>
      </c>
    </row>
    <row r="645" spans="1:21">
      <c r="A645" s="4">
        <v>1510</v>
      </c>
      <c r="B645" s="7" t="str">
        <f>VLOOKUP($A645,SkillEnum!$A$2:$C$1020,2,FALSE)</f>
        <v>SI_SA_ADM_DARK_CLOUD</v>
      </c>
      <c r="C645" s="7">
        <v>7</v>
      </c>
      <c r="D645" s="2" t="str">
        <f>VLOOKUP($C645,SkillEnum!$D$2:$E$10,2,FALSE)</f>
        <v>ST_SPECIAL_ACTIVE</v>
      </c>
      <c r="E645" s="7" t="str">
        <f>VLOOKUP($A645,SkillEnum!$A$2:$C$1020,3,FALSE)</f>
        <v>다크 클라우드</v>
      </c>
      <c r="F645" s="7" t="str">
        <f t="shared" si="87"/>
        <v>짙은 어둠으로 둘러쌓인 구름을 만들어 내어 마법공격력의 258 %로 범위 내의 적을 연속타격하고 추가로 중독시켜 10초간 2000의 데미지를 준다.</v>
      </c>
      <c r="G645" s="2">
        <v>4</v>
      </c>
      <c r="H645" s="2">
        <v>1.1200000000000001</v>
      </c>
      <c r="I645" s="2">
        <v>10</v>
      </c>
      <c r="J645" s="2">
        <v>200</v>
      </c>
      <c r="K645" s="2">
        <v>0</v>
      </c>
      <c r="L645" s="2">
        <v>0</v>
      </c>
      <c r="M645" s="2">
        <v>0</v>
      </c>
      <c r="N645" s="2">
        <v>0</v>
      </c>
      <c r="O645" s="2">
        <v>0</v>
      </c>
      <c r="P645" s="2" t="s">
        <v>437</v>
      </c>
      <c r="Q645" s="2" t="str">
        <f t="shared" si="84"/>
        <v>SI_SA_ADM_DARK_CLOUD</v>
      </c>
      <c r="R645" s="2" t="b">
        <v>0</v>
      </c>
      <c r="S645" s="2" t="b">
        <v>1</v>
      </c>
      <c r="T645" s="2">
        <v>1</v>
      </c>
    </row>
    <row r="646" spans="1:21">
      <c r="A646" s="4">
        <v>1510</v>
      </c>
      <c r="B646" s="7" t="str">
        <f>VLOOKUP($A646,SkillEnum!$A$2:$C$1020,2,FALSE)</f>
        <v>SI_SA_ADM_DARK_CLOUD</v>
      </c>
      <c r="C646" s="7">
        <v>7</v>
      </c>
      <c r="D646" s="2" t="str">
        <f>VLOOKUP($C646,SkillEnum!$D$2:$E$10,2,FALSE)</f>
        <v>ST_SPECIAL_ACTIVE</v>
      </c>
      <c r="E646" s="7" t="str">
        <f>VLOOKUP($A646,SkillEnum!$A$2:$C$1020,3,FALSE)</f>
        <v>다크 클라우드</v>
      </c>
      <c r="F646" s="7" t="str">
        <f t="shared" si="87"/>
        <v>짙은 어둠으로 둘러쌓인 구름을 만들어 내어 마법공격력의 306 %로 범위 내의 적을 연속타격하고 추가로 중독시켜 10초간 2000의 데미지를 준다.</v>
      </c>
      <c r="G646" s="2">
        <v>5</v>
      </c>
      <c r="H646" s="2">
        <v>1.33</v>
      </c>
      <c r="I646" s="2">
        <v>10</v>
      </c>
      <c r="J646" s="2">
        <v>200</v>
      </c>
      <c r="K646" s="2">
        <v>0</v>
      </c>
      <c r="L646" s="2">
        <v>0</v>
      </c>
      <c r="M646" s="2">
        <v>0</v>
      </c>
      <c r="N646" s="2">
        <v>0</v>
      </c>
      <c r="O646" s="2">
        <v>0</v>
      </c>
      <c r="P646" s="2" t="s">
        <v>437</v>
      </c>
      <c r="Q646" s="2" t="str">
        <f t="shared" si="84"/>
        <v>SI_SA_ADM_DARK_CLOUD</v>
      </c>
      <c r="R646" s="2" t="b">
        <v>0</v>
      </c>
      <c r="S646" s="2" t="b">
        <v>1</v>
      </c>
      <c r="T646" s="2">
        <v>1</v>
      </c>
    </row>
    <row r="647" spans="1:21">
      <c r="A647" s="4">
        <v>1510</v>
      </c>
      <c r="B647" s="7" t="str">
        <f>VLOOKUP($A647,SkillEnum!$A$2:$C$1020,2,FALSE)</f>
        <v>SI_SA_ADM_DARK_CLOUD</v>
      </c>
      <c r="C647" s="7">
        <v>7</v>
      </c>
      <c r="D647" s="2" t="str">
        <f>VLOOKUP($C647,SkillEnum!$D$2:$E$10,2,FALSE)</f>
        <v>ST_SPECIAL_ACTIVE</v>
      </c>
      <c r="E647" s="7" t="str">
        <f>VLOOKUP($A647,SkillEnum!$A$2:$C$1020,3,FALSE)</f>
        <v>다크 클라우드</v>
      </c>
      <c r="F647" s="7" t="str">
        <f t="shared" si="87"/>
        <v>짙은 어둠으로 둘러쌓인 구름을 만들어 내어 마법공격력의 354 %로 범위 내의 적을 연속타격하고 추가로 중독시켜 10초간 2000의 데미지를 준다.</v>
      </c>
      <c r="G647" s="2">
        <v>6</v>
      </c>
      <c r="H647" s="2">
        <v>1.54</v>
      </c>
      <c r="I647" s="2">
        <v>10</v>
      </c>
      <c r="J647" s="2">
        <v>200</v>
      </c>
      <c r="K647" s="2">
        <v>0</v>
      </c>
      <c r="L647" s="2">
        <v>0</v>
      </c>
      <c r="M647" s="2">
        <v>0</v>
      </c>
      <c r="N647" s="2">
        <v>0</v>
      </c>
      <c r="O647" s="2">
        <v>0</v>
      </c>
      <c r="P647" s="2" t="s">
        <v>437</v>
      </c>
      <c r="Q647" s="2" t="str">
        <f t="shared" si="84"/>
        <v>SI_SA_ADM_DARK_CLOUD</v>
      </c>
      <c r="R647" s="2" t="b">
        <v>0</v>
      </c>
      <c r="S647" s="2" t="b">
        <v>1</v>
      </c>
      <c r="T647" s="2">
        <v>1</v>
      </c>
    </row>
    <row r="648" spans="1:21">
      <c r="A648" s="4">
        <v>1510</v>
      </c>
      <c r="B648" s="7" t="str">
        <f>VLOOKUP($A648,SkillEnum!$A$2:$C$1020,2,FALSE)</f>
        <v>SI_SA_ADM_DARK_CLOUD</v>
      </c>
      <c r="C648" s="7">
        <v>7</v>
      </c>
      <c r="D648" s="2" t="str">
        <f>VLOOKUP($C648,SkillEnum!$D$2:$E$10,2,FALSE)</f>
        <v>ST_SPECIAL_ACTIVE</v>
      </c>
      <c r="E648" s="7" t="str">
        <f>VLOOKUP($A648,SkillEnum!$A$2:$C$1020,3,FALSE)</f>
        <v>다크 클라우드</v>
      </c>
      <c r="F648" s="7" t="str">
        <f t="shared" si="87"/>
        <v>짙은 어둠으로 둘러쌓인 구름을 만들어 내어 마법공격력의 403 %로 범위 내의 적을 연속타격하고 추가로 중독시켜 10초간 2000의 데미지를 준다.</v>
      </c>
      <c r="G648" s="2">
        <v>7</v>
      </c>
      <c r="H648" s="2">
        <v>1.75</v>
      </c>
      <c r="I648" s="2">
        <v>10</v>
      </c>
      <c r="J648" s="2">
        <v>200</v>
      </c>
      <c r="K648" s="2">
        <v>0</v>
      </c>
      <c r="L648" s="2">
        <v>0</v>
      </c>
      <c r="M648" s="2">
        <v>0</v>
      </c>
      <c r="N648" s="2">
        <v>0</v>
      </c>
      <c r="O648" s="2">
        <v>0</v>
      </c>
      <c r="P648" s="2" t="s">
        <v>437</v>
      </c>
      <c r="Q648" s="2" t="str">
        <f t="shared" si="84"/>
        <v>SI_SA_ADM_DARK_CLOUD</v>
      </c>
      <c r="R648" s="2" t="b">
        <v>0</v>
      </c>
      <c r="S648" s="2" t="b">
        <v>1</v>
      </c>
      <c r="T648" s="2">
        <v>1</v>
      </c>
    </row>
    <row r="649" spans="1:21">
      <c r="A649" s="4">
        <v>1510</v>
      </c>
      <c r="B649" s="7" t="str">
        <f>VLOOKUP($A649,SkillEnum!$A$2:$C$1020,2,FALSE)</f>
        <v>SI_SA_ADM_DARK_CLOUD</v>
      </c>
      <c r="C649" s="7">
        <v>7</v>
      </c>
      <c r="D649" s="2" t="str">
        <f>VLOOKUP($C649,SkillEnum!$D$2:$E$10,2,FALSE)</f>
        <v>ST_SPECIAL_ACTIVE</v>
      </c>
      <c r="E649" s="7" t="str">
        <f>VLOOKUP($A649,SkillEnum!$A$2:$C$1020,3,FALSE)</f>
        <v>다크 클라우드</v>
      </c>
      <c r="F649" s="7" t="str">
        <f t="shared" si="87"/>
        <v>짙은 어둠으로 둘러쌓인 구름을 만들어 내어 마법공격력의 451 %로 범위 내의 적을 연속타격하고 추가로 중독시켜 10초간 2000의 데미지를 준다.</v>
      </c>
      <c r="G649" s="2">
        <v>8</v>
      </c>
      <c r="H649" s="2">
        <v>1.96</v>
      </c>
      <c r="I649" s="2">
        <v>10</v>
      </c>
      <c r="J649" s="2">
        <v>200</v>
      </c>
      <c r="K649" s="2">
        <v>0</v>
      </c>
      <c r="L649" s="2">
        <v>0</v>
      </c>
      <c r="M649" s="2">
        <v>0</v>
      </c>
      <c r="N649" s="2">
        <v>0</v>
      </c>
      <c r="O649" s="2">
        <v>0</v>
      </c>
      <c r="P649" s="2" t="s">
        <v>437</v>
      </c>
      <c r="Q649" s="2" t="str">
        <f t="shared" si="84"/>
        <v>SI_SA_ADM_DARK_CLOUD</v>
      </c>
      <c r="R649" s="2" t="b">
        <v>0</v>
      </c>
      <c r="S649" s="2" t="b">
        <v>1</v>
      </c>
      <c r="T649" s="2">
        <v>1</v>
      </c>
    </row>
    <row r="650" spans="1:21">
      <c r="A650" s="4">
        <v>1510</v>
      </c>
      <c r="B650" s="7" t="str">
        <f>VLOOKUP($A650,SkillEnum!$A$2:$C$1020,2,FALSE)</f>
        <v>SI_SA_ADM_DARK_CLOUD</v>
      </c>
      <c r="C650" s="7">
        <v>7</v>
      </c>
      <c r="D650" s="2" t="str">
        <f>VLOOKUP($C650,SkillEnum!$D$2:$E$10,2,FALSE)</f>
        <v>ST_SPECIAL_ACTIVE</v>
      </c>
      <c r="E650" s="7" t="str">
        <f>VLOOKUP($A650,SkillEnum!$A$2:$C$1020,3,FALSE)</f>
        <v>다크 클라우드</v>
      </c>
      <c r="F650" s="7" t="str">
        <f t="shared" si="87"/>
        <v>짙은 어둠으로 둘러쌓인 구름을 만들어 내어 마법공격력의 515 %로 범위 내의 적을 연속타격하고 추가로 중독시켜 10초간 2000의 데미지를 준다.</v>
      </c>
      <c r="G650" s="2">
        <v>9</v>
      </c>
      <c r="H650" s="2">
        <v>2.2400000000000002</v>
      </c>
      <c r="I650" s="2">
        <v>10</v>
      </c>
      <c r="J650" s="2">
        <v>200</v>
      </c>
      <c r="K650" s="2">
        <v>0</v>
      </c>
      <c r="L650" s="2">
        <v>0</v>
      </c>
      <c r="M650" s="2">
        <v>0</v>
      </c>
      <c r="N650" s="2">
        <v>0</v>
      </c>
      <c r="O650" s="2">
        <v>0</v>
      </c>
      <c r="P650" s="2" t="s">
        <v>437</v>
      </c>
      <c r="Q650" s="2" t="str">
        <f t="shared" si="84"/>
        <v>SI_SA_ADM_DARK_CLOUD</v>
      </c>
      <c r="R650" s="2" t="b">
        <v>0</v>
      </c>
      <c r="S650" s="2" t="b">
        <v>1</v>
      </c>
      <c r="T650" s="2">
        <v>1</v>
      </c>
    </row>
    <row r="651" spans="1:21" s="5" customFormat="1">
      <c r="A651" s="6">
        <v>1510</v>
      </c>
      <c r="B651" s="8" t="str">
        <f>VLOOKUP($A651,SkillEnum!$A$2:$C$1020,2,FALSE)</f>
        <v>SI_SA_ADM_DARK_CLOUD</v>
      </c>
      <c r="C651" s="8">
        <v>7</v>
      </c>
      <c r="D651" s="5" t="str">
        <f>VLOOKUP($C651,SkillEnum!$D$2:$E$10,2,FALSE)</f>
        <v>ST_SPECIAL_ACTIVE</v>
      </c>
      <c r="E651" s="8" t="str">
        <f>VLOOKUP($A651,SkillEnum!$A$2:$C$1020,3,FALSE)</f>
        <v>다크 클라우드</v>
      </c>
      <c r="F651" s="7" t="str">
        <f t="shared" si="87"/>
        <v>짙은 어둠으로 둘러쌓인 구름을 만들어 내어 마법공격력의 580 %로 범위 내의 적을 연속타격하고 추가로 중독시켜 10초간 2000의 데미지를 준다.</v>
      </c>
      <c r="G651" s="5">
        <v>10</v>
      </c>
      <c r="H651" s="5">
        <v>2.52</v>
      </c>
      <c r="I651" s="5">
        <v>10</v>
      </c>
      <c r="J651" s="5">
        <v>200</v>
      </c>
      <c r="K651" s="5">
        <v>0</v>
      </c>
      <c r="L651" s="5">
        <v>0</v>
      </c>
      <c r="M651" s="5">
        <v>0</v>
      </c>
      <c r="N651" s="5">
        <v>0</v>
      </c>
      <c r="O651" s="5">
        <v>0</v>
      </c>
      <c r="P651" s="2" t="s">
        <v>437</v>
      </c>
      <c r="Q651" s="2" t="str">
        <f t="shared" si="84"/>
        <v>SI_SA_ADM_DARK_CLOUD</v>
      </c>
      <c r="R651" s="5" t="b">
        <v>0</v>
      </c>
      <c r="S651" s="2" t="b">
        <v>1</v>
      </c>
      <c r="T651" s="2">
        <v>1</v>
      </c>
      <c r="U651" s="2"/>
    </row>
    <row r="652" spans="1:21" s="10" customFormat="1">
      <c r="A652" s="9">
        <v>1511</v>
      </c>
      <c r="B652" s="11" t="str">
        <f>VLOOKUP($A652,SkillEnum!$A$2:$C$1020,2,FALSE)</f>
        <v>SI_SA_ADM_PLASMA_CUTTER</v>
      </c>
      <c r="C652" s="11">
        <v>7</v>
      </c>
      <c r="D652" s="10" t="str">
        <f>VLOOKUP($C652,SkillEnum!$D$2:$E$10,2,FALSE)</f>
        <v>ST_SPECIAL_ACTIVE</v>
      </c>
      <c r="E652" s="11" t="str">
        <f>VLOOKUP($A652,SkillEnum!$A$2:$C$1020,3,FALSE)</f>
        <v>플라즈마 커터</v>
      </c>
      <c r="F652" s="11" t="str">
        <f>"한계까지 응축된 마력을  한방향으로 집중, 공간을 가르는 빛의 검을 만들어 마법공격력의 "&amp;ROUND(0.8*1.2*H652*100,0)&amp;" % 로 적을 끊임 없이 연속타격 한다. (각성 시 공격력은 "&amp;ROUND(0.55*1.2*1.2*H652*100,0)&amp;" % 로 줄어들지만 검의 개수와 연속타격 횟수가 크게 증가한다.)"</f>
        <v>한계까지 응축된 마력을  한방향으로 집중, 공간을 가르는 빛의 검을 만들어 마법공격력의 67 % 로 적을 끊임 없이 연속타격 한다. (각성 시 공격력은 55 % 로 줄어들지만 검의 개수와 연속타격 횟수가 크게 증가한다.)</v>
      </c>
      <c r="G652" s="10">
        <v>1</v>
      </c>
      <c r="H652" s="2">
        <v>0.7</v>
      </c>
      <c r="I652" s="2">
        <v>30</v>
      </c>
      <c r="J652" s="2">
        <v>300</v>
      </c>
      <c r="K652" s="2">
        <v>0</v>
      </c>
      <c r="L652" s="2">
        <v>0</v>
      </c>
      <c r="M652" s="2">
        <v>0</v>
      </c>
      <c r="N652" s="2">
        <v>0</v>
      </c>
      <c r="O652" s="2">
        <v>0</v>
      </c>
      <c r="P652" s="2" t="s">
        <v>437</v>
      </c>
      <c r="Q652" s="2" t="str">
        <f t="shared" si="84"/>
        <v>SI_SA_ADM_PLASMA_CUTTER</v>
      </c>
      <c r="R652" s="2" t="b">
        <v>0</v>
      </c>
      <c r="S652" s="2" t="b">
        <v>1</v>
      </c>
      <c r="T652" s="2">
        <v>1</v>
      </c>
      <c r="U652" s="2"/>
    </row>
    <row r="653" spans="1:21">
      <c r="A653" s="4">
        <v>1511</v>
      </c>
      <c r="B653" s="7" t="str">
        <f>VLOOKUP($A653,SkillEnum!$A$2:$C$1020,2,FALSE)</f>
        <v>SI_SA_ADM_PLASMA_CUTTER</v>
      </c>
      <c r="C653" s="7">
        <v>7</v>
      </c>
      <c r="D653" s="2" t="str">
        <f>VLOOKUP($C653,SkillEnum!$D$2:$E$10,2,FALSE)</f>
        <v>ST_SPECIAL_ACTIVE</v>
      </c>
      <c r="E653" s="7" t="str">
        <f>VLOOKUP($A653,SkillEnum!$A$2:$C$1020,3,FALSE)</f>
        <v>플라즈마 커터</v>
      </c>
      <c r="F653" s="7" t="str">
        <f t="shared" ref="F653:F661" si="88">"한계까지 응축된 마력을  한방향으로 집중, 공간을 가르는 빛의 검을 만들어 마법공격력의 "&amp;ROUND(0.8*1.2*H653*100,0)&amp;" % 로 적을 끊임 없이 연속타격 한다. (각성 시 공격력은 "&amp;ROUND(0.55*1.2*1.2*H653*100,0)&amp;" % 로 줄어들지만 검의 개수와 연속타격 횟수가 크게 증가한다.)"</f>
        <v>한계까지 응축된 마력을  한방향으로 집중, 공간을 가르는 빛의 검을 만들어 마법공격력의 81 % 로 적을 끊임 없이 연속타격 한다. (각성 시 공격력은 67 % 로 줄어들지만 검의 개수와 연속타격 횟수가 크게 증가한다.)</v>
      </c>
      <c r="G653" s="2">
        <v>2</v>
      </c>
      <c r="H653" s="2">
        <v>0.84</v>
      </c>
      <c r="I653" s="2">
        <v>30</v>
      </c>
      <c r="J653" s="2">
        <v>300</v>
      </c>
      <c r="K653" s="2">
        <v>0</v>
      </c>
      <c r="L653" s="2">
        <v>0</v>
      </c>
      <c r="M653" s="2">
        <v>0</v>
      </c>
      <c r="N653" s="2">
        <v>0</v>
      </c>
      <c r="O653" s="2">
        <v>0</v>
      </c>
      <c r="P653" s="2" t="s">
        <v>437</v>
      </c>
      <c r="Q653" s="2" t="str">
        <f t="shared" si="84"/>
        <v>SI_SA_ADM_PLASMA_CUTTER</v>
      </c>
      <c r="R653" s="2" t="b">
        <v>0</v>
      </c>
      <c r="S653" s="2" t="b">
        <v>1</v>
      </c>
      <c r="T653" s="2">
        <v>1</v>
      </c>
    </row>
    <row r="654" spans="1:21">
      <c r="A654" s="4">
        <v>1511</v>
      </c>
      <c r="B654" s="7" t="str">
        <f>VLOOKUP($A654,SkillEnum!$A$2:$C$1020,2,FALSE)</f>
        <v>SI_SA_ADM_PLASMA_CUTTER</v>
      </c>
      <c r="C654" s="7">
        <v>7</v>
      </c>
      <c r="D654" s="2" t="str">
        <f>VLOOKUP($C654,SkillEnum!$D$2:$E$10,2,FALSE)</f>
        <v>ST_SPECIAL_ACTIVE</v>
      </c>
      <c r="E654" s="7" t="str">
        <f>VLOOKUP($A654,SkillEnum!$A$2:$C$1020,3,FALSE)</f>
        <v>플라즈마 커터</v>
      </c>
      <c r="F654" s="7" t="str">
        <f t="shared" si="88"/>
        <v>한계까지 응축된 마력을  한방향으로 집중, 공간을 가르는 빛의 검을 만들어 마법공격력의 94 % 로 적을 끊임 없이 연속타격 한다. (각성 시 공격력은 78 % 로 줄어들지만 검의 개수와 연속타격 횟수가 크게 증가한다.)</v>
      </c>
      <c r="G654" s="2">
        <v>3</v>
      </c>
      <c r="H654" s="2">
        <v>0.98</v>
      </c>
      <c r="I654" s="2">
        <v>30</v>
      </c>
      <c r="J654" s="2">
        <v>300</v>
      </c>
      <c r="K654" s="2">
        <v>0</v>
      </c>
      <c r="L654" s="2">
        <v>0</v>
      </c>
      <c r="M654" s="2">
        <v>0</v>
      </c>
      <c r="N654" s="2">
        <v>0</v>
      </c>
      <c r="O654" s="2">
        <v>0</v>
      </c>
      <c r="P654" s="2" t="s">
        <v>437</v>
      </c>
      <c r="Q654" s="2" t="str">
        <f t="shared" si="84"/>
        <v>SI_SA_ADM_PLASMA_CUTTER</v>
      </c>
      <c r="R654" s="2" t="b">
        <v>0</v>
      </c>
      <c r="S654" s="2" t="b">
        <v>1</v>
      </c>
      <c r="T654" s="2">
        <v>1</v>
      </c>
    </row>
    <row r="655" spans="1:21">
      <c r="A655" s="4">
        <v>1511</v>
      </c>
      <c r="B655" s="7" t="str">
        <f>VLOOKUP($A655,SkillEnum!$A$2:$C$1020,2,FALSE)</f>
        <v>SI_SA_ADM_PLASMA_CUTTER</v>
      </c>
      <c r="C655" s="7">
        <v>7</v>
      </c>
      <c r="D655" s="2" t="str">
        <f>VLOOKUP($C655,SkillEnum!$D$2:$E$10,2,FALSE)</f>
        <v>ST_SPECIAL_ACTIVE</v>
      </c>
      <c r="E655" s="7" t="str">
        <f>VLOOKUP($A655,SkillEnum!$A$2:$C$1020,3,FALSE)</f>
        <v>플라즈마 커터</v>
      </c>
      <c r="F655" s="7" t="str">
        <f t="shared" si="88"/>
        <v>한계까지 응축된 마력을  한방향으로 집중, 공간을 가르는 빛의 검을 만들어 마법공격력의 108 % 로 적을 끊임 없이 연속타격 한다. (각성 시 공격력은 89 % 로 줄어들지만 검의 개수와 연속타격 횟수가 크게 증가한다.)</v>
      </c>
      <c r="G655" s="2">
        <v>4</v>
      </c>
      <c r="H655" s="2">
        <v>1.1200000000000001</v>
      </c>
      <c r="I655" s="2">
        <v>30</v>
      </c>
      <c r="J655" s="2">
        <v>300</v>
      </c>
      <c r="K655" s="2">
        <v>0</v>
      </c>
      <c r="L655" s="2">
        <v>0</v>
      </c>
      <c r="M655" s="2">
        <v>0</v>
      </c>
      <c r="N655" s="2">
        <v>0</v>
      </c>
      <c r="O655" s="2">
        <v>0</v>
      </c>
      <c r="P655" s="2" t="s">
        <v>437</v>
      </c>
      <c r="Q655" s="2" t="str">
        <f t="shared" si="84"/>
        <v>SI_SA_ADM_PLASMA_CUTTER</v>
      </c>
      <c r="R655" s="2" t="b">
        <v>0</v>
      </c>
      <c r="S655" s="2" t="b">
        <v>1</v>
      </c>
      <c r="T655" s="2">
        <v>1</v>
      </c>
    </row>
    <row r="656" spans="1:21">
      <c r="A656" s="4">
        <v>1511</v>
      </c>
      <c r="B656" s="7" t="str">
        <f>VLOOKUP($A656,SkillEnum!$A$2:$C$1020,2,FALSE)</f>
        <v>SI_SA_ADM_PLASMA_CUTTER</v>
      </c>
      <c r="C656" s="7">
        <v>7</v>
      </c>
      <c r="D656" s="2" t="str">
        <f>VLOOKUP($C656,SkillEnum!$D$2:$E$10,2,FALSE)</f>
        <v>ST_SPECIAL_ACTIVE</v>
      </c>
      <c r="E656" s="7" t="str">
        <f>VLOOKUP($A656,SkillEnum!$A$2:$C$1020,3,FALSE)</f>
        <v>플라즈마 커터</v>
      </c>
      <c r="F656" s="7" t="str">
        <f t="shared" si="88"/>
        <v>한계까지 응축된 마력을  한방향으로 집중, 공간을 가르는 빛의 검을 만들어 마법공격력의 128 % 로 적을 끊임 없이 연속타격 한다. (각성 시 공격력은 105 % 로 줄어들지만 검의 개수와 연속타격 횟수가 크게 증가한다.)</v>
      </c>
      <c r="G656" s="2">
        <v>5</v>
      </c>
      <c r="H656" s="2">
        <v>1.33</v>
      </c>
      <c r="I656" s="2">
        <v>30</v>
      </c>
      <c r="J656" s="2">
        <v>300</v>
      </c>
      <c r="K656" s="2">
        <v>0</v>
      </c>
      <c r="L656" s="2">
        <v>0</v>
      </c>
      <c r="M656" s="2">
        <v>0</v>
      </c>
      <c r="N656" s="2">
        <v>0</v>
      </c>
      <c r="O656" s="2">
        <v>0</v>
      </c>
      <c r="P656" s="2" t="s">
        <v>437</v>
      </c>
      <c r="Q656" s="2" t="str">
        <f t="shared" si="84"/>
        <v>SI_SA_ADM_PLASMA_CUTTER</v>
      </c>
      <c r="R656" s="2" t="b">
        <v>0</v>
      </c>
      <c r="S656" s="2" t="b">
        <v>1</v>
      </c>
      <c r="T656" s="2">
        <v>1</v>
      </c>
    </row>
    <row r="657" spans="1:23">
      <c r="A657" s="4">
        <v>1511</v>
      </c>
      <c r="B657" s="7" t="str">
        <f>VLOOKUP($A657,SkillEnum!$A$2:$C$1020,2,FALSE)</f>
        <v>SI_SA_ADM_PLASMA_CUTTER</v>
      </c>
      <c r="C657" s="7">
        <v>7</v>
      </c>
      <c r="D657" s="2" t="str">
        <f>VLOOKUP($C657,SkillEnum!$D$2:$E$10,2,FALSE)</f>
        <v>ST_SPECIAL_ACTIVE</v>
      </c>
      <c r="E657" s="7" t="str">
        <f>VLOOKUP($A657,SkillEnum!$A$2:$C$1020,3,FALSE)</f>
        <v>플라즈마 커터</v>
      </c>
      <c r="F657" s="7" t="str">
        <f t="shared" si="88"/>
        <v>한계까지 응축된 마력을  한방향으로 집중, 공간을 가르는 빛의 검을 만들어 마법공격력의 148 % 로 적을 끊임 없이 연속타격 한다. (각성 시 공격력은 122 % 로 줄어들지만 검의 개수와 연속타격 횟수가 크게 증가한다.)</v>
      </c>
      <c r="G657" s="2">
        <v>6</v>
      </c>
      <c r="H657" s="2">
        <v>1.54</v>
      </c>
      <c r="I657" s="2">
        <v>30</v>
      </c>
      <c r="J657" s="2">
        <v>300</v>
      </c>
      <c r="K657" s="2">
        <v>0</v>
      </c>
      <c r="L657" s="2">
        <v>0</v>
      </c>
      <c r="M657" s="2">
        <v>0</v>
      </c>
      <c r="N657" s="2">
        <v>0</v>
      </c>
      <c r="O657" s="2">
        <v>0</v>
      </c>
      <c r="P657" s="2" t="s">
        <v>437</v>
      </c>
      <c r="Q657" s="2" t="str">
        <f t="shared" si="84"/>
        <v>SI_SA_ADM_PLASMA_CUTTER</v>
      </c>
      <c r="R657" s="2" t="b">
        <v>0</v>
      </c>
      <c r="S657" s="2" t="b">
        <v>1</v>
      </c>
      <c r="T657" s="2">
        <v>1</v>
      </c>
    </row>
    <row r="658" spans="1:23">
      <c r="A658" s="4">
        <v>1511</v>
      </c>
      <c r="B658" s="7" t="str">
        <f>VLOOKUP($A658,SkillEnum!$A$2:$C$1020,2,FALSE)</f>
        <v>SI_SA_ADM_PLASMA_CUTTER</v>
      </c>
      <c r="C658" s="7">
        <v>7</v>
      </c>
      <c r="D658" s="2" t="str">
        <f>VLOOKUP($C658,SkillEnum!$D$2:$E$10,2,FALSE)</f>
        <v>ST_SPECIAL_ACTIVE</v>
      </c>
      <c r="E658" s="7" t="str">
        <f>VLOOKUP($A658,SkillEnum!$A$2:$C$1020,3,FALSE)</f>
        <v>플라즈마 커터</v>
      </c>
      <c r="F658" s="7" t="str">
        <f t="shared" si="88"/>
        <v>한계까지 응축된 마력을  한방향으로 집중, 공간을 가르는 빛의 검을 만들어 마법공격력의 168 % 로 적을 끊임 없이 연속타격 한다. (각성 시 공격력은 139 % 로 줄어들지만 검의 개수와 연속타격 횟수가 크게 증가한다.)</v>
      </c>
      <c r="G658" s="2">
        <v>7</v>
      </c>
      <c r="H658" s="2">
        <v>1.75</v>
      </c>
      <c r="I658" s="2">
        <v>30</v>
      </c>
      <c r="J658" s="2">
        <v>300</v>
      </c>
      <c r="K658" s="2">
        <v>0</v>
      </c>
      <c r="L658" s="2">
        <v>0</v>
      </c>
      <c r="M658" s="2">
        <v>0</v>
      </c>
      <c r="N658" s="2">
        <v>0</v>
      </c>
      <c r="O658" s="2">
        <v>0</v>
      </c>
      <c r="P658" s="2" t="s">
        <v>437</v>
      </c>
      <c r="Q658" s="2" t="str">
        <f t="shared" si="84"/>
        <v>SI_SA_ADM_PLASMA_CUTTER</v>
      </c>
      <c r="R658" s="2" t="b">
        <v>0</v>
      </c>
      <c r="S658" s="2" t="b">
        <v>1</v>
      </c>
      <c r="T658" s="2">
        <v>1</v>
      </c>
    </row>
    <row r="659" spans="1:23">
      <c r="A659" s="4">
        <v>1511</v>
      </c>
      <c r="B659" s="7" t="str">
        <f>VLOOKUP($A659,SkillEnum!$A$2:$C$1020,2,FALSE)</f>
        <v>SI_SA_ADM_PLASMA_CUTTER</v>
      </c>
      <c r="C659" s="7">
        <v>7</v>
      </c>
      <c r="D659" s="2" t="str">
        <f>VLOOKUP($C659,SkillEnum!$D$2:$E$10,2,FALSE)</f>
        <v>ST_SPECIAL_ACTIVE</v>
      </c>
      <c r="E659" s="7" t="str">
        <f>VLOOKUP($A659,SkillEnum!$A$2:$C$1020,3,FALSE)</f>
        <v>플라즈마 커터</v>
      </c>
      <c r="F659" s="7" t="str">
        <f t="shared" si="88"/>
        <v>한계까지 응축된 마력을  한방향으로 집중, 공간을 가르는 빛의 검을 만들어 마법공격력의 188 % 로 적을 끊임 없이 연속타격 한다. (각성 시 공격력은 155 % 로 줄어들지만 검의 개수와 연속타격 횟수가 크게 증가한다.)</v>
      </c>
      <c r="G659" s="2">
        <v>8</v>
      </c>
      <c r="H659" s="2">
        <v>1.96</v>
      </c>
      <c r="I659" s="2">
        <v>30</v>
      </c>
      <c r="J659" s="2">
        <v>300</v>
      </c>
      <c r="K659" s="2">
        <v>0</v>
      </c>
      <c r="L659" s="2">
        <v>0</v>
      </c>
      <c r="M659" s="2">
        <v>0</v>
      </c>
      <c r="N659" s="2">
        <v>0</v>
      </c>
      <c r="O659" s="2">
        <v>0</v>
      </c>
      <c r="P659" s="2" t="s">
        <v>437</v>
      </c>
      <c r="Q659" s="2" t="str">
        <f t="shared" si="84"/>
        <v>SI_SA_ADM_PLASMA_CUTTER</v>
      </c>
      <c r="R659" s="2" t="b">
        <v>0</v>
      </c>
      <c r="S659" s="2" t="b">
        <v>1</v>
      </c>
      <c r="T659" s="2">
        <v>1</v>
      </c>
    </row>
    <row r="660" spans="1:23">
      <c r="A660" s="4">
        <v>1511</v>
      </c>
      <c r="B660" s="7" t="str">
        <f>VLOOKUP($A660,SkillEnum!$A$2:$C$1020,2,FALSE)</f>
        <v>SI_SA_ADM_PLASMA_CUTTER</v>
      </c>
      <c r="C660" s="7">
        <v>7</v>
      </c>
      <c r="D660" s="2" t="str">
        <f>VLOOKUP($C660,SkillEnum!$D$2:$E$10,2,FALSE)</f>
        <v>ST_SPECIAL_ACTIVE</v>
      </c>
      <c r="E660" s="7" t="str">
        <f>VLOOKUP($A660,SkillEnum!$A$2:$C$1020,3,FALSE)</f>
        <v>플라즈마 커터</v>
      </c>
      <c r="F660" s="7" t="str">
        <f t="shared" si="88"/>
        <v>한계까지 응축된 마력을  한방향으로 집중, 공간을 가르는 빛의 검을 만들어 마법공격력의 215 % 로 적을 끊임 없이 연속타격 한다. (각성 시 공격력은 177 % 로 줄어들지만 검의 개수와 연속타격 횟수가 크게 증가한다.)</v>
      </c>
      <c r="G660" s="2">
        <v>9</v>
      </c>
      <c r="H660" s="2">
        <v>2.2400000000000002</v>
      </c>
      <c r="I660" s="2">
        <v>30</v>
      </c>
      <c r="J660" s="2">
        <v>300</v>
      </c>
      <c r="K660" s="2">
        <v>0</v>
      </c>
      <c r="L660" s="2">
        <v>0</v>
      </c>
      <c r="M660" s="2">
        <v>0</v>
      </c>
      <c r="N660" s="2">
        <v>0</v>
      </c>
      <c r="O660" s="2">
        <v>0</v>
      </c>
      <c r="P660" s="2" t="s">
        <v>437</v>
      </c>
      <c r="Q660" s="2" t="str">
        <f t="shared" si="84"/>
        <v>SI_SA_ADM_PLASMA_CUTTER</v>
      </c>
      <c r="R660" s="2" t="b">
        <v>0</v>
      </c>
      <c r="S660" s="2" t="b">
        <v>1</v>
      </c>
      <c r="T660" s="2">
        <v>1</v>
      </c>
    </row>
    <row r="661" spans="1:23" s="5" customFormat="1">
      <c r="A661" s="6">
        <v>1511</v>
      </c>
      <c r="B661" s="8" t="str">
        <f>VLOOKUP($A661,SkillEnum!$A$2:$C$1020,2,FALSE)</f>
        <v>SI_SA_ADM_PLASMA_CUTTER</v>
      </c>
      <c r="C661" s="8">
        <v>7</v>
      </c>
      <c r="D661" s="5" t="str">
        <f>VLOOKUP($C661,SkillEnum!$D$2:$E$10,2,FALSE)</f>
        <v>ST_SPECIAL_ACTIVE</v>
      </c>
      <c r="E661" s="8" t="str">
        <f>VLOOKUP($A661,SkillEnum!$A$2:$C$1020,3,FALSE)</f>
        <v>플라즈마 커터</v>
      </c>
      <c r="F661" s="8" t="str">
        <f t="shared" si="88"/>
        <v>한계까지 응축된 마력을  한방향으로 집중, 공간을 가르는 빛의 검을 만들어 마법공격력의 242 % 로 적을 끊임 없이 연속타격 한다. (각성 시 공격력은 200 % 로 줄어들지만 검의 개수와 연속타격 횟수가 크게 증가한다.)</v>
      </c>
      <c r="G661" s="5">
        <v>10</v>
      </c>
      <c r="H661" s="5">
        <v>2.52</v>
      </c>
      <c r="I661" s="5">
        <v>30</v>
      </c>
      <c r="J661" s="5">
        <v>300</v>
      </c>
      <c r="K661" s="5">
        <v>0</v>
      </c>
      <c r="L661" s="5">
        <v>0</v>
      </c>
      <c r="M661" s="5">
        <v>0</v>
      </c>
      <c r="N661" s="5">
        <v>0</v>
      </c>
      <c r="O661" s="5">
        <v>0</v>
      </c>
      <c r="P661" s="2" t="s">
        <v>437</v>
      </c>
      <c r="Q661" s="2" t="str">
        <f t="shared" si="84"/>
        <v>SI_SA_ADM_PLASMA_CUTTER</v>
      </c>
      <c r="R661" s="5" t="b">
        <v>0</v>
      </c>
      <c r="S661" s="2" t="b">
        <v>1</v>
      </c>
      <c r="T661" s="2">
        <v>1</v>
      </c>
      <c r="U661" s="2"/>
    </row>
    <row r="662" spans="1:23">
      <c r="A662" s="4">
        <v>1512</v>
      </c>
      <c r="B662" s="7" t="str">
        <f>VLOOKUP($A662,SkillEnum!$A$2:$C$1020,2,FALSE)</f>
        <v>SI_SA_AHM_BLIZZARDSHOWER</v>
      </c>
      <c r="C662" s="7">
        <v>7</v>
      </c>
      <c r="D662" s="2" t="str">
        <f>VLOOKUP($C662,SkillEnum!$D$2:$E$10,2,FALSE)</f>
        <v>ST_SPECIAL_ACTIVE</v>
      </c>
      <c r="E662" s="11" t="str">
        <f>VLOOKUP($A662,SkillEnum!$A$2:$C$1020,3,FALSE)</f>
        <v>블리자드 샤워</v>
      </c>
      <c r="F662" s="7" t="str">
        <f>"주위 10M 반경에 무작위로 "&amp;W662&amp;" 개의 얼음을 떨어뜨려 타격당한 적에게 마법공격력의 "&amp;ROUND(11*H662*100,0)&amp;" % 데미지를 주고, 2초간 동상(행동 불가) 상태로 만든다."</f>
        <v>주위 10M 반경에 무작위로 4 개의 얼음을 떨어뜨려 타격당한 적에게 마법공격력의 770 % 데미지를 주고, 2초간 동상(행동 불가) 상태로 만든다.</v>
      </c>
      <c r="G662" s="10">
        <v>1</v>
      </c>
      <c r="H662" s="2">
        <v>0.7</v>
      </c>
      <c r="I662" s="2">
        <v>10</v>
      </c>
      <c r="J662" s="2">
        <v>200</v>
      </c>
      <c r="K662" s="2">
        <v>0</v>
      </c>
      <c r="L662" s="2">
        <v>0</v>
      </c>
      <c r="M662" s="2">
        <v>0</v>
      </c>
      <c r="N662" s="2">
        <v>0</v>
      </c>
      <c r="O662" s="2">
        <v>0</v>
      </c>
      <c r="P662" s="2" t="s">
        <v>437</v>
      </c>
      <c r="Q662" s="2" t="str">
        <f t="shared" ref="Q662:Q671" si="89">B662</f>
        <v>SI_SA_AHM_BLIZZARDSHOWER</v>
      </c>
      <c r="R662" s="2" t="b">
        <v>0</v>
      </c>
      <c r="S662" s="2" t="b">
        <v>1</v>
      </c>
      <c r="T662" s="2">
        <v>2</v>
      </c>
      <c r="U662" s="2" t="b">
        <v>1</v>
      </c>
      <c r="V662" s="2" t="s">
        <v>493</v>
      </c>
      <c r="W662" s="2">
        <v>4</v>
      </c>
    </row>
    <row r="663" spans="1:23">
      <c r="A663" s="4">
        <v>1512</v>
      </c>
      <c r="B663" s="7" t="str">
        <f>VLOOKUP($A663,SkillEnum!$A$2:$C$1020,2,FALSE)</f>
        <v>SI_SA_AHM_BLIZZARDSHOWER</v>
      </c>
      <c r="C663" s="7">
        <v>7</v>
      </c>
      <c r="D663" s="2" t="str">
        <f>VLOOKUP($C663,SkillEnum!$D$2:$E$10,2,FALSE)</f>
        <v>ST_SPECIAL_ACTIVE</v>
      </c>
      <c r="E663" s="7" t="str">
        <f>VLOOKUP($A663,SkillEnum!$A$2:$C$1020,3,FALSE)</f>
        <v>블리자드 샤워</v>
      </c>
      <c r="F663" s="7" t="str">
        <f t="shared" ref="F663:F671" si="90">"주위 10M 반경에 무작위로 "&amp;W663&amp;" 개의 얼음을 떨어뜨려 타격당한 적에게 마법공격력의 "&amp;ROUND(11*H663*100,0)&amp;" % 데미지를 주고, 2초간 동상(행동 불가) 상태로 만든다."</f>
        <v>주위 10M 반경에 무작위로 5 개의 얼음을 떨어뜨려 타격당한 적에게 마법공격력의 924 % 데미지를 주고, 2초간 동상(행동 불가) 상태로 만든다.</v>
      </c>
      <c r="G663" s="2">
        <v>2</v>
      </c>
      <c r="H663" s="2">
        <v>0.84</v>
      </c>
      <c r="I663" s="2">
        <v>10</v>
      </c>
      <c r="J663" s="2">
        <v>200</v>
      </c>
      <c r="K663" s="2">
        <v>0</v>
      </c>
      <c r="L663" s="2">
        <v>0</v>
      </c>
      <c r="M663" s="2">
        <v>0</v>
      </c>
      <c r="N663" s="2">
        <v>0</v>
      </c>
      <c r="O663" s="2">
        <v>0</v>
      </c>
      <c r="P663" s="2" t="s">
        <v>437</v>
      </c>
      <c r="Q663" s="2" t="str">
        <f t="shared" si="89"/>
        <v>SI_SA_AHM_BLIZZARDSHOWER</v>
      </c>
      <c r="R663" s="2" t="b">
        <v>0</v>
      </c>
      <c r="S663" s="2" t="b">
        <v>1</v>
      </c>
      <c r="T663" s="2">
        <v>2</v>
      </c>
      <c r="U663" s="2" t="b">
        <v>1</v>
      </c>
      <c r="V663" s="2" t="s">
        <v>493</v>
      </c>
      <c r="W663" s="2">
        <v>5</v>
      </c>
    </row>
    <row r="664" spans="1:23">
      <c r="A664" s="4">
        <v>1512</v>
      </c>
      <c r="B664" s="7" t="str">
        <f>VLOOKUP($A664,SkillEnum!$A$2:$C$1020,2,FALSE)</f>
        <v>SI_SA_AHM_BLIZZARDSHOWER</v>
      </c>
      <c r="C664" s="7">
        <v>7</v>
      </c>
      <c r="D664" s="2" t="str">
        <f>VLOOKUP($C664,SkillEnum!$D$2:$E$10,2,FALSE)</f>
        <v>ST_SPECIAL_ACTIVE</v>
      </c>
      <c r="E664" s="7" t="str">
        <f>VLOOKUP($A664,SkillEnum!$A$2:$C$1020,3,FALSE)</f>
        <v>블리자드 샤워</v>
      </c>
      <c r="F664" s="7" t="str">
        <f t="shared" si="90"/>
        <v>주위 10M 반경에 무작위로 6 개의 얼음을 떨어뜨려 타격당한 적에게 마법공격력의 1078 % 데미지를 주고, 2초간 동상(행동 불가) 상태로 만든다.</v>
      </c>
      <c r="G664" s="2">
        <v>3</v>
      </c>
      <c r="H664" s="2">
        <v>0.98</v>
      </c>
      <c r="I664" s="2">
        <v>10</v>
      </c>
      <c r="J664" s="2">
        <v>200</v>
      </c>
      <c r="K664" s="2">
        <v>0</v>
      </c>
      <c r="L664" s="2">
        <v>0</v>
      </c>
      <c r="M664" s="2">
        <v>0</v>
      </c>
      <c r="N664" s="2">
        <v>0</v>
      </c>
      <c r="O664" s="2">
        <v>0</v>
      </c>
      <c r="P664" s="2" t="s">
        <v>437</v>
      </c>
      <c r="Q664" s="2" t="str">
        <f t="shared" si="89"/>
        <v>SI_SA_AHM_BLIZZARDSHOWER</v>
      </c>
      <c r="R664" s="2" t="b">
        <v>0</v>
      </c>
      <c r="S664" s="2" t="b">
        <v>1</v>
      </c>
      <c r="T664" s="2">
        <v>2</v>
      </c>
      <c r="U664" s="2" t="b">
        <v>1</v>
      </c>
      <c r="V664" s="2" t="s">
        <v>493</v>
      </c>
      <c r="W664" s="2">
        <v>6</v>
      </c>
    </row>
    <row r="665" spans="1:23">
      <c r="A665" s="4">
        <v>1512</v>
      </c>
      <c r="B665" s="7" t="str">
        <f>VLOOKUP($A665,SkillEnum!$A$2:$C$1020,2,FALSE)</f>
        <v>SI_SA_AHM_BLIZZARDSHOWER</v>
      </c>
      <c r="C665" s="7">
        <v>7</v>
      </c>
      <c r="D665" s="2" t="str">
        <f>VLOOKUP($C665,SkillEnum!$D$2:$E$10,2,FALSE)</f>
        <v>ST_SPECIAL_ACTIVE</v>
      </c>
      <c r="E665" s="7" t="str">
        <f>VLOOKUP($A665,SkillEnum!$A$2:$C$1020,3,FALSE)</f>
        <v>블리자드 샤워</v>
      </c>
      <c r="F665" s="7" t="str">
        <f t="shared" si="90"/>
        <v>주위 10M 반경에 무작위로 7 개의 얼음을 떨어뜨려 타격당한 적에게 마법공격력의 1232 % 데미지를 주고, 2초간 동상(행동 불가) 상태로 만든다.</v>
      </c>
      <c r="G665" s="2">
        <v>4</v>
      </c>
      <c r="H665" s="2">
        <v>1.1200000000000001</v>
      </c>
      <c r="I665" s="2">
        <v>10</v>
      </c>
      <c r="J665" s="2">
        <v>200</v>
      </c>
      <c r="K665" s="2">
        <v>0</v>
      </c>
      <c r="L665" s="2">
        <v>0</v>
      </c>
      <c r="M665" s="2">
        <v>0</v>
      </c>
      <c r="N665" s="2">
        <v>0</v>
      </c>
      <c r="O665" s="2">
        <v>0</v>
      </c>
      <c r="P665" s="2" t="s">
        <v>437</v>
      </c>
      <c r="Q665" s="2" t="str">
        <f t="shared" si="89"/>
        <v>SI_SA_AHM_BLIZZARDSHOWER</v>
      </c>
      <c r="R665" s="2" t="b">
        <v>0</v>
      </c>
      <c r="S665" s="2" t="b">
        <v>1</v>
      </c>
      <c r="T665" s="2">
        <v>2</v>
      </c>
      <c r="U665" s="2" t="b">
        <v>1</v>
      </c>
      <c r="V665" s="2" t="s">
        <v>493</v>
      </c>
      <c r="W665" s="2">
        <v>7</v>
      </c>
    </row>
    <row r="666" spans="1:23">
      <c r="A666" s="4">
        <v>1512</v>
      </c>
      <c r="B666" s="7" t="str">
        <f>VLOOKUP($A666,SkillEnum!$A$2:$C$1020,2,FALSE)</f>
        <v>SI_SA_AHM_BLIZZARDSHOWER</v>
      </c>
      <c r="C666" s="7">
        <v>7</v>
      </c>
      <c r="D666" s="2" t="str">
        <f>VLOOKUP($C666,SkillEnum!$D$2:$E$10,2,FALSE)</f>
        <v>ST_SPECIAL_ACTIVE</v>
      </c>
      <c r="E666" s="7" t="str">
        <f>VLOOKUP($A666,SkillEnum!$A$2:$C$1020,3,FALSE)</f>
        <v>블리자드 샤워</v>
      </c>
      <c r="F666" s="7" t="str">
        <f t="shared" si="90"/>
        <v>주위 10M 반경에 무작위로 8 개의 얼음을 떨어뜨려 타격당한 적에게 마법공격력의 1463 % 데미지를 주고, 2초간 동상(행동 불가) 상태로 만든다.</v>
      </c>
      <c r="G666" s="2">
        <v>5</v>
      </c>
      <c r="H666" s="2">
        <v>1.33</v>
      </c>
      <c r="I666" s="2">
        <v>10</v>
      </c>
      <c r="J666" s="2">
        <v>200</v>
      </c>
      <c r="K666" s="2">
        <v>0</v>
      </c>
      <c r="L666" s="2">
        <v>0</v>
      </c>
      <c r="M666" s="2">
        <v>0</v>
      </c>
      <c r="N666" s="2">
        <v>0</v>
      </c>
      <c r="O666" s="2">
        <v>0</v>
      </c>
      <c r="P666" s="2" t="s">
        <v>437</v>
      </c>
      <c r="Q666" s="2" t="str">
        <f t="shared" si="89"/>
        <v>SI_SA_AHM_BLIZZARDSHOWER</v>
      </c>
      <c r="R666" s="2" t="b">
        <v>0</v>
      </c>
      <c r="S666" s="2" t="b">
        <v>1</v>
      </c>
      <c r="T666" s="2">
        <v>2</v>
      </c>
      <c r="U666" s="2" t="b">
        <v>1</v>
      </c>
      <c r="V666" s="2" t="s">
        <v>493</v>
      </c>
      <c r="W666" s="2">
        <v>8</v>
      </c>
    </row>
    <row r="667" spans="1:23">
      <c r="A667" s="4">
        <v>1512</v>
      </c>
      <c r="B667" s="7" t="str">
        <f>VLOOKUP($A667,SkillEnum!$A$2:$C$1020,2,FALSE)</f>
        <v>SI_SA_AHM_BLIZZARDSHOWER</v>
      </c>
      <c r="C667" s="7">
        <v>7</v>
      </c>
      <c r="D667" s="2" t="str">
        <f>VLOOKUP($C667,SkillEnum!$D$2:$E$10,2,FALSE)</f>
        <v>ST_SPECIAL_ACTIVE</v>
      </c>
      <c r="E667" s="7" t="str">
        <f>VLOOKUP($A667,SkillEnum!$A$2:$C$1020,3,FALSE)</f>
        <v>블리자드 샤워</v>
      </c>
      <c r="F667" s="7" t="str">
        <f t="shared" si="90"/>
        <v>주위 10M 반경에 무작위로 9 개의 얼음을 떨어뜨려 타격당한 적에게 마법공격력의 1694 % 데미지를 주고, 2초간 동상(행동 불가) 상태로 만든다.</v>
      </c>
      <c r="G667" s="2">
        <v>6</v>
      </c>
      <c r="H667" s="2">
        <v>1.54</v>
      </c>
      <c r="I667" s="2">
        <v>10</v>
      </c>
      <c r="J667" s="2">
        <v>200</v>
      </c>
      <c r="K667" s="2">
        <v>0</v>
      </c>
      <c r="L667" s="2">
        <v>0</v>
      </c>
      <c r="M667" s="2">
        <v>0</v>
      </c>
      <c r="N667" s="2">
        <v>0</v>
      </c>
      <c r="O667" s="2">
        <v>0</v>
      </c>
      <c r="P667" s="2" t="s">
        <v>437</v>
      </c>
      <c r="Q667" s="2" t="str">
        <f t="shared" si="89"/>
        <v>SI_SA_AHM_BLIZZARDSHOWER</v>
      </c>
      <c r="R667" s="2" t="b">
        <v>0</v>
      </c>
      <c r="S667" s="2" t="b">
        <v>1</v>
      </c>
      <c r="T667" s="2">
        <v>2</v>
      </c>
      <c r="U667" s="2" t="b">
        <v>1</v>
      </c>
      <c r="V667" s="2" t="s">
        <v>493</v>
      </c>
      <c r="W667" s="2">
        <v>9</v>
      </c>
    </row>
    <row r="668" spans="1:23">
      <c r="A668" s="4">
        <v>1512</v>
      </c>
      <c r="B668" s="7" t="str">
        <f>VLOOKUP($A668,SkillEnum!$A$2:$C$1020,2,FALSE)</f>
        <v>SI_SA_AHM_BLIZZARDSHOWER</v>
      </c>
      <c r="C668" s="7">
        <v>7</v>
      </c>
      <c r="D668" s="2" t="str">
        <f>VLOOKUP($C668,SkillEnum!$D$2:$E$10,2,FALSE)</f>
        <v>ST_SPECIAL_ACTIVE</v>
      </c>
      <c r="E668" s="7" t="str">
        <f>VLOOKUP($A668,SkillEnum!$A$2:$C$1020,3,FALSE)</f>
        <v>블리자드 샤워</v>
      </c>
      <c r="F668" s="7" t="str">
        <f t="shared" si="90"/>
        <v>주위 10M 반경에 무작위로 10 개의 얼음을 떨어뜨려 타격당한 적에게 마법공격력의 1925 % 데미지를 주고, 2초간 동상(행동 불가) 상태로 만든다.</v>
      </c>
      <c r="G668" s="2">
        <v>7</v>
      </c>
      <c r="H668" s="2">
        <v>1.75</v>
      </c>
      <c r="I668" s="2">
        <v>10</v>
      </c>
      <c r="J668" s="2">
        <v>200</v>
      </c>
      <c r="K668" s="2">
        <v>0</v>
      </c>
      <c r="L668" s="2">
        <v>0</v>
      </c>
      <c r="M668" s="2">
        <v>0</v>
      </c>
      <c r="N668" s="2">
        <v>0</v>
      </c>
      <c r="O668" s="2">
        <v>0</v>
      </c>
      <c r="P668" s="2" t="s">
        <v>437</v>
      </c>
      <c r="Q668" s="2" t="str">
        <f t="shared" si="89"/>
        <v>SI_SA_AHM_BLIZZARDSHOWER</v>
      </c>
      <c r="R668" s="2" t="b">
        <v>0</v>
      </c>
      <c r="S668" s="2" t="b">
        <v>1</v>
      </c>
      <c r="T668" s="2">
        <v>2</v>
      </c>
      <c r="U668" s="2" t="b">
        <v>1</v>
      </c>
      <c r="V668" s="2" t="s">
        <v>493</v>
      </c>
      <c r="W668" s="2">
        <v>10</v>
      </c>
    </row>
    <row r="669" spans="1:23">
      <c r="A669" s="4">
        <v>1512</v>
      </c>
      <c r="B669" s="7" t="str">
        <f>VLOOKUP($A669,SkillEnum!$A$2:$C$1020,2,FALSE)</f>
        <v>SI_SA_AHM_BLIZZARDSHOWER</v>
      </c>
      <c r="C669" s="7">
        <v>7</v>
      </c>
      <c r="D669" s="2" t="str">
        <f>VLOOKUP($C669,SkillEnum!$D$2:$E$10,2,FALSE)</f>
        <v>ST_SPECIAL_ACTIVE</v>
      </c>
      <c r="E669" s="7" t="str">
        <f>VLOOKUP($A669,SkillEnum!$A$2:$C$1020,3,FALSE)</f>
        <v>블리자드 샤워</v>
      </c>
      <c r="F669" s="7" t="str">
        <f t="shared" si="90"/>
        <v>주위 10M 반경에 무작위로 11 개의 얼음을 떨어뜨려 타격당한 적에게 마법공격력의 2156 % 데미지를 주고, 2초간 동상(행동 불가) 상태로 만든다.</v>
      </c>
      <c r="G669" s="2">
        <v>8</v>
      </c>
      <c r="H669" s="2">
        <v>1.96</v>
      </c>
      <c r="I669" s="2">
        <v>10</v>
      </c>
      <c r="J669" s="2">
        <v>200</v>
      </c>
      <c r="K669" s="2">
        <v>0</v>
      </c>
      <c r="L669" s="2">
        <v>0</v>
      </c>
      <c r="M669" s="2">
        <v>0</v>
      </c>
      <c r="N669" s="2">
        <v>0</v>
      </c>
      <c r="O669" s="2">
        <v>0</v>
      </c>
      <c r="P669" s="2" t="s">
        <v>437</v>
      </c>
      <c r="Q669" s="2" t="str">
        <f t="shared" si="89"/>
        <v>SI_SA_AHM_BLIZZARDSHOWER</v>
      </c>
      <c r="R669" s="2" t="b">
        <v>0</v>
      </c>
      <c r="S669" s="2" t="b">
        <v>1</v>
      </c>
      <c r="T669" s="2">
        <v>2</v>
      </c>
      <c r="U669" s="2" t="b">
        <v>1</v>
      </c>
      <c r="V669" s="2" t="s">
        <v>493</v>
      </c>
      <c r="W669" s="2">
        <v>11</v>
      </c>
    </row>
    <row r="670" spans="1:23">
      <c r="A670" s="4">
        <v>1512</v>
      </c>
      <c r="B670" s="7" t="str">
        <f>VLOOKUP($A670,SkillEnum!$A$2:$C$1020,2,FALSE)</f>
        <v>SI_SA_AHM_BLIZZARDSHOWER</v>
      </c>
      <c r="C670" s="7">
        <v>7</v>
      </c>
      <c r="D670" s="2" t="str">
        <f>VLOOKUP($C670,SkillEnum!$D$2:$E$10,2,FALSE)</f>
        <v>ST_SPECIAL_ACTIVE</v>
      </c>
      <c r="E670" s="7" t="str">
        <f>VLOOKUP($A670,SkillEnum!$A$2:$C$1020,3,FALSE)</f>
        <v>블리자드 샤워</v>
      </c>
      <c r="F670" s="7" t="str">
        <f t="shared" si="90"/>
        <v>주위 10M 반경에 무작위로 12 개의 얼음을 떨어뜨려 타격당한 적에게 마법공격력의 2464 % 데미지를 주고, 2초간 동상(행동 불가) 상태로 만든다.</v>
      </c>
      <c r="G670" s="2">
        <v>9</v>
      </c>
      <c r="H670" s="2">
        <v>2.2400000000000002</v>
      </c>
      <c r="I670" s="2">
        <v>10</v>
      </c>
      <c r="J670" s="2">
        <v>200</v>
      </c>
      <c r="K670" s="2">
        <v>0</v>
      </c>
      <c r="L670" s="2">
        <v>0</v>
      </c>
      <c r="M670" s="2">
        <v>0</v>
      </c>
      <c r="N670" s="2">
        <v>0</v>
      </c>
      <c r="O670" s="2">
        <v>0</v>
      </c>
      <c r="P670" s="2" t="s">
        <v>437</v>
      </c>
      <c r="Q670" s="2" t="str">
        <f t="shared" si="89"/>
        <v>SI_SA_AHM_BLIZZARDSHOWER</v>
      </c>
      <c r="R670" s="2" t="b">
        <v>0</v>
      </c>
      <c r="S670" s="2" t="b">
        <v>1</v>
      </c>
      <c r="T670" s="2">
        <v>2</v>
      </c>
      <c r="U670" s="2" t="b">
        <v>1</v>
      </c>
      <c r="V670" s="2" t="s">
        <v>493</v>
      </c>
      <c r="W670" s="2">
        <v>12</v>
      </c>
    </row>
    <row r="671" spans="1:23" s="5" customFormat="1">
      <c r="A671" s="6">
        <v>1512</v>
      </c>
      <c r="B671" s="8" t="str">
        <f>VLOOKUP($A671,SkillEnum!$A$2:$C$1020,2,FALSE)</f>
        <v>SI_SA_AHM_BLIZZARDSHOWER</v>
      </c>
      <c r="C671" s="8">
        <v>7</v>
      </c>
      <c r="D671" s="5" t="str">
        <f>VLOOKUP($C671,SkillEnum!$D$2:$E$10,2,FALSE)</f>
        <v>ST_SPECIAL_ACTIVE</v>
      </c>
      <c r="E671" s="8" t="str">
        <f>VLOOKUP($A671,SkillEnum!$A$2:$C$1020,3,FALSE)</f>
        <v>블리자드 샤워</v>
      </c>
      <c r="F671" s="8" t="str">
        <f t="shared" si="90"/>
        <v>주위 10M 반경에 무작위로 13 개의 얼음을 떨어뜨려 타격당한 적에게 마법공격력의 2772 % 데미지를 주고, 2초간 동상(행동 불가) 상태로 만든다.</v>
      </c>
      <c r="G671" s="5">
        <v>10</v>
      </c>
      <c r="H671" s="5">
        <v>2.52</v>
      </c>
      <c r="I671" s="5">
        <v>10</v>
      </c>
      <c r="J671" s="5">
        <v>200</v>
      </c>
      <c r="K671" s="5">
        <v>0</v>
      </c>
      <c r="L671" s="5">
        <v>0</v>
      </c>
      <c r="M671" s="5">
        <v>0</v>
      </c>
      <c r="N671" s="5">
        <v>0</v>
      </c>
      <c r="O671" s="5">
        <v>0</v>
      </c>
      <c r="P671" s="2" t="s">
        <v>437</v>
      </c>
      <c r="Q671" s="2" t="str">
        <f t="shared" si="89"/>
        <v>SI_SA_AHM_BLIZZARDSHOWER</v>
      </c>
      <c r="R671" s="5" t="b">
        <v>0</v>
      </c>
      <c r="S671" s="2" t="b">
        <v>1</v>
      </c>
      <c r="T671" s="2">
        <v>2</v>
      </c>
      <c r="U671" s="2" t="b">
        <v>1</v>
      </c>
      <c r="V671" s="5" t="s">
        <v>493</v>
      </c>
      <c r="W671" s="5">
        <v>13</v>
      </c>
    </row>
    <row r="672" spans="1:23">
      <c r="A672" s="4">
        <v>1513</v>
      </c>
      <c r="B672" s="7" t="str">
        <f>VLOOKUP($A672,SkillEnum!$A$2:$C$1020,2,FALSE)</f>
        <v>SI_SA_ADM_DEATHFIELD</v>
      </c>
      <c r="C672" s="7">
        <v>7</v>
      </c>
      <c r="D672" s="2" t="str">
        <f>VLOOKUP($C672,SkillEnum!$D$2:$E$10,2,FALSE)</f>
        <v>ST_SPECIAL_ACTIVE</v>
      </c>
      <c r="E672" s="11" t="str">
        <f>VLOOKUP($A672,SkillEnum!$A$2:$C$1020,3,FALSE)</f>
        <v>데스 필드</v>
      </c>
      <c r="F672" s="7" t="str">
        <f>"주위 3M 반경에 있는 모든 유저는 죽음의 선고를 받는다. 죽음의 선고를 받은 유저는 이동속도가 50%로 감소되며 시간이 종료되면 마법공격력의 "&amp;ROUND(3*H672*100,0)&amp;" % 로 연속으로 폭발 데미지를 받게 된다."</f>
        <v>주위 3M 반경에 있는 모든 유저는 죽음의 선고를 받는다. 죽음의 선고를 받은 유저는 이동속도가 50%로 감소되며 시간이 종료되면 마법공격력의 210 % 로 연속으로 폭발 데미지를 받게 된다.</v>
      </c>
      <c r="G672" s="10">
        <v>1</v>
      </c>
      <c r="H672" s="2">
        <v>0.7</v>
      </c>
      <c r="I672" s="2">
        <v>10</v>
      </c>
      <c r="J672" s="2">
        <v>200</v>
      </c>
      <c r="K672" s="2">
        <v>0</v>
      </c>
      <c r="L672" s="2">
        <v>0</v>
      </c>
      <c r="M672" s="2">
        <v>0</v>
      </c>
      <c r="N672" s="2">
        <v>0</v>
      </c>
      <c r="O672" s="2">
        <v>0</v>
      </c>
      <c r="P672" s="2" t="s">
        <v>437</v>
      </c>
      <c r="Q672" s="2" t="str">
        <f t="shared" ref="Q672:Q681" si="91">B672</f>
        <v>SI_SA_ADM_DEATHFIELD</v>
      </c>
      <c r="R672" s="2" t="b">
        <v>0</v>
      </c>
      <c r="S672" s="2" t="b">
        <v>1</v>
      </c>
      <c r="T672" s="2">
        <v>2</v>
      </c>
      <c r="U672" s="2" t="b">
        <v>1</v>
      </c>
    </row>
    <row r="673" spans="1:21">
      <c r="A673" s="4">
        <v>1513</v>
      </c>
      <c r="B673" s="7" t="str">
        <f>VLOOKUP($A673,SkillEnum!$A$2:$C$1020,2,FALSE)</f>
        <v>SI_SA_ADM_DEATHFIELD</v>
      </c>
      <c r="C673" s="7">
        <v>7</v>
      </c>
      <c r="D673" s="2" t="str">
        <f>VLOOKUP($C673,SkillEnum!$D$2:$E$10,2,FALSE)</f>
        <v>ST_SPECIAL_ACTIVE</v>
      </c>
      <c r="E673" s="7" t="str">
        <f>VLOOKUP($A673,SkillEnum!$A$2:$C$1020,3,FALSE)</f>
        <v>데스 필드</v>
      </c>
      <c r="F673" s="7" t="str">
        <f t="shared" ref="F673:F681" si="92">"주위 3M 반경에 있는 모든 유저는 죽음의 선고를 받는다. 죽음의 선고를 받은 유저는 이동속도가 50%로 감소되며 시간이 종료되면 마법공격력의 "&amp;ROUND(3*H673*100,0)&amp;" % 로 연속으로 폭발 데미지를 받게 된다."</f>
        <v>주위 3M 반경에 있는 모든 유저는 죽음의 선고를 받는다. 죽음의 선고를 받은 유저는 이동속도가 50%로 감소되며 시간이 종료되면 마법공격력의 252 % 로 연속으로 폭발 데미지를 받게 된다.</v>
      </c>
      <c r="G673" s="2">
        <v>2</v>
      </c>
      <c r="H673" s="2">
        <v>0.84</v>
      </c>
      <c r="I673" s="2">
        <v>10</v>
      </c>
      <c r="J673" s="2">
        <v>200</v>
      </c>
      <c r="K673" s="2">
        <v>0</v>
      </c>
      <c r="L673" s="2">
        <v>0</v>
      </c>
      <c r="M673" s="2">
        <v>0</v>
      </c>
      <c r="N673" s="2">
        <v>0</v>
      </c>
      <c r="O673" s="2">
        <v>0</v>
      </c>
      <c r="P673" s="2" t="s">
        <v>437</v>
      </c>
      <c r="Q673" s="2" t="str">
        <f t="shared" si="91"/>
        <v>SI_SA_ADM_DEATHFIELD</v>
      </c>
      <c r="R673" s="2" t="b">
        <v>0</v>
      </c>
      <c r="S673" s="2" t="b">
        <v>1</v>
      </c>
      <c r="T673" s="2">
        <v>2</v>
      </c>
      <c r="U673" s="2" t="b">
        <v>1</v>
      </c>
    </row>
    <row r="674" spans="1:21">
      <c r="A674" s="4">
        <v>1513</v>
      </c>
      <c r="B674" s="7" t="str">
        <f>VLOOKUP($A674,SkillEnum!$A$2:$C$1020,2,FALSE)</f>
        <v>SI_SA_ADM_DEATHFIELD</v>
      </c>
      <c r="C674" s="7">
        <v>7</v>
      </c>
      <c r="D674" s="2" t="str">
        <f>VLOOKUP($C674,SkillEnum!$D$2:$E$10,2,FALSE)</f>
        <v>ST_SPECIAL_ACTIVE</v>
      </c>
      <c r="E674" s="7" t="str">
        <f>VLOOKUP($A674,SkillEnum!$A$2:$C$1020,3,FALSE)</f>
        <v>데스 필드</v>
      </c>
      <c r="F674" s="7" t="str">
        <f t="shared" si="92"/>
        <v>주위 3M 반경에 있는 모든 유저는 죽음의 선고를 받는다. 죽음의 선고를 받은 유저는 이동속도가 50%로 감소되며 시간이 종료되면 마법공격력의 294 % 로 연속으로 폭발 데미지를 받게 된다.</v>
      </c>
      <c r="G674" s="2">
        <v>3</v>
      </c>
      <c r="H674" s="2">
        <v>0.98</v>
      </c>
      <c r="I674" s="2">
        <v>10</v>
      </c>
      <c r="J674" s="2">
        <v>200</v>
      </c>
      <c r="K674" s="2">
        <v>0</v>
      </c>
      <c r="L674" s="2">
        <v>0</v>
      </c>
      <c r="M674" s="2">
        <v>0</v>
      </c>
      <c r="N674" s="2">
        <v>0</v>
      </c>
      <c r="O674" s="2">
        <v>0</v>
      </c>
      <c r="P674" s="2" t="s">
        <v>437</v>
      </c>
      <c r="Q674" s="2" t="str">
        <f t="shared" si="91"/>
        <v>SI_SA_ADM_DEATHFIELD</v>
      </c>
      <c r="R674" s="2" t="b">
        <v>0</v>
      </c>
      <c r="S674" s="2" t="b">
        <v>1</v>
      </c>
      <c r="T674" s="2">
        <v>2</v>
      </c>
      <c r="U674" s="2" t="b">
        <v>1</v>
      </c>
    </row>
    <row r="675" spans="1:21">
      <c r="A675" s="4">
        <v>1513</v>
      </c>
      <c r="B675" s="7" t="str">
        <f>VLOOKUP($A675,SkillEnum!$A$2:$C$1020,2,FALSE)</f>
        <v>SI_SA_ADM_DEATHFIELD</v>
      </c>
      <c r="C675" s="7">
        <v>7</v>
      </c>
      <c r="D675" s="2" t="str">
        <f>VLOOKUP($C675,SkillEnum!$D$2:$E$10,2,FALSE)</f>
        <v>ST_SPECIAL_ACTIVE</v>
      </c>
      <c r="E675" s="7" t="str">
        <f>VLOOKUP($A675,SkillEnum!$A$2:$C$1020,3,FALSE)</f>
        <v>데스 필드</v>
      </c>
      <c r="F675" s="7" t="str">
        <f t="shared" si="92"/>
        <v>주위 3M 반경에 있는 모든 유저는 죽음의 선고를 받는다. 죽음의 선고를 받은 유저는 이동속도가 50%로 감소되며 시간이 종료되면 마법공격력의 336 % 로 연속으로 폭발 데미지를 받게 된다.</v>
      </c>
      <c r="G675" s="2">
        <v>4</v>
      </c>
      <c r="H675" s="2">
        <v>1.1200000000000001</v>
      </c>
      <c r="I675" s="2">
        <v>10</v>
      </c>
      <c r="J675" s="2">
        <v>200</v>
      </c>
      <c r="K675" s="2">
        <v>0</v>
      </c>
      <c r="L675" s="2">
        <v>0</v>
      </c>
      <c r="M675" s="2">
        <v>0</v>
      </c>
      <c r="N675" s="2">
        <v>0</v>
      </c>
      <c r="O675" s="2">
        <v>0</v>
      </c>
      <c r="P675" s="2" t="s">
        <v>437</v>
      </c>
      <c r="Q675" s="2" t="str">
        <f t="shared" si="91"/>
        <v>SI_SA_ADM_DEATHFIELD</v>
      </c>
      <c r="R675" s="2" t="b">
        <v>0</v>
      </c>
      <c r="S675" s="2" t="b">
        <v>1</v>
      </c>
      <c r="T675" s="2">
        <v>2</v>
      </c>
      <c r="U675" s="2" t="b">
        <v>1</v>
      </c>
    </row>
    <row r="676" spans="1:21">
      <c r="A676" s="4">
        <v>1513</v>
      </c>
      <c r="B676" s="7" t="str">
        <f>VLOOKUP($A676,SkillEnum!$A$2:$C$1020,2,FALSE)</f>
        <v>SI_SA_ADM_DEATHFIELD</v>
      </c>
      <c r="C676" s="7">
        <v>7</v>
      </c>
      <c r="D676" s="2" t="str">
        <f>VLOOKUP($C676,SkillEnum!$D$2:$E$10,2,FALSE)</f>
        <v>ST_SPECIAL_ACTIVE</v>
      </c>
      <c r="E676" s="7" t="str">
        <f>VLOOKUP($A676,SkillEnum!$A$2:$C$1020,3,FALSE)</f>
        <v>데스 필드</v>
      </c>
      <c r="F676" s="7" t="str">
        <f t="shared" si="92"/>
        <v>주위 3M 반경에 있는 모든 유저는 죽음의 선고를 받는다. 죽음의 선고를 받은 유저는 이동속도가 50%로 감소되며 시간이 종료되면 마법공격력의 399 % 로 연속으로 폭발 데미지를 받게 된다.</v>
      </c>
      <c r="G676" s="2">
        <v>5</v>
      </c>
      <c r="H676" s="2">
        <v>1.33</v>
      </c>
      <c r="I676" s="2">
        <v>10</v>
      </c>
      <c r="J676" s="2">
        <v>200</v>
      </c>
      <c r="K676" s="2">
        <v>0</v>
      </c>
      <c r="L676" s="2">
        <v>0</v>
      </c>
      <c r="M676" s="2">
        <v>0</v>
      </c>
      <c r="N676" s="2">
        <v>0</v>
      </c>
      <c r="O676" s="2">
        <v>0</v>
      </c>
      <c r="P676" s="2" t="s">
        <v>437</v>
      </c>
      <c r="Q676" s="2" t="str">
        <f t="shared" si="91"/>
        <v>SI_SA_ADM_DEATHFIELD</v>
      </c>
      <c r="R676" s="2" t="b">
        <v>0</v>
      </c>
      <c r="S676" s="2" t="b">
        <v>1</v>
      </c>
      <c r="T676" s="2">
        <v>2</v>
      </c>
      <c r="U676" s="2" t="b">
        <v>1</v>
      </c>
    </row>
    <row r="677" spans="1:21">
      <c r="A677" s="4">
        <v>1513</v>
      </c>
      <c r="B677" s="7" t="str">
        <f>VLOOKUP($A677,SkillEnum!$A$2:$C$1020,2,FALSE)</f>
        <v>SI_SA_ADM_DEATHFIELD</v>
      </c>
      <c r="C677" s="7">
        <v>7</v>
      </c>
      <c r="D677" s="2" t="str">
        <f>VLOOKUP($C677,SkillEnum!$D$2:$E$10,2,FALSE)</f>
        <v>ST_SPECIAL_ACTIVE</v>
      </c>
      <c r="E677" s="7" t="str">
        <f>VLOOKUP($A677,SkillEnum!$A$2:$C$1020,3,FALSE)</f>
        <v>데스 필드</v>
      </c>
      <c r="F677" s="7" t="str">
        <f t="shared" si="92"/>
        <v>주위 3M 반경에 있는 모든 유저는 죽음의 선고를 받는다. 죽음의 선고를 받은 유저는 이동속도가 50%로 감소되며 시간이 종료되면 마법공격력의 462 % 로 연속으로 폭발 데미지를 받게 된다.</v>
      </c>
      <c r="G677" s="2">
        <v>6</v>
      </c>
      <c r="H677" s="2">
        <v>1.54</v>
      </c>
      <c r="I677" s="2">
        <v>10</v>
      </c>
      <c r="J677" s="2">
        <v>200</v>
      </c>
      <c r="K677" s="2">
        <v>0</v>
      </c>
      <c r="L677" s="2">
        <v>0</v>
      </c>
      <c r="M677" s="2">
        <v>0</v>
      </c>
      <c r="N677" s="2">
        <v>0</v>
      </c>
      <c r="O677" s="2">
        <v>0</v>
      </c>
      <c r="P677" s="2" t="s">
        <v>437</v>
      </c>
      <c r="Q677" s="2" t="str">
        <f t="shared" si="91"/>
        <v>SI_SA_ADM_DEATHFIELD</v>
      </c>
      <c r="R677" s="2" t="b">
        <v>0</v>
      </c>
      <c r="S677" s="2" t="b">
        <v>1</v>
      </c>
      <c r="T677" s="2">
        <v>2</v>
      </c>
      <c r="U677" s="2" t="b">
        <v>1</v>
      </c>
    </row>
    <row r="678" spans="1:21">
      <c r="A678" s="4">
        <v>1513</v>
      </c>
      <c r="B678" s="7" t="str">
        <f>VLOOKUP($A678,SkillEnum!$A$2:$C$1020,2,FALSE)</f>
        <v>SI_SA_ADM_DEATHFIELD</v>
      </c>
      <c r="C678" s="7">
        <v>7</v>
      </c>
      <c r="D678" s="2" t="str">
        <f>VLOOKUP($C678,SkillEnum!$D$2:$E$10,2,FALSE)</f>
        <v>ST_SPECIAL_ACTIVE</v>
      </c>
      <c r="E678" s="7" t="str">
        <f>VLOOKUP($A678,SkillEnum!$A$2:$C$1020,3,FALSE)</f>
        <v>데스 필드</v>
      </c>
      <c r="F678" s="7" t="str">
        <f t="shared" si="92"/>
        <v>주위 3M 반경에 있는 모든 유저는 죽음의 선고를 받는다. 죽음의 선고를 받은 유저는 이동속도가 50%로 감소되며 시간이 종료되면 마법공격력의 525 % 로 연속으로 폭발 데미지를 받게 된다.</v>
      </c>
      <c r="G678" s="2">
        <v>7</v>
      </c>
      <c r="H678" s="2">
        <v>1.75</v>
      </c>
      <c r="I678" s="2">
        <v>10</v>
      </c>
      <c r="J678" s="2">
        <v>200</v>
      </c>
      <c r="K678" s="2">
        <v>0</v>
      </c>
      <c r="L678" s="2">
        <v>0</v>
      </c>
      <c r="M678" s="2">
        <v>0</v>
      </c>
      <c r="N678" s="2">
        <v>0</v>
      </c>
      <c r="O678" s="2">
        <v>0</v>
      </c>
      <c r="P678" s="2" t="s">
        <v>437</v>
      </c>
      <c r="Q678" s="2" t="str">
        <f t="shared" si="91"/>
        <v>SI_SA_ADM_DEATHFIELD</v>
      </c>
      <c r="R678" s="2" t="b">
        <v>0</v>
      </c>
      <c r="S678" s="2" t="b">
        <v>1</v>
      </c>
      <c r="T678" s="2">
        <v>2</v>
      </c>
      <c r="U678" s="2" t="b">
        <v>1</v>
      </c>
    </row>
    <row r="679" spans="1:21">
      <c r="A679" s="4">
        <v>1513</v>
      </c>
      <c r="B679" s="7" t="str">
        <f>VLOOKUP($A679,SkillEnum!$A$2:$C$1020,2,FALSE)</f>
        <v>SI_SA_ADM_DEATHFIELD</v>
      </c>
      <c r="C679" s="7">
        <v>7</v>
      </c>
      <c r="D679" s="2" t="str">
        <f>VLOOKUP($C679,SkillEnum!$D$2:$E$10,2,FALSE)</f>
        <v>ST_SPECIAL_ACTIVE</v>
      </c>
      <c r="E679" s="7" t="str">
        <f>VLOOKUP($A679,SkillEnum!$A$2:$C$1020,3,FALSE)</f>
        <v>데스 필드</v>
      </c>
      <c r="F679" s="7" t="str">
        <f t="shared" si="92"/>
        <v>주위 3M 반경에 있는 모든 유저는 죽음의 선고를 받는다. 죽음의 선고를 받은 유저는 이동속도가 50%로 감소되며 시간이 종료되면 마법공격력의 588 % 로 연속으로 폭발 데미지를 받게 된다.</v>
      </c>
      <c r="G679" s="2">
        <v>8</v>
      </c>
      <c r="H679" s="2">
        <v>1.96</v>
      </c>
      <c r="I679" s="2">
        <v>10</v>
      </c>
      <c r="J679" s="2">
        <v>200</v>
      </c>
      <c r="K679" s="2">
        <v>0</v>
      </c>
      <c r="L679" s="2">
        <v>0</v>
      </c>
      <c r="M679" s="2">
        <v>0</v>
      </c>
      <c r="N679" s="2">
        <v>0</v>
      </c>
      <c r="O679" s="2">
        <v>0</v>
      </c>
      <c r="P679" s="2" t="s">
        <v>437</v>
      </c>
      <c r="Q679" s="2" t="str">
        <f t="shared" si="91"/>
        <v>SI_SA_ADM_DEATHFIELD</v>
      </c>
      <c r="R679" s="2" t="b">
        <v>0</v>
      </c>
      <c r="S679" s="2" t="b">
        <v>1</v>
      </c>
      <c r="T679" s="2">
        <v>2</v>
      </c>
      <c r="U679" s="2" t="b">
        <v>1</v>
      </c>
    </row>
    <row r="680" spans="1:21">
      <c r="A680" s="4">
        <v>1513</v>
      </c>
      <c r="B680" s="7" t="str">
        <f>VLOOKUP($A680,SkillEnum!$A$2:$C$1020,2,FALSE)</f>
        <v>SI_SA_ADM_DEATHFIELD</v>
      </c>
      <c r="C680" s="7">
        <v>7</v>
      </c>
      <c r="D680" s="2" t="str">
        <f>VLOOKUP($C680,SkillEnum!$D$2:$E$10,2,FALSE)</f>
        <v>ST_SPECIAL_ACTIVE</v>
      </c>
      <c r="E680" s="7" t="str">
        <f>VLOOKUP($A680,SkillEnum!$A$2:$C$1020,3,FALSE)</f>
        <v>데스 필드</v>
      </c>
      <c r="F680" s="7" t="str">
        <f t="shared" si="92"/>
        <v>주위 3M 반경에 있는 모든 유저는 죽음의 선고를 받는다. 죽음의 선고를 받은 유저는 이동속도가 50%로 감소되며 시간이 종료되면 마법공격력의 672 % 로 연속으로 폭발 데미지를 받게 된다.</v>
      </c>
      <c r="G680" s="2">
        <v>9</v>
      </c>
      <c r="H680" s="2">
        <v>2.2400000000000002</v>
      </c>
      <c r="I680" s="2">
        <v>10</v>
      </c>
      <c r="J680" s="2">
        <v>200</v>
      </c>
      <c r="K680" s="2">
        <v>0</v>
      </c>
      <c r="L680" s="2">
        <v>0</v>
      </c>
      <c r="M680" s="2">
        <v>0</v>
      </c>
      <c r="N680" s="2">
        <v>0</v>
      </c>
      <c r="O680" s="2">
        <v>0</v>
      </c>
      <c r="P680" s="2" t="s">
        <v>437</v>
      </c>
      <c r="Q680" s="2" t="str">
        <f t="shared" si="91"/>
        <v>SI_SA_ADM_DEATHFIELD</v>
      </c>
      <c r="R680" s="2" t="b">
        <v>0</v>
      </c>
      <c r="S680" s="2" t="b">
        <v>1</v>
      </c>
      <c r="T680" s="2">
        <v>2</v>
      </c>
      <c r="U680" s="2" t="b">
        <v>1</v>
      </c>
    </row>
    <row r="681" spans="1:21" s="5" customFormat="1">
      <c r="A681" s="6">
        <v>1513</v>
      </c>
      <c r="B681" s="8" t="str">
        <f>VLOOKUP($A681,SkillEnum!$A$2:$C$1020,2,FALSE)</f>
        <v>SI_SA_ADM_DEATHFIELD</v>
      </c>
      <c r="C681" s="8">
        <v>7</v>
      </c>
      <c r="D681" s="5" t="str">
        <f>VLOOKUP($C681,SkillEnum!$D$2:$E$10,2,FALSE)</f>
        <v>ST_SPECIAL_ACTIVE</v>
      </c>
      <c r="E681" s="8" t="str">
        <f>VLOOKUP($A681,SkillEnum!$A$2:$C$1020,3,FALSE)</f>
        <v>데스 필드</v>
      </c>
      <c r="F681" s="7" t="str">
        <f t="shared" si="92"/>
        <v>주위 3M 반경에 있는 모든 유저는 죽음의 선고를 받는다. 죽음의 선고를 받은 유저는 이동속도가 50%로 감소되며 시간이 종료되면 마법공격력의 756 % 로 연속으로 폭발 데미지를 받게 된다.</v>
      </c>
      <c r="G681" s="5">
        <v>10</v>
      </c>
      <c r="H681" s="5">
        <v>2.52</v>
      </c>
      <c r="I681" s="5">
        <v>10</v>
      </c>
      <c r="J681" s="5">
        <v>200</v>
      </c>
      <c r="K681" s="5">
        <v>0</v>
      </c>
      <c r="L681" s="5">
        <v>0</v>
      </c>
      <c r="M681" s="5">
        <v>0</v>
      </c>
      <c r="N681" s="5">
        <v>0</v>
      </c>
      <c r="O681" s="5">
        <v>0</v>
      </c>
      <c r="P681" s="2" t="s">
        <v>437</v>
      </c>
      <c r="Q681" s="2" t="str">
        <f t="shared" si="91"/>
        <v>SI_SA_ADM_DEATHFIELD</v>
      </c>
      <c r="R681" s="5" t="b">
        <v>0</v>
      </c>
      <c r="S681" s="2" t="b">
        <v>1</v>
      </c>
      <c r="T681" s="2">
        <v>2</v>
      </c>
      <c r="U681" s="2" t="b">
        <v>1</v>
      </c>
    </row>
    <row r="682" spans="1:21" s="10" customFormat="1">
      <c r="A682" s="9">
        <v>1700</v>
      </c>
      <c r="B682" s="11" t="str">
        <f>VLOOKUP($A682,SkillEnum!$A$2:$C$1020,2,FALSE)</f>
        <v>SI_A_AV_TELEPORT</v>
      </c>
      <c r="C682" s="11">
        <v>6</v>
      </c>
      <c r="D682" s="10" t="str">
        <f>VLOOKUP($C682,SkillEnum!$D$2:$E$10,2,FALSE)</f>
        <v>ST_ACTIVE</v>
      </c>
      <c r="E682" s="11" t="str">
        <f>VLOOKUP($A682,SkillEnum!$A$2:$C$1020,3,FALSE)</f>
        <v>텔레포트</v>
      </c>
      <c r="F682" s="11" t="str">
        <f t="shared" ref="F682:F691" si="93">"일정 지점으로 순간이동 한다."</f>
        <v>일정 지점으로 순간이동 한다.</v>
      </c>
      <c r="G682" s="10">
        <v>1</v>
      </c>
      <c r="H682" s="2">
        <v>1</v>
      </c>
      <c r="I682" s="10">
        <v>0</v>
      </c>
      <c r="J682" s="10">
        <v>10</v>
      </c>
      <c r="K682" s="2">
        <v>0</v>
      </c>
      <c r="L682" s="2">
        <v>0</v>
      </c>
      <c r="M682" s="2">
        <v>0</v>
      </c>
      <c r="N682" s="2">
        <v>0</v>
      </c>
      <c r="O682" s="2">
        <v>0</v>
      </c>
      <c r="P682" s="2" t="s">
        <v>437</v>
      </c>
      <c r="Q682" s="2" t="str">
        <f t="shared" si="84"/>
        <v>SI_A_AV_TELEPORT</v>
      </c>
      <c r="R682" s="2" t="b">
        <v>0</v>
      </c>
      <c r="S682" s="2" t="b">
        <v>0</v>
      </c>
      <c r="T682" s="2">
        <v>2</v>
      </c>
      <c r="U682" s="2"/>
    </row>
    <row r="683" spans="1:21">
      <c r="A683" s="4">
        <v>1700</v>
      </c>
      <c r="B683" s="7" t="str">
        <f>VLOOKUP($A683,SkillEnum!$A$2:$C$1020,2,FALSE)</f>
        <v>SI_A_AV_TELEPORT</v>
      </c>
      <c r="C683" s="7">
        <v>6</v>
      </c>
      <c r="D683" s="2" t="str">
        <f>VLOOKUP($C683,SkillEnum!$D$2:$E$10,2,FALSE)</f>
        <v>ST_ACTIVE</v>
      </c>
      <c r="E683" s="7" t="str">
        <f>VLOOKUP($A683,SkillEnum!$A$2:$C$1020,3,FALSE)</f>
        <v>텔레포트</v>
      </c>
      <c r="F683" s="7" t="str">
        <f t="shared" si="93"/>
        <v>일정 지점으로 순간이동 한다.</v>
      </c>
      <c r="G683" s="2">
        <v>2</v>
      </c>
      <c r="H683" s="2">
        <v>1</v>
      </c>
      <c r="I683" s="2">
        <v>0</v>
      </c>
      <c r="J683" s="2">
        <v>10</v>
      </c>
      <c r="K683" s="2">
        <v>0</v>
      </c>
      <c r="L683" s="2">
        <v>0</v>
      </c>
      <c r="M683" s="2">
        <v>0</v>
      </c>
      <c r="N683" s="2">
        <v>0</v>
      </c>
      <c r="O683" s="2">
        <v>0</v>
      </c>
      <c r="P683" s="2" t="s">
        <v>437</v>
      </c>
      <c r="Q683" s="2" t="str">
        <f t="shared" si="84"/>
        <v>SI_A_AV_TELEPORT</v>
      </c>
      <c r="R683" s="2" t="b">
        <v>0</v>
      </c>
      <c r="S683" s="2" t="b">
        <v>0</v>
      </c>
      <c r="T683" s="2">
        <v>2</v>
      </c>
    </row>
    <row r="684" spans="1:21">
      <c r="A684" s="4">
        <v>1700</v>
      </c>
      <c r="B684" s="7" t="str">
        <f>VLOOKUP($A684,SkillEnum!$A$2:$C$1020,2,FALSE)</f>
        <v>SI_A_AV_TELEPORT</v>
      </c>
      <c r="C684" s="7">
        <v>6</v>
      </c>
      <c r="D684" s="2" t="str">
        <f>VLOOKUP($C684,SkillEnum!$D$2:$E$10,2,FALSE)</f>
        <v>ST_ACTIVE</v>
      </c>
      <c r="E684" s="7" t="str">
        <f>VLOOKUP($A684,SkillEnum!$A$2:$C$1020,3,FALSE)</f>
        <v>텔레포트</v>
      </c>
      <c r="F684" s="7" t="str">
        <f t="shared" si="93"/>
        <v>일정 지점으로 순간이동 한다.</v>
      </c>
      <c r="G684" s="2">
        <v>3</v>
      </c>
      <c r="H684" s="2">
        <v>1</v>
      </c>
      <c r="I684" s="2">
        <v>0</v>
      </c>
      <c r="J684" s="2">
        <v>10</v>
      </c>
      <c r="K684" s="2">
        <v>0</v>
      </c>
      <c r="L684" s="2">
        <v>0</v>
      </c>
      <c r="M684" s="2">
        <v>0</v>
      </c>
      <c r="N684" s="2">
        <v>0</v>
      </c>
      <c r="O684" s="2">
        <v>0</v>
      </c>
      <c r="P684" s="2" t="s">
        <v>437</v>
      </c>
      <c r="Q684" s="2" t="str">
        <f t="shared" si="84"/>
        <v>SI_A_AV_TELEPORT</v>
      </c>
      <c r="R684" s="2" t="b">
        <v>0</v>
      </c>
      <c r="S684" s="2" t="b">
        <v>0</v>
      </c>
      <c r="T684" s="2">
        <v>2</v>
      </c>
    </row>
    <row r="685" spans="1:21">
      <c r="A685" s="4">
        <v>1700</v>
      </c>
      <c r="B685" s="7" t="str">
        <f>VLOOKUP($A685,SkillEnum!$A$2:$C$1020,2,FALSE)</f>
        <v>SI_A_AV_TELEPORT</v>
      </c>
      <c r="C685" s="7">
        <v>6</v>
      </c>
      <c r="D685" s="2" t="str">
        <f>VLOOKUP($C685,SkillEnum!$D$2:$E$10,2,FALSE)</f>
        <v>ST_ACTIVE</v>
      </c>
      <c r="E685" s="7" t="str">
        <f>VLOOKUP($A685,SkillEnum!$A$2:$C$1020,3,FALSE)</f>
        <v>텔레포트</v>
      </c>
      <c r="F685" s="7" t="str">
        <f t="shared" si="93"/>
        <v>일정 지점으로 순간이동 한다.</v>
      </c>
      <c r="G685" s="2">
        <v>4</v>
      </c>
      <c r="H685" s="2">
        <v>1</v>
      </c>
      <c r="I685" s="2">
        <v>0</v>
      </c>
      <c r="J685" s="2">
        <v>10</v>
      </c>
      <c r="K685" s="2">
        <v>0</v>
      </c>
      <c r="L685" s="2">
        <v>0</v>
      </c>
      <c r="M685" s="2">
        <v>0</v>
      </c>
      <c r="N685" s="2">
        <v>0</v>
      </c>
      <c r="O685" s="2">
        <v>0</v>
      </c>
      <c r="P685" s="2" t="s">
        <v>437</v>
      </c>
      <c r="Q685" s="2" t="str">
        <f t="shared" si="84"/>
        <v>SI_A_AV_TELEPORT</v>
      </c>
      <c r="R685" s="2" t="b">
        <v>0</v>
      </c>
      <c r="S685" s="2" t="b">
        <v>0</v>
      </c>
      <c r="T685" s="2">
        <v>2</v>
      </c>
    </row>
    <row r="686" spans="1:21">
      <c r="A686" s="4">
        <v>1700</v>
      </c>
      <c r="B686" s="7" t="str">
        <f>VLOOKUP($A686,SkillEnum!$A$2:$C$1020,2,FALSE)</f>
        <v>SI_A_AV_TELEPORT</v>
      </c>
      <c r="C686" s="7">
        <v>6</v>
      </c>
      <c r="D686" s="2" t="str">
        <f>VLOOKUP($C686,SkillEnum!$D$2:$E$10,2,FALSE)</f>
        <v>ST_ACTIVE</v>
      </c>
      <c r="E686" s="7" t="str">
        <f>VLOOKUP($A686,SkillEnum!$A$2:$C$1020,3,FALSE)</f>
        <v>텔레포트</v>
      </c>
      <c r="F686" s="7" t="str">
        <f t="shared" si="93"/>
        <v>일정 지점으로 순간이동 한다.</v>
      </c>
      <c r="G686" s="2">
        <v>5</v>
      </c>
      <c r="H686" s="2">
        <v>1</v>
      </c>
      <c r="I686" s="2">
        <v>0</v>
      </c>
      <c r="J686" s="2">
        <v>10</v>
      </c>
      <c r="K686" s="2">
        <v>0</v>
      </c>
      <c r="L686" s="2">
        <v>0</v>
      </c>
      <c r="M686" s="2">
        <v>0</v>
      </c>
      <c r="N686" s="2">
        <v>0</v>
      </c>
      <c r="O686" s="2">
        <v>0</v>
      </c>
      <c r="P686" s="2" t="s">
        <v>437</v>
      </c>
      <c r="Q686" s="2" t="str">
        <f t="shared" si="84"/>
        <v>SI_A_AV_TELEPORT</v>
      </c>
      <c r="R686" s="2" t="b">
        <v>0</v>
      </c>
      <c r="S686" s="2" t="b">
        <v>0</v>
      </c>
      <c r="T686" s="2">
        <v>2</v>
      </c>
    </row>
    <row r="687" spans="1:21">
      <c r="A687" s="4">
        <v>1700</v>
      </c>
      <c r="B687" s="7" t="str">
        <f>VLOOKUP($A687,SkillEnum!$A$2:$C$1020,2,FALSE)</f>
        <v>SI_A_AV_TELEPORT</v>
      </c>
      <c r="C687" s="7">
        <v>6</v>
      </c>
      <c r="D687" s="2" t="str">
        <f>VLOOKUP($C687,SkillEnum!$D$2:$E$10,2,FALSE)</f>
        <v>ST_ACTIVE</v>
      </c>
      <c r="E687" s="7" t="str">
        <f>VLOOKUP($A687,SkillEnum!$A$2:$C$1020,3,FALSE)</f>
        <v>텔레포트</v>
      </c>
      <c r="F687" s="7" t="str">
        <f t="shared" si="93"/>
        <v>일정 지점으로 순간이동 한다.</v>
      </c>
      <c r="G687" s="2">
        <v>6</v>
      </c>
      <c r="H687" s="2">
        <v>1</v>
      </c>
      <c r="I687" s="2">
        <v>0</v>
      </c>
      <c r="J687" s="2">
        <v>10</v>
      </c>
      <c r="K687" s="2">
        <v>0</v>
      </c>
      <c r="L687" s="2">
        <v>0</v>
      </c>
      <c r="M687" s="2">
        <v>0</v>
      </c>
      <c r="N687" s="2">
        <v>0</v>
      </c>
      <c r="O687" s="2">
        <v>0</v>
      </c>
      <c r="P687" s="2" t="s">
        <v>437</v>
      </c>
      <c r="Q687" s="2" t="str">
        <f t="shared" si="84"/>
        <v>SI_A_AV_TELEPORT</v>
      </c>
      <c r="R687" s="2" t="b">
        <v>0</v>
      </c>
      <c r="S687" s="2" t="b">
        <v>0</v>
      </c>
      <c r="T687" s="2">
        <v>2</v>
      </c>
    </row>
    <row r="688" spans="1:21">
      <c r="A688" s="4">
        <v>1700</v>
      </c>
      <c r="B688" s="7" t="str">
        <f>VLOOKUP($A688,SkillEnum!$A$2:$C$1020,2,FALSE)</f>
        <v>SI_A_AV_TELEPORT</v>
      </c>
      <c r="C688" s="7">
        <v>6</v>
      </c>
      <c r="D688" s="2" t="str">
        <f>VLOOKUP($C688,SkillEnum!$D$2:$E$10,2,FALSE)</f>
        <v>ST_ACTIVE</v>
      </c>
      <c r="E688" s="7" t="str">
        <f>VLOOKUP($A688,SkillEnum!$A$2:$C$1020,3,FALSE)</f>
        <v>텔레포트</v>
      </c>
      <c r="F688" s="7" t="str">
        <f t="shared" si="93"/>
        <v>일정 지점으로 순간이동 한다.</v>
      </c>
      <c r="G688" s="2">
        <v>7</v>
      </c>
      <c r="H688" s="2">
        <v>1</v>
      </c>
      <c r="I688" s="2">
        <v>0</v>
      </c>
      <c r="J688" s="2">
        <v>10</v>
      </c>
      <c r="K688" s="2">
        <v>0</v>
      </c>
      <c r="L688" s="2">
        <v>0</v>
      </c>
      <c r="M688" s="2">
        <v>0</v>
      </c>
      <c r="N688" s="2">
        <v>0</v>
      </c>
      <c r="O688" s="2">
        <v>0</v>
      </c>
      <c r="P688" s="2" t="s">
        <v>437</v>
      </c>
      <c r="Q688" s="2" t="str">
        <f t="shared" si="84"/>
        <v>SI_A_AV_TELEPORT</v>
      </c>
      <c r="R688" s="2" t="b">
        <v>0</v>
      </c>
      <c r="S688" s="2" t="b">
        <v>0</v>
      </c>
      <c r="T688" s="2">
        <v>2</v>
      </c>
    </row>
    <row r="689" spans="1:27">
      <c r="A689" s="4">
        <v>1700</v>
      </c>
      <c r="B689" s="7" t="str">
        <f>VLOOKUP($A689,SkillEnum!$A$2:$C$1020,2,FALSE)</f>
        <v>SI_A_AV_TELEPORT</v>
      </c>
      <c r="C689" s="7">
        <v>6</v>
      </c>
      <c r="D689" s="2" t="str">
        <f>VLOOKUP($C689,SkillEnum!$D$2:$E$10,2,FALSE)</f>
        <v>ST_ACTIVE</v>
      </c>
      <c r="E689" s="7" t="str">
        <f>VLOOKUP($A689,SkillEnum!$A$2:$C$1020,3,FALSE)</f>
        <v>텔레포트</v>
      </c>
      <c r="F689" s="7" t="str">
        <f t="shared" si="93"/>
        <v>일정 지점으로 순간이동 한다.</v>
      </c>
      <c r="G689" s="2">
        <v>8</v>
      </c>
      <c r="H689" s="2">
        <v>1</v>
      </c>
      <c r="I689" s="2">
        <v>0</v>
      </c>
      <c r="J689" s="2">
        <v>10</v>
      </c>
      <c r="K689" s="2">
        <v>0</v>
      </c>
      <c r="L689" s="2">
        <v>0</v>
      </c>
      <c r="M689" s="2">
        <v>0</v>
      </c>
      <c r="N689" s="2">
        <v>0</v>
      </c>
      <c r="O689" s="2">
        <v>0</v>
      </c>
      <c r="P689" s="2" t="s">
        <v>437</v>
      </c>
      <c r="Q689" s="2" t="str">
        <f t="shared" si="84"/>
        <v>SI_A_AV_TELEPORT</v>
      </c>
      <c r="R689" s="2" t="b">
        <v>0</v>
      </c>
      <c r="S689" s="2" t="b">
        <v>0</v>
      </c>
      <c r="T689" s="2">
        <v>2</v>
      </c>
    </row>
    <row r="690" spans="1:27">
      <c r="A690" s="4">
        <v>1700</v>
      </c>
      <c r="B690" s="7" t="str">
        <f>VLOOKUP($A690,SkillEnum!$A$2:$C$1020,2,FALSE)</f>
        <v>SI_A_AV_TELEPORT</v>
      </c>
      <c r="C690" s="7">
        <v>6</v>
      </c>
      <c r="D690" s="2" t="str">
        <f>VLOOKUP($C690,SkillEnum!$D$2:$E$10,2,FALSE)</f>
        <v>ST_ACTIVE</v>
      </c>
      <c r="E690" s="7" t="str">
        <f>VLOOKUP($A690,SkillEnum!$A$2:$C$1020,3,FALSE)</f>
        <v>텔레포트</v>
      </c>
      <c r="F690" s="7" t="str">
        <f t="shared" si="93"/>
        <v>일정 지점으로 순간이동 한다.</v>
      </c>
      <c r="G690" s="2">
        <v>9</v>
      </c>
      <c r="H690" s="2">
        <v>1</v>
      </c>
      <c r="I690" s="2">
        <v>0</v>
      </c>
      <c r="J690" s="2">
        <v>10</v>
      </c>
      <c r="K690" s="2">
        <v>0</v>
      </c>
      <c r="L690" s="2">
        <v>0</v>
      </c>
      <c r="M690" s="2">
        <v>0</v>
      </c>
      <c r="N690" s="2">
        <v>0</v>
      </c>
      <c r="O690" s="2">
        <v>0</v>
      </c>
      <c r="P690" s="2" t="s">
        <v>437</v>
      </c>
      <c r="Q690" s="2" t="str">
        <f t="shared" si="84"/>
        <v>SI_A_AV_TELEPORT</v>
      </c>
      <c r="R690" s="2" t="b">
        <v>0</v>
      </c>
      <c r="S690" s="2" t="b">
        <v>0</v>
      </c>
      <c r="T690" s="2">
        <v>2</v>
      </c>
    </row>
    <row r="691" spans="1:27" s="5" customFormat="1">
      <c r="A691" s="6">
        <v>1700</v>
      </c>
      <c r="B691" s="8" t="str">
        <f>VLOOKUP($A691,SkillEnum!$A$2:$C$1020,2,FALSE)</f>
        <v>SI_A_AV_TELEPORT</v>
      </c>
      <c r="C691" s="8">
        <v>6</v>
      </c>
      <c r="D691" s="5" t="str">
        <f>VLOOKUP($C691,SkillEnum!$D$2:$E$10,2,FALSE)</f>
        <v>ST_ACTIVE</v>
      </c>
      <c r="E691" s="8" t="str">
        <f>VLOOKUP($A691,SkillEnum!$A$2:$C$1020,3,FALSE)</f>
        <v>텔레포트</v>
      </c>
      <c r="F691" s="8" t="str">
        <f t="shared" si="93"/>
        <v>일정 지점으로 순간이동 한다.</v>
      </c>
      <c r="G691" s="5">
        <v>10</v>
      </c>
      <c r="H691" s="5">
        <v>1</v>
      </c>
      <c r="I691" s="5">
        <v>0</v>
      </c>
      <c r="J691" s="5">
        <v>10</v>
      </c>
      <c r="K691" s="5">
        <v>0</v>
      </c>
      <c r="L691" s="5">
        <v>0</v>
      </c>
      <c r="M691" s="5">
        <v>0</v>
      </c>
      <c r="N691" s="5">
        <v>0</v>
      </c>
      <c r="O691" s="5">
        <v>0</v>
      </c>
      <c r="P691" s="2" t="s">
        <v>437</v>
      </c>
      <c r="Q691" s="2" t="str">
        <f t="shared" si="84"/>
        <v>SI_A_AV_TELEPORT</v>
      </c>
      <c r="R691" s="5" t="b">
        <v>0</v>
      </c>
      <c r="S691" s="2" t="b">
        <v>0</v>
      </c>
      <c r="T691" s="2">
        <v>2</v>
      </c>
      <c r="U691" s="2"/>
    </row>
    <row r="692" spans="1:27" s="10" customFormat="1">
      <c r="A692" s="9">
        <v>1701</v>
      </c>
      <c r="B692" s="11" t="str">
        <f>VLOOKUP($A692,SkillEnum!$A$2:$C$1020,2,FALSE)</f>
        <v>SI_A_AV_MANA_SHIELD</v>
      </c>
      <c r="C692" s="11">
        <v>6</v>
      </c>
      <c r="D692" s="10" t="str">
        <f>VLOOKUP($C692,SkillEnum!$D$2:$E$10,2,FALSE)</f>
        <v>ST_ACTIVE</v>
      </c>
      <c r="E692" s="11" t="str">
        <f>VLOOKUP($A692,SkillEnum!$A$2:$C$1020,3,FALSE)</f>
        <v>마나 실드</v>
      </c>
      <c r="F692" s="11" t="str">
        <f>W692&amp;" 회 동안 받는 피해가 "&amp;ROUND((1-Y692)*100,0)&amp;" % 감소하는 보호막으로 "&amp;AA692&amp;" 초간 몸을 보호한다. (피격 중에도 사용이 가능하다.)"</f>
        <v>4 회 동안 받는 피해가 40 % 감소하는 보호막으로 15 초간 몸을 보호한다. (피격 중에도 사용이 가능하다.)</v>
      </c>
      <c r="G692" s="10">
        <v>1</v>
      </c>
      <c r="H692" s="2">
        <v>1</v>
      </c>
      <c r="I692" s="2">
        <v>15</v>
      </c>
      <c r="J692" s="10">
        <v>20</v>
      </c>
      <c r="K692" s="2">
        <v>0</v>
      </c>
      <c r="L692" s="2">
        <v>0</v>
      </c>
      <c r="M692" s="2">
        <v>0</v>
      </c>
      <c r="N692" s="2">
        <v>0</v>
      </c>
      <c r="O692" s="2">
        <v>0</v>
      </c>
      <c r="P692" s="2" t="s">
        <v>437</v>
      </c>
      <c r="Q692" s="2" t="str">
        <f t="shared" si="84"/>
        <v>SI_A_AV_MANA_SHIELD</v>
      </c>
      <c r="R692" s="2" t="b">
        <v>0</v>
      </c>
      <c r="S692" s="2" t="b">
        <v>1</v>
      </c>
      <c r="T692" s="2">
        <v>3</v>
      </c>
      <c r="U692" s="2"/>
      <c r="V692" s="1" t="s">
        <v>155</v>
      </c>
      <c r="W692" s="10">
        <v>4</v>
      </c>
      <c r="X692" s="10" t="s">
        <v>242</v>
      </c>
      <c r="Y692" s="10">
        <v>0.6</v>
      </c>
      <c r="Z692" s="2" t="s">
        <v>153</v>
      </c>
      <c r="AA692" s="10">
        <v>15</v>
      </c>
    </row>
    <row r="693" spans="1:27">
      <c r="A693" s="4">
        <v>1701</v>
      </c>
      <c r="B693" s="7" t="str">
        <f>VLOOKUP($A693,SkillEnum!$A$2:$C$1020,2,FALSE)</f>
        <v>SI_A_AV_MANA_SHIELD</v>
      </c>
      <c r="C693" s="7">
        <v>6</v>
      </c>
      <c r="D693" s="2" t="str">
        <f>VLOOKUP($C693,SkillEnum!$D$2:$E$10,2,FALSE)</f>
        <v>ST_ACTIVE</v>
      </c>
      <c r="E693" s="7" t="str">
        <f>VLOOKUP($A693,SkillEnum!$A$2:$C$1020,3,FALSE)</f>
        <v>마나 실드</v>
      </c>
      <c r="F693" s="7" t="str">
        <f t="shared" ref="F693:F701" si="94">W693&amp;" 회 동안 받는 피해가 "&amp;ROUND((1-Y693)*100,0)&amp;" % 감소하는 보호막으로 "&amp;AA693&amp;" 초간 몸을 보호한다. (피격 중에도 사용이 가능하다.)"</f>
        <v>5 회 동안 받는 피해가 50 % 감소하는 보호막으로 15 초간 몸을 보호한다. (피격 중에도 사용이 가능하다.)</v>
      </c>
      <c r="G693" s="2">
        <v>2</v>
      </c>
      <c r="H693" s="2">
        <v>1</v>
      </c>
      <c r="I693" s="2">
        <v>15</v>
      </c>
      <c r="J693" s="2">
        <v>20</v>
      </c>
      <c r="K693" s="2">
        <v>0</v>
      </c>
      <c r="L693" s="2">
        <v>0</v>
      </c>
      <c r="M693" s="2">
        <v>0</v>
      </c>
      <c r="N693" s="2">
        <v>0</v>
      </c>
      <c r="O693" s="2">
        <v>0</v>
      </c>
      <c r="P693" s="2" t="s">
        <v>437</v>
      </c>
      <c r="Q693" s="2" t="str">
        <f t="shared" si="84"/>
        <v>SI_A_AV_MANA_SHIELD</v>
      </c>
      <c r="R693" s="2" t="b">
        <v>0</v>
      </c>
      <c r="S693" s="2" t="b">
        <v>1</v>
      </c>
      <c r="T693" s="2">
        <v>3</v>
      </c>
      <c r="V693" s="2" t="s">
        <v>155</v>
      </c>
      <c r="W693" s="2">
        <v>5</v>
      </c>
      <c r="X693" s="2" t="s">
        <v>242</v>
      </c>
      <c r="Y693" s="2">
        <v>0.5</v>
      </c>
      <c r="Z693" s="2" t="s">
        <v>153</v>
      </c>
      <c r="AA693" s="2">
        <v>15</v>
      </c>
    </row>
    <row r="694" spans="1:27">
      <c r="A694" s="4">
        <v>1701</v>
      </c>
      <c r="B694" s="7" t="str">
        <f>VLOOKUP($A694,SkillEnum!$A$2:$C$1020,2,FALSE)</f>
        <v>SI_A_AV_MANA_SHIELD</v>
      </c>
      <c r="C694" s="7">
        <v>6</v>
      </c>
      <c r="D694" s="2" t="str">
        <f>VLOOKUP($C694,SkillEnum!$D$2:$E$10,2,FALSE)</f>
        <v>ST_ACTIVE</v>
      </c>
      <c r="E694" s="7" t="str">
        <f>VLOOKUP($A694,SkillEnum!$A$2:$C$1020,3,FALSE)</f>
        <v>마나 실드</v>
      </c>
      <c r="F694" s="7" t="str">
        <f t="shared" si="94"/>
        <v>6 회 동안 받는 피해가 60 % 감소하는 보호막으로 15 초간 몸을 보호한다. (피격 중에도 사용이 가능하다.)</v>
      </c>
      <c r="G694" s="2">
        <v>3</v>
      </c>
      <c r="H694" s="2">
        <v>1</v>
      </c>
      <c r="I694" s="2">
        <v>15</v>
      </c>
      <c r="J694" s="2">
        <v>20</v>
      </c>
      <c r="K694" s="2">
        <v>0</v>
      </c>
      <c r="L694" s="2">
        <v>0</v>
      </c>
      <c r="M694" s="2">
        <v>0</v>
      </c>
      <c r="N694" s="2">
        <v>0</v>
      </c>
      <c r="O694" s="2">
        <v>0</v>
      </c>
      <c r="P694" s="2" t="s">
        <v>437</v>
      </c>
      <c r="Q694" s="2" t="str">
        <f t="shared" si="84"/>
        <v>SI_A_AV_MANA_SHIELD</v>
      </c>
      <c r="R694" s="2" t="b">
        <v>0</v>
      </c>
      <c r="S694" s="2" t="b">
        <v>1</v>
      </c>
      <c r="T694" s="2">
        <v>3</v>
      </c>
      <c r="V694" s="2" t="s">
        <v>155</v>
      </c>
      <c r="W694" s="2">
        <v>6</v>
      </c>
      <c r="X694" s="2" t="s">
        <v>242</v>
      </c>
      <c r="Y694" s="2">
        <v>0.4</v>
      </c>
      <c r="Z694" s="2" t="s">
        <v>153</v>
      </c>
      <c r="AA694" s="2">
        <v>15</v>
      </c>
    </row>
    <row r="695" spans="1:27">
      <c r="A695" s="4">
        <v>1701</v>
      </c>
      <c r="B695" s="7" t="str">
        <f>VLOOKUP($A695,SkillEnum!$A$2:$C$1020,2,FALSE)</f>
        <v>SI_A_AV_MANA_SHIELD</v>
      </c>
      <c r="C695" s="7">
        <v>6</v>
      </c>
      <c r="D695" s="2" t="str">
        <f>VLOOKUP($C695,SkillEnum!$D$2:$E$10,2,FALSE)</f>
        <v>ST_ACTIVE</v>
      </c>
      <c r="E695" s="7" t="str">
        <f>VLOOKUP($A695,SkillEnum!$A$2:$C$1020,3,FALSE)</f>
        <v>마나 실드</v>
      </c>
      <c r="F695" s="7" t="str">
        <f t="shared" si="94"/>
        <v>7 회 동안 받는 피해가 60 % 감소하는 보호막으로 15 초간 몸을 보호한다. (피격 중에도 사용이 가능하다.)</v>
      </c>
      <c r="G695" s="2">
        <v>4</v>
      </c>
      <c r="H695" s="2">
        <v>1</v>
      </c>
      <c r="I695" s="2">
        <v>15</v>
      </c>
      <c r="J695" s="2">
        <v>20</v>
      </c>
      <c r="K695" s="2">
        <v>0</v>
      </c>
      <c r="L695" s="2">
        <v>0</v>
      </c>
      <c r="M695" s="2">
        <v>0</v>
      </c>
      <c r="N695" s="2">
        <v>0</v>
      </c>
      <c r="O695" s="2">
        <v>0</v>
      </c>
      <c r="P695" s="2" t="s">
        <v>437</v>
      </c>
      <c r="Q695" s="2" t="str">
        <f t="shared" si="84"/>
        <v>SI_A_AV_MANA_SHIELD</v>
      </c>
      <c r="R695" s="2" t="b">
        <v>0</v>
      </c>
      <c r="S695" s="2" t="b">
        <v>1</v>
      </c>
      <c r="T695" s="2">
        <v>3</v>
      </c>
      <c r="V695" s="2" t="s">
        <v>155</v>
      </c>
      <c r="W695" s="2">
        <v>7</v>
      </c>
      <c r="X695" s="2" t="s">
        <v>242</v>
      </c>
      <c r="Y695" s="2">
        <v>0.4</v>
      </c>
      <c r="Z695" s="2" t="s">
        <v>153</v>
      </c>
      <c r="AA695" s="2">
        <v>15</v>
      </c>
    </row>
    <row r="696" spans="1:27">
      <c r="A696" s="4">
        <v>1701</v>
      </c>
      <c r="B696" s="7" t="str">
        <f>VLOOKUP($A696,SkillEnum!$A$2:$C$1020,2,FALSE)</f>
        <v>SI_A_AV_MANA_SHIELD</v>
      </c>
      <c r="C696" s="7">
        <v>6</v>
      </c>
      <c r="D696" s="2" t="str">
        <f>VLOOKUP($C696,SkillEnum!$D$2:$E$10,2,FALSE)</f>
        <v>ST_ACTIVE</v>
      </c>
      <c r="E696" s="7" t="str">
        <f>VLOOKUP($A696,SkillEnum!$A$2:$C$1020,3,FALSE)</f>
        <v>마나 실드</v>
      </c>
      <c r="F696" s="7" t="str">
        <f t="shared" si="94"/>
        <v>8 회 동안 받는 피해가 60 % 감소하는 보호막으로 15 초간 몸을 보호한다. (피격 중에도 사용이 가능하다.)</v>
      </c>
      <c r="G696" s="2">
        <v>5</v>
      </c>
      <c r="H696" s="2">
        <v>1</v>
      </c>
      <c r="I696" s="2">
        <v>15</v>
      </c>
      <c r="J696" s="2">
        <v>20</v>
      </c>
      <c r="K696" s="2">
        <v>0</v>
      </c>
      <c r="L696" s="2">
        <v>0</v>
      </c>
      <c r="M696" s="2">
        <v>0</v>
      </c>
      <c r="N696" s="2">
        <v>0</v>
      </c>
      <c r="O696" s="2">
        <v>0</v>
      </c>
      <c r="P696" s="2" t="s">
        <v>437</v>
      </c>
      <c r="Q696" s="2" t="str">
        <f t="shared" si="84"/>
        <v>SI_A_AV_MANA_SHIELD</v>
      </c>
      <c r="R696" s="2" t="b">
        <v>0</v>
      </c>
      <c r="S696" s="2" t="b">
        <v>1</v>
      </c>
      <c r="T696" s="2">
        <v>3</v>
      </c>
      <c r="V696" s="2" t="s">
        <v>155</v>
      </c>
      <c r="W696" s="2">
        <v>8</v>
      </c>
      <c r="X696" s="2" t="s">
        <v>242</v>
      </c>
      <c r="Y696" s="2">
        <v>0.4</v>
      </c>
      <c r="Z696" s="2" t="s">
        <v>153</v>
      </c>
      <c r="AA696" s="2">
        <v>15</v>
      </c>
    </row>
    <row r="697" spans="1:27">
      <c r="A697" s="4">
        <v>1701</v>
      </c>
      <c r="B697" s="7" t="str">
        <f>VLOOKUP($A697,SkillEnum!$A$2:$C$1020,2,FALSE)</f>
        <v>SI_A_AV_MANA_SHIELD</v>
      </c>
      <c r="C697" s="7">
        <v>6</v>
      </c>
      <c r="D697" s="2" t="str">
        <f>VLOOKUP($C697,SkillEnum!$D$2:$E$10,2,FALSE)</f>
        <v>ST_ACTIVE</v>
      </c>
      <c r="E697" s="7" t="str">
        <f>VLOOKUP($A697,SkillEnum!$A$2:$C$1020,3,FALSE)</f>
        <v>마나 실드</v>
      </c>
      <c r="F697" s="7" t="str">
        <f t="shared" si="94"/>
        <v>9 회 동안 받는 피해가 60 % 감소하는 보호막으로 15 초간 몸을 보호한다. (피격 중에도 사용이 가능하다.)</v>
      </c>
      <c r="G697" s="2">
        <v>6</v>
      </c>
      <c r="H697" s="2">
        <v>1</v>
      </c>
      <c r="I697" s="2">
        <v>15</v>
      </c>
      <c r="J697" s="2">
        <v>20</v>
      </c>
      <c r="K697" s="2">
        <v>0</v>
      </c>
      <c r="L697" s="2">
        <v>0</v>
      </c>
      <c r="M697" s="2">
        <v>0</v>
      </c>
      <c r="N697" s="2">
        <v>0</v>
      </c>
      <c r="O697" s="2">
        <v>0</v>
      </c>
      <c r="P697" s="2" t="s">
        <v>437</v>
      </c>
      <c r="Q697" s="2" t="str">
        <f t="shared" si="84"/>
        <v>SI_A_AV_MANA_SHIELD</v>
      </c>
      <c r="R697" s="2" t="b">
        <v>0</v>
      </c>
      <c r="S697" s="2" t="b">
        <v>1</v>
      </c>
      <c r="T697" s="2">
        <v>3</v>
      </c>
      <c r="V697" s="2" t="s">
        <v>155</v>
      </c>
      <c r="W697" s="2">
        <v>9</v>
      </c>
      <c r="X697" s="2" t="s">
        <v>242</v>
      </c>
      <c r="Y697" s="2">
        <v>0.4</v>
      </c>
      <c r="Z697" s="2" t="s">
        <v>153</v>
      </c>
      <c r="AA697" s="2">
        <v>15</v>
      </c>
    </row>
    <row r="698" spans="1:27">
      <c r="A698" s="4">
        <v>1701</v>
      </c>
      <c r="B698" s="7" t="str">
        <f>VLOOKUP($A698,SkillEnum!$A$2:$C$1020,2,FALSE)</f>
        <v>SI_A_AV_MANA_SHIELD</v>
      </c>
      <c r="C698" s="7">
        <v>6</v>
      </c>
      <c r="D698" s="2" t="str">
        <f>VLOOKUP($C698,SkillEnum!$D$2:$E$10,2,FALSE)</f>
        <v>ST_ACTIVE</v>
      </c>
      <c r="E698" s="7" t="str">
        <f>VLOOKUP($A698,SkillEnum!$A$2:$C$1020,3,FALSE)</f>
        <v>마나 실드</v>
      </c>
      <c r="F698" s="7" t="str">
        <f t="shared" si="94"/>
        <v>10 회 동안 받는 피해가 60 % 감소하는 보호막으로 15 초간 몸을 보호한다. (피격 중에도 사용이 가능하다.)</v>
      </c>
      <c r="G698" s="2">
        <v>7</v>
      </c>
      <c r="H698" s="2">
        <v>1</v>
      </c>
      <c r="I698" s="2">
        <v>15</v>
      </c>
      <c r="J698" s="2">
        <v>20</v>
      </c>
      <c r="K698" s="2">
        <v>0</v>
      </c>
      <c r="L698" s="2">
        <v>0</v>
      </c>
      <c r="M698" s="2">
        <v>0</v>
      </c>
      <c r="N698" s="2">
        <v>0</v>
      </c>
      <c r="O698" s="2">
        <v>0</v>
      </c>
      <c r="P698" s="2" t="s">
        <v>437</v>
      </c>
      <c r="Q698" s="2" t="str">
        <f t="shared" si="84"/>
        <v>SI_A_AV_MANA_SHIELD</v>
      </c>
      <c r="R698" s="2" t="b">
        <v>0</v>
      </c>
      <c r="S698" s="2" t="b">
        <v>1</v>
      </c>
      <c r="T698" s="2">
        <v>3</v>
      </c>
      <c r="V698" s="2" t="s">
        <v>155</v>
      </c>
      <c r="W698" s="2">
        <v>10</v>
      </c>
      <c r="X698" s="2" t="s">
        <v>242</v>
      </c>
      <c r="Y698" s="2">
        <v>0.4</v>
      </c>
      <c r="Z698" s="2" t="s">
        <v>153</v>
      </c>
      <c r="AA698" s="2">
        <v>15</v>
      </c>
    </row>
    <row r="699" spans="1:27">
      <c r="A699" s="4">
        <v>1701</v>
      </c>
      <c r="B699" s="7" t="str">
        <f>VLOOKUP($A699,SkillEnum!$A$2:$C$1020,2,FALSE)</f>
        <v>SI_A_AV_MANA_SHIELD</v>
      </c>
      <c r="C699" s="7">
        <v>6</v>
      </c>
      <c r="D699" s="2" t="str">
        <f>VLOOKUP($C699,SkillEnum!$D$2:$E$10,2,FALSE)</f>
        <v>ST_ACTIVE</v>
      </c>
      <c r="E699" s="7" t="str">
        <f>VLOOKUP($A699,SkillEnum!$A$2:$C$1020,3,FALSE)</f>
        <v>마나 실드</v>
      </c>
      <c r="F699" s="7" t="str">
        <f t="shared" si="94"/>
        <v>11 회 동안 받는 피해가 60 % 감소하는 보호막으로 15 초간 몸을 보호한다. (피격 중에도 사용이 가능하다.)</v>
      </c>
      <c r="G699" s="2">
        <v>8</v>
      </c>
      <c r="H699" s="2">
        <v>1</v>
      </c>
      <c r="I699" s="2">
        <v>15</v>
      </c>
      <c r="J699" s="2">
        <v>20</v>
      </c>
      <c r="K699" s="2">
        <v>0</v>
      </c>
      <c r="L699" s="2">
        <v>0</v>
      </c>
      <c r="M699" s="2">
        <v>0</v>
      </c>
      <c r="N699" s="2">
        <v>0</v>
      </c>
      <c r="O699" s="2">
        <v>0</v>
      </c>
      <c r="P699" s="2" t="s">
        <v>437</v>
      </c>
      <c r="Q699" s="2" t="str">
        <f t="shared" si="84"/>
        <v>SI_A_AV_MANA_SHIELD</v>
      </c>
      <c r="R699" s="2" t="b">
        <v>0</v>
      </c>
      <c r="S699" s="2" t="b">
        <v>1</v>
      </c>
      <c r="T699" s="2">
        <v>3</v>
      </c>
      <c r="V699" s="2" t="s">
        <v>155</v>
      </c>
      <c r="W699" s="2">
        <v>11</v>
      </c>
      <c r="X699" s="2" t="s">
        <v>242</v>
      </c>
      <c r="Y699" s="2">
        <v>0.4</v>
      </c>
      <c r="Z699" s="2" t="s">
        <v>153</v>
      </c>
      <c r="AA699" s="2">
        <v>15</v>
      </c>
    </row>
    <row r="700" spans="1:27">
      <c r="A700" s="4">
        <v>1701</v>
      </c>
      <c r="B700" s="7" t="str">
        <f>VLOOKUP($A700,SkillEnum!$A$2:$C$1020,2,FALSE)</f>
        <v>SI_A_AV_MANA_SHIELD</v>
      </c>
      <c r="C700" s="7">
        <v>6</v>
      </c>
      <c r="D700" s="2" t="str">
        <f>VLOOKUP($C700,SkillEnum!$D$2:$E$10,2,FALSE)</f>
        <v>ST_ACTIVE</v>
      </c>
      <c r="E700" s="7" t="str">
        <f>VLOOKUP($A700,SkillEnum!$A$2:$C$1020,3,FALSE)</f>
        <v>마나 실드</v>
      </c>
      <c r="F700" s="7" t="str">
        <f t="shared" si="94"/>
        <v>12 회 동안 받는 피해가 60 % 감소하는 보호막으로 15 초간 몸을 보호한다. (피격 중에도 사용이 가능하다.)</v>
      </c>
      <c r="G700" s="2">
        <v>9</v>
      </c>
      <c r="H700" s="2">
        <v>1</v>
      </c>
      <c r="I700" s="2">
        <v>15</v>
      </c>
      <c r="J700" s="2">
        <v>20</v>
      </c>
      <c r="K700" s="2">
        <v>0</v>
      </c>
      <c r="L700" s="2">
        <v>0</v>
      </c>
      <c r="M700" s="2">
        <v>0</v>
      </c>
      <c r="N700" s="2">
        <v>0</v>
      </c>
      <c r="O700" s="2">
        <v>0</v>
      </c>
      <c r="P700" s="2" t="s">
        <v>437</v>
      </c>
      <c r="Q700" s="2" t="str">
        <f t="shared" si="84"/>
        <v>SI_A_AV_MANA_SHIELD</v>
      </c>
      <c r="R700" s="2" t="b">
        <v>0</v>
      </c>
      <c r="S700" s="2" t="b">
        <v>1</v>
      </c>
      <c r="T700" s="2">
        <v>3</v>
      </c>
      <c r="V700" s="2" t="s">
        <v>155</v>
      </c>
      <c r="W700" s="2">
        <v>12</v>
      </c>
      <c r="X700" s="2" t="s">
        <v>242</v>
      </c>
      <c r="Y700" s="2">
        <v>0.4</v>
      </c>
      <c r="Z700" s="2" t="s">
        <v>153</v>
      </c>
      <c r="AA700" s="2">
        <v>15</v>
      </c>
    </row>
    <row r="701" spans="1:27" s="5" customFormat="1">
      <c r="A701" s="6">
        <v>1701</v>
      </c>
      <c r="B701" s="8" t="str">
        <f>VLOOKUP($A701,SkillEnum!$A$2:$C$1020,2,FALSE)</f>
        <v>SI_A_AV_MANA_SHIELD</v>
      </c>
      <c r="C701" s="8">
        <v>6</v>
      </c>
      <c r="D701" s="5" t="str">
        <f>VLOOKUP($C701,SkillEnum!$D$2:$E$10,2,FALSE)</f>
        <v>ST_ACTIVE</v>
      </c>
      <c r="E701" s="8" t="str">
        <f>VLOOKUP($A701,SkillEnum!$A$2:$C$1020,3,FALSE)</f>
        <v>마나 실드</v>
      </c>
      <c r="F701" s="8" t="str">
        <f t="shared" si="94"/>
        <v>13 회 동안 받는 피해가 60 % 감소하는 보호막으로 15 초간 몸을 보호한다. (피격 중에도 사용이 가능하다.)</v>
      </c>
      <c r="G701" s="5">
        <v>10</v>
      </c>
      <c r="H701" s="5">
        <v>1</v>
      </c>
      <c r="I701" s="5">
        <v>15</v>
      </c>
      <c r="J701" s="5">
        <v>20</v>
      </c>
      <c r="K701" s="5">
        <v>0</v>
      </c>
      <c r="L701" s="5">
        <v>0</v>
      </c>
      <c r="M701" s="5">
        <v>0</v>
      </c>
      <c r="N701" s="5">
        <v>0</v>
      </c>
      <c r="O701" s="5">
        <v>0</v>
      </c>
      <c r="P701" s="2" t="s">
        <v>437</v>
      </c>
      <c r="Q701" s="2" t="str">
        <f t="shared" si="84"/>
        <v>SI_A_AV_MANA_SHIELD</v>
      </c>
      <c r="R701" s="5" t="b">
        <v>0</v>
      </c>
      <c r="S701" s="2" t="b">
        <v>1</v>
      </c>
      <c r="T701" s="2">
        <v>3</v>
      </c>
      <c r="U701" s="2"/>
      <c r="V701" s="5" t="s">
        <v>155</v>
      </c>
      <c r="W701" s="5">
        <v>13</v>
      </c>
      <c r="X701" s="5" t="s">
        <v>242</v>
      </c>
      <c r="Y701" s="5">
        <v>0.4</v>
      </c>
      <c r="Z701" s="2" t="s">
        <v>153</v>
      </c>
      <c r="AA701" s="5">
        <v>15</v>
      </c>
    </row>
    <row r="702" spans="1:27" s="10" customFormat="1">
      <c r="A702" s="9">
        <v>1702</v>
      </c>
      <c r="B702" s="11" t="str">
        <f>VLOOKUP($A702,SkillEnum!$A$2:$C$1020,2,FALSE)</f>
        <v>SI_A_AV_CIRCLE_FLAME</v>
      </c>
      <c r="C702" s="11">
        <v>6</v>
      </c>
      <c r="D702" s="10" t="str">
        <f>VLOOKUP($C702,SkillEnum!$D$2:$E$10,2,FALSE)</f>
        <v>ST_ACTIVE</v>
      </c>
      <c r="E702" s="11" t="str">
        <f>VLOOKUP($A702,SkillEnum!$A$2:$C$1020,3,FALSE)</f>
        <v>서클 플레임</v>
      </c>
      <c r="F702" s="11" t="str">
        <f>"파이어볼을 방사형으로 발사해 마법공격력의 "&amp;ROUND(H702*100,0)&amp;" %로 주위 적들을 연속타격 한다. (점프 중에도 사용이 가능하다.)"</f>
        <v>파이어볼을 방사형으로 발사해 마법공격력의 100 %로 주위 적들을 연속타격 한다. (점프 중에도 사용이 가능하다.)</v>
      </c>
      <c r="G702" s="10">
        <v>1</v>
      </c>
      <c r="H702" s="10">
        <v>1</v>
      </c>
      <c r="I702" s="2">
        <v>3</v>
      </c>
      <c r="J702" s="10">
        <v>30</v>
      </c>
      <c r="K702" s="2">
        <v>0</v>
      </c>
      <c r="L702" s="2">
        <v>0</v>
      </c>
      <c r="M702" s="2">
        <v>0</v>
      </c>
      <c r="N702" s="2">
        <v>0</v>
      </c>
      <c r="O702" s="2">
        <v>0</v>
      </c>
      <c r="P702" s="2" t="s">
        <v>437</v>
      </c>
      <c r="Q702" s="2" t="str">
        <f t="shared" si="84"/>
        <v>SI_A_AV_CIRCLE_FLAME</v>
      </c>
      <c r="R702" s="2" t="b">
        <v>0</v>
      </c>
      <c r="S702" s="2" t="b">
        <v>1</v>
      </c>
      <c r="T702" s="2">
        <v>2</v>
      </c>
      <c r="U702" s="2"/>
      <c r="V702" s="1"/>
    </row>
    <row r="703" spans="1:27">
      <c r="A703" s="4">
        <v>1702</v>
      </c>
      <c r="B703" s="7" t="str">
        <f>VLOOKUP($A703,SkillEnum!$A$2:$C$1020,2,FALSE)</f>
        <v>SI_A_AV_CIRCLE_FLAME</v>
      </c>
      <c r="C703" s="7">
        <v>6</v>
      </c>
      <c r="D703" s="2" t="str">
        <f>VLOOKUP($C703,SkillEnum!$D$2:$E$10,2,FALSE)</f>
        <v>ST_ACTIVE</v>
      </c>
      <c r="E703" s="7" t="str">
        <f>VLOOKUP($A703,SkillEnum!$A$2:$C$1020,3,FALSE)</f>
        <v>서클 플레임</v>
      </c>
      <c r="F703" s="7" t="str">
        <f t="shared" ref="F703:F711" si="95">"파이어볼을 방사형으로 발사해 마법공격력의 "&amp;ROUND(H703*100,0)&amp;" %로 주위 적들을 연속타격 한다. (점프 중에도 사용이 가능하다.)"</f>
        <v>파이어볼을 방사형으로 발사해 마법공격력의 110 %로 주위 적들을 연속타격 한다. (점프 중에도 사용이 가능하다.)</v>
      </c>
      <c r="G703" s="2">
        <v>2</v>
      </c>
      <c r="H703" s="2">
        <v>1.1000000000000001</v>
      </c>
      <c r="I703" s="2">
        <v>3</v>
      </c>
      <c r="J703" s="2">
        <v>30</v>
      </c>
      <c r="K703" s="2">
        <v>0</v>
      </c>
      <c r="L703" s="2">
        <v>0</v>
      </c>
      <c r="M703" s="2">
        <v>0</v>
      </c>
      <c r="N703" s="2">
        <v>0</v>
      </c>
      <c r="O703" s="2">
        <v>0</v>
      </c>
      <c r="P703" s="2" t="s">
        <v>437</v>
      </c>
      <c r="Q703" s="2" t="str">
        <f t="shared" ref="Q703:Q786" si="96">B703</f>
        <v>SI_A_AV_CIRCLE_FLAME</v>
      </c>
      <c r="R703" s="2" t="b">
        <v>0</v>
      </c>
      <c r="S703" s="2" t="b">
        <v>1</v>
      </c>
      <c r="T703" s="2">
        <v>2</v>
      </c>
    </row>
    <row r="704" spans="1:27">
      <c r="A704" s="4">
        <v>1702</v>
      </c>
      <c r="B704" s="7" t="str">
        <f>VLOOKUP($A704,SkillEnum!$A$2:$C$1020,2,FALSE)</f>
        <v>SI_A_AV_CIRCLE_FLAME</v>
      </c>
      <c r="C704" s="7">
        <v>6</v>
      </c>
      <c r="D704" s="2" t="str">
        <f>VLOOKUP($C704,SkillEnum!$D$2:$E$10,2,FALSE)</f>
        <v>ST_ACTIVE</v>
      </c>
      <c r="E704" s="7" t="str">
        <f>VLOOKUP($A704,SkillEnum!$A$2:$C$1020,3,FALSE)</f>
        <v>서클 플레임</v>
      </c>
      <c r="F704" s="7" t="str">
        <f t="shared" si="95"/>
        <v>파이어볼을 방사형으로 발사해 마법공격력의 120 %로 주위 적들을 연속타격 한다. (점프 중에도 사용이 가능하다.)</v>
      </c>
      <c r="G704" s="2">
        <v>3</v>
      </c>
      <c r="H704" s="2">
        <v>1.2</v>
      </c>
      <c r="I704" s="2">
        <v>3</v>
      </c>
      <c r="J704" s="2">
        <v>30</v>
      </c>
      <c r="K704" s="2">
        <v>0</v>
      </c>
      <c r="L704" s="2">
        <v>0</v>
      </c>
      <c r="M704" s="2">
        <v>0</v>
      </c>
      <c r="N704" s="2">
        <v>0</v>
      </c>
      <c r="O704" s="2">
        <v>0</v>
      </c>
      <c r="P704" s="2" t="s">
        <v>437</v>
      </c>
      <c r="Q704" s="2" t="str">
        <f t="shared" si="96"/>
        <v>SI_A_AV_CIRCLE_FLAME</v>
      </c>
      <c r="R704" s="2" t="b">
        <v>0</v>
      </c>
      <c r="S704" s="2" t="b">
        <v>1</v>
      </c>
      <c r="T704" s="2">
        <v>2</v>
      </c>
    </row>
    <row r="705" spans="1:23">
      <c r="A705" s="4">
        <v>1702</v>
      </c>
      <c r="B705" s="7" t="str">
        <f>VLOOKUP($A705,SkillEnum!$A$2:$C$1020,2,FALSE)</f>
        <v>SI_A_AV_CIRCLE_FLAME</v>
      </c>
      <c r="C705" s="7">
        <v>6</v>
      </c>
      <c r="D705" s="2" t="str">
        <f>VLOOKUP($C705,SkillEnum!$D$2:$E$10,2,FALSE)</f>
        <v>ST_ACTIVE</v>
      </c>
      <c r="E705" s="7" t="str">
        <f>VLOOKUP($A705,SkillEnum!$A$2:$C$1020,3,FALSE)</f>
        <v>서클 플레임</v>
      </c>
      <c r="F705" s="7" t="str">
        <f t="shared" si="95"/>
        <v>파이어볼을 방사형으로 발사해 마법공격력의 130 %로 주위 적들을 연속타격 한다. (점프 중에도 사용이 가능하다.)</v>
      </c>
      <c r="G705" s="2">
        <v>4</v>
      </c>
      <c r="H705" s="2">
        <v>1.3</v>
      </c>
      <c r="I705" s="2">
        <v>3</v>
      </c>
      <c r="J705" s="2">
        <v>30</v>
      </c>
      <c r="K705" s="2">
        <v>0</v>
      </c>
      <c r="L705" s="2">
        <v>0</v>
      </c>
      <c r="M705" s="2">
        <v>0</v>
      </c>
      <c r="N705" s="2">
        <v>0</v>
      </c>
      <c r="O705" s="2">
        <v>0</v>
      </c>
      <c r="P705" s="2" t="s">
        <v>437</v>
      </c>
      <c r="Q705" s="2" t="str">
        <f t="shared" si="96"/>
        <v>SI_A_AV_CIRCLE_FLAME</v>
      </c>
      <c r="R705" s="2" t="b">
        <v>0</v>
      </c>
      <c r="S705" s="2" t="b">
        <v>1</v>
      </c>
      <c r="T705" s="2">
        <v>2</v>
      </c>
    </row>
    <row r="706" spans="1:23">
      <c r="A706" s="4">
        <v>1702</v>
      </c>
      <c r="B706" s="7" t="str">
        <f>VLOOKUP($A706,SkillEnum!$A$2:$C$1020,2,FALSE)</f>
        <v>SI_A_AV_CIRCLE_FLAME</v>
      </c>
      <c r="C706" s="7">
        <v>6</v>
      </c>
      <c r="D706" s="2" t="str">
        <f>VLOOKUP($C706,SkillEnum!$D$2:$E$10,2,FALSE)</f>
        <v>ST_ACTIVE</v>
      </c>
      <c r="E706" s="7" t="str">
        <f>VLOOKUP($A706,SkillEnum!$A$2:$C$1020,3,FALSE)</f>
        <v>서클 플레임</v>
      </c>
      <c r="F706" s="7" t="str">
        <f t="shared" si="95"/>
        <v>파이어볼을 방사형으로 발사해 마법공격력의 140 %로 주위 적들을 연속타격 한다. (점프 중에도 사용이 가능하다.)</v>
      </c>
      <c r="G706" s="2">
        <v>5</v>
      </c>
      <c r="H706" s="2">
        <v>1.4</v>
      </c>
      <c r="I706" s="2">
        <v>3</v>
      </c>
      <c r="J706" s="2">
        <v>30</v>
      </c>
      <c r="K706" s="2">
        <v>0</v>
      </c>
      <c r="L706" s="2">
        <v>0</v>
      </c>
      <c r="M706" s="2">
        <v>0</v>
      </c>
      <c r="N706" s="2">
        <v>0</v>
      </c>
      <c r="O706" s="2">
        <v>0</v>
      </c>
      <c r="P706" s="2" t="s">
        <v>437</v>
      </c>
      <c r="Q706" s="2" t="str">
        <f t="shared" si="96"/>
        <v>SI_A_AV_CIRCLE_FLAME</v>
      </c>
      <c r="R706" s="2" t="b">
        <v>0</v>
      </c>
      <c r="S706" s="2" t="b">
        <v>1</v>
      </c>
      <c r="T706" s="2">
        <v>2</v>
      </c>
    </row>
    <row r="707" spans="1:23">
      <c r="A707" s="4">
        <v>1702</v>
      </c>
      <c r="B707" s="7" t="str">
        <f>VLOOKUP($A707,SkillEnum!$A$2:$C$1020,2,FALSE)</f>
        <v>SI_A_AV_CIRCLE_FLAME</v>
      </c>
      <c r="C707" s="7">
        <v>6</v>
      </c>
      <c r="D707" s="2" t="str">
        <f>VLOOKUP($C707,SkillEnum!$D$2:$E$10,2,FALSE)</f>
        <v>ST_ACTIVE</v>
      </c>
      <c r="E707" s="7" t="str">
        <f>VLOOKUP($A707,SkillEnum!$A$2:$C$1020,3,FALSE)</f>
        <v>서클 플레임</v>
      </c>
      <c r="F707" s="7" t="str">
        <f t="shared" si="95"/>
        <v>파이어볼을 방사형으로 발사해 마법공격력의 150 %로 주위 적들을 연속타격 한다. (점프 중에도 사용이 가능하다.)</v>
      </c>
      <c r="G707" s="2">
        <v>6</v>
      </c>
      <c r="H707" s="2">
        <v>1.5</v>
      </c>
      <c r="I707" s="2">
        <v>3</v>
      </c>
      <c r="J707" s="2">
        <v>30</v>
      </c>
      <c r="K707" s="2">
        <v>0</v>
      </c>
      <c r="L707" s="2">
        <v>0</v>
      </c>
      <c r="M707" s="2">
        <v>0</v>
      </c>
      <c r="N707" s="2">
        <v>0</v>
      </c>
      <c r="O707" s="2">
        <v>0</v>
      </c>
      <c r="P707" s="2" t="s">
        <v>437</v>
      </c>
      <c r="Q707" s="2" t="str">
        <f t="shared" si="96"/>
        <v>SI_A_AV_CIRCLE_FLAME</v>
      </c>
      <c r="R707" s="2" t="b">
        <v>0</v>
      </c>
      <c r="S707" s="2" t="b">
        <v>1</v>
      </c>
      <c r="T707" s="2">
        <v>2</v>
      </c>
    </row>
    <row r="708" spans="1:23">
      <c r="A708" s="4">
        <v>1702</v>
      </c>
      <c r="B708" s="7" t="str">
        <f>VLOOKUP($A708,SkillEnum!$A$2:$C$1020,2,FALSE)</f>
        <v>SI_A_AV_CIRCLE_FLAME</v>
      </c>
      <c r="C708" s="7">
        <v>6</v>
      </c>
      <c r="D708" s="2" t="str">
        <f>VLOOKUP($C708,SkillEnum!$D$2:$E$10,2,FALSE)</f>
        <v>ST_ACTIVE</v>
      </c>
      <c r="E708" s="7" t="str">
        <f>VLOOKUP($A708,SkillEnum!$A$2:$C$1020,3,FALSE)</f>
        <v>서클 플레임</v>
      </c>
      <c r="F708" s="7" t="str">
        <f t="shared" si="95"/>
        <v>파이어볼을 방사형으로 발사해 마법공격력의 160 %로 주위 적들을 연속타격 한다. (점프 중에도 사용이 가능하다.)</v>
      </c>
      <c r="G708" s="2">
        <v>7</v>
      </c>
      <c r="H708" s="2">
        <v>1.6</v>
      </c>
      <c r="I708" s="2">
        <v>3</v>
      </c>
      <c r="J708" s="2">
        <v>30</v>
      </c>
      <c r="K708" s="2">
        <v>0</v>
      </c>
      <c r="L708" s="2">
        <v>0</v>
      </c>
      <c r="M708" s="2">
        <v>0</v>
      </c>
      <c r="N708" s="2">
        <v>0</v>
      </c>
      <c r="O708" s="2">
        <v>0</v>
      </c>
      <c r="P708" s="2" t="s">
        <v>437</v>
      </c>
      <c r="Q708" s="2" t="str">
        <f t="shared" si="96"/>
        <v>SI_A_AV_CIRCLE_FLAME</v>
      </c>
      <c r="R708" s="2" t="b">
        <v>0</v>
      </c>
      <c r="S708" s="2" t="b">
        <v>1</v>
      </c>
      <c r="T708" s="2">
        <v>2</v>
      </c>
    </row>
    <row r="709" spans="1:23">
      <c r="A709" s="4">
        <v>1702</v>
      </c>
      <c r="B709" s="7" t="str">
        <f>VLOOKUP($A709,SkillEnum!$A$2:$C$1020,2,FALSE)</f>
        <v>SI_A_AV_CIRCLE_FLAME</v>
      </c>
      <c r="C709" s="7">
        <v>6</v>
      </c>
      <c r="D709" s="2" t="str">
        <f>VLOOKUP($C709,SkillEnum!$D$2:$E$10,2,FALSE)</f>
        <v>ST_ACTIVE</v>
      </c>
      <c r="E709" s="7" t="str">
        <f>VLOOKUP($A709,SkillEnum!$A$2:$C$1020,3,FALSE)</f>
        <v>서클 플레임</v>
      </c>
      <c r="F709" s="7" t="str">
        <f t="shared" si="95"/>
        <v>파이어볼을 방사형으로 발사해 마법공격력의 170 %로 주위 적들을 연속타격 한다. (점프 중에도 사용이 가능하다.)</v>
      </c>
      <c r="G709" s="2">
        <v>8</v>
      </c>
      <c r="H709" s="2">
        <v>1.7</v>
      </c>
      <c r="I709" s="2">
        <v>3</v>
      </c>
      <c r="J709" s="2">
        <v>30</v>
      </c>
      <c r="K709" s="2">
        <v>0</v>
      </c>
      <c r="L709" s="2">
        <v>0</v>
      </c>
      <c r="M709" s="2">
        <v>0</v>
      </c>
      <c r="N709" s="2">
        <v>0</v>
      </c>
      <c r="O709" s="2">
        <v>0</v>
      </c>
      <c r="P709" s="2" t="s">
        <v>437</v>
      </c>
      <c r="Q709" s="2" t="str">
        <f t="shared" si="96"/>
        <v>SI_A_AV_CIRCLE_FLAME</v>
      </c>
      <c r="R709" s="2" t="b">
        <v>0</v>
      </c>
      <c r="S709" s="2" t="b">
        <v>1</v>
      </c>
      <c r="T709" s="2">
        <v>2</v>
      </c>
    </row>
    <row r="710" spans="1:23">
      <c r="A710" s="4">
        <v>1702</v>
      </c>
      <c r="B710" s="7" t="str">
        <f>VLOOKUP($A710,SkillEnum!$A$2:$C$1020,2,FALSE)</f>
        <v>SI_A_AV_CIRCLE_FLAME</v>
      </c>
      <c r="C710" s="7">
        <v>6</v>
      </c>
      <c r="D710" s="2" t="str">
        <f>VLOOKUP($C710,SkillEnum!$D$2:$E$10,2,FALSE)</f>
        <v>ST_ACTIVE</v>
      </c>
      <c r="E710" s="7" t="str">
        <f>VLOOKUP($A710,SkillEnum!$A$2:$C$1020,3,FALSE)</f>
        <v>서클 플레임</v>
      </c>
      <c r="F710" s="7" t="str">
        <f t="shared" si="95"/>
        <v>파이어볼을 방사형으로 발사해 마법공격력의 180 %로 주위 적들을 연속타격 한다. (점프 중에도 사용이 가능하다.)</v>
      </c>
      <c r="G710" s="2">
        <v>9</v>
      </c>
      <c r="H710" s="2">
        <v>1.8</v>
      </c>
      <c r="I710" s="2">
        <v>3</v>
      </c>
      <c r="J710" s="2">
        <v>30</v>
      </c>
      <c r="K710" s="2">
        <v>0</v>
      </c>
      <c r="L710" s="2">
        <v>0</v>
      </c>
      <c r="M710" s="2">
        <v>0</v>
      </c>
      <c r="N710" s="2">
        <v>0</v>
      </c>
      <c r="O710" s="2">
        <v>0</v>
      </c>
      <c r="P710" s="2" t="s">
        <v>437</v>
      </c>
      <c r="Q710" s="2" t="str">
        <f t="shared" si="96"/>
        <v>SI_A_AV_CIRCLE_FLAME</v>
      </c>
      <c r="R710" s="2" t="b">
        <v>0</v>
      </c>
      <c r="S710" s="2" t="b">
        <v>1</v>
      </c>
      <c r="T710" s="2">
        <v>2</v>
      </c>
    </row>
    <row r="711" spans="1:23" s="5" customFormat="1">
      <c r="A711" s="6">
        <v>1702</v>
      </c>
      <c r="B711" s="8" t="str">
        <f>VLOOKUP($A711,SkillEnum!$A$2:$C$1020,2,FALSE)</f>
        <v>SI_A_AV_CIRCLE_FLAME</v>
      </c>
      <c r="C711" s="8">
        <v>6</v>
      </c>
      <c r="D711" s="5" t="str">
        <f>VLOOKUP($C711,SkillEnum!$D$2:$E$10,2,FALSE)</f>
        <v>ST_ACTIVE</v>
      </c>
      <c r="E711" s="8" t="str">
        <f>VLOOKUP($A711,SkillEnum!$A$2:$C$1020,3,FALSE)</f>
        <v>서클 플레임</v>
      </c>
      <c r="F711" s="8" t="str">
        <f t="shared" si="95"/>
        <v>파이어볼을 방사형으로 발사해 마법공격력의 190 %로 주위 적들을 연속타격 한다. (점프 중에도 사용이 가능하다.)</v>
      </c>
      <c r="G711" s="5">
        <v>10</v>
      </c>
      <c r="H711" s="5">
        <v>1.9</v>
      </c>
      <c r="I711" s="5">
        <v>3</v>
      </c>
      <c r="J711" s="5">
        <v>30</v>
      </c>
      <c r="K711" s="5">
        <v>0</v>
      </c>
      <c r="L711" s="5">
        <v>0</v>
      </c>
      <c r="M711" s="5">
        <v>0</v>
      </c>
      <c r="N711" s="5">
        <v>0</v>
      </c>
      <c r="O711" s="5">
        <v>0</v>
      </c>
      <c r="P711" s="2" t="s">
        <v>437</v>
      </c>
      <c r="Q711" s="2" t="str">
        <f t="shared" si="96"/>
        <v>SI_A_AV_CIRCLE_FLAME</v>
      </c>
      <c r="R711" s="5" t="b">
        <v>0</v>
      </c>
      <c r="S711" s="2" t="b">
        <v>1</v>
      </c>
      <c r="T711" s="2">
        <v>2</v>
      </c>
      <c r="U711" s="2"/>
    </row>
    <row r="712" spans="1:23" s="10" customFormat="1">
      <c r="A712" s="9">
        <v>1703</v>
      </c>
      <c r="B712" s="11" t="str">
        <f>VLOOKUP($A712,SkillEnum!$A$2:$C$1020,2,FALSE)</f>
        <v>SI_A_AHM_MEDITATION</v>
      </c>
      <c r="C712" s="11">
        <v>6</v>
      </c>
      <c r="D712" s="10" t="str">
        <f>VLOOKUP($C712,SkillEnum!$D$2:$E$10,2,FALSE)</f>
        <v>ST_ACTIVE</v>
      </c>
      <c r="E712" s="11" t="str">
        <f>VLOOKUP($A712,SkillEnum!$A$2:$C$1020,3,FALSE)</f>
        <v>메디테이션</v>
      </c>
      <c r="F712" s="7" t="str">
        <f>"걸어다니면서도 MP를 회복 할 수 있는 명상 상태가 된다. 가만히 서 있을 경우에는 더 많은 MP를 회복한다. (이동 시 MP회복량 2초당 "&amp;W712*2&amp;", 기 모을 때 "&amp;10+W712&amp;")"</f>
        <v>걸어다니면서도 MP를 회복 할 수 있는 명상 상태가 된다. 가만히 서 있을 경우에는 더 많은 MP를 회복한다. (이동 시 MP회복량 2초당 6, 기 모을 때 13)</v>
      </c>
      <c r="G712" s="10">
        <v>1</v>
      </c>
      <c r="H712" s="10">
        <v>1</v>
      </c>
      <c r="I712" s="2">
        <v>0</v>
      </c>
      <c r="J712" s="10">
        <v>0</v>
      </c>
      <c r="K712" s="2">
        <v>0</v>
      </c>
      <c r="L712" s="2">
        <v>0</v>
      </c>
      <c r="M712" s="2">
        <v>0</v>
      </c>
      <c r="N712" s="2">
        <v>0</v>
      </c>
      <c r="O712" s="2">
        <v>0</v>
      </c>
      <c r="P712" s="2" t="s">
        <v>437</v>
      </c>
      <c r="Q712" s="2" t="str">
        <f t="shared" si="96"/>
        <v>SI_A_AHM_MEDITATION</v>
      </c>
      <c r="R712" s="2" t="b">
        <v>0</v>
      </c>
      <c r="S712" s="2" t="b">
        <v>1</v>
      </c>
      <c r="T712" s="2">
        <v>1</v>
      </c>
      <c r="U712" s="2" t="b">
        <v>1</v>
      </c>
      <c r="V712" s="1" t="s">
        <v>497</v>
      </c>
      <c r="W712" s="10">
        <v>3</v>
      </c>
    </row>
    <row r="713" spans="1:23">
      <c r="A713" s="4">
        <v>1703</v>
      </c>
      <c r="B713" s="7" t="str">
        <f>VLOOKUP($A713,SkillEnum!$A$2:$C$1020,2,FALSE)</f>
        <v>SI_A_AHM_MEDITATION</v>
      </c>
      <c r="C713" s="7">
        <v>6</v>
      </c>
      <c r="D713" s="2" t="str">
        <f>VLOOKUP($C713,SkillEnum!$D$2:$E$10,2,FALSE)</f>
        <v>ST_ACTIVE</v>
      </c>
      <c r="E713" s="7" t="str">
        <f>VLOOKUP($A713,SkillEnum!$A$2:$C$1020,3,FALSE)</f>
        <v>메디테이션</v>
      </c>
      <c r="F713" s="7" t="str">
        <f t="shared" ref="F713:F721" si="97">"걸어다니면서도 MP를 회복 할 수 있는 명상 상태가 된다. 가만히 서 있을 경우에는 더 많은 MP를 회복한다. (이동 시 MP회복량 2초당 "&amp;W713*2&amp;", 기 모을 때 "&amp;10+W713&amp;")"</f>
        <v>걸어다니면서도 MP를 회복 할 수 있는 명상 상태가 된다. 가만히 서 있을 경우에는 더 많은 MP를 회복한다. (이동 시 MP회복량 2초당 8, 기 모을 때 14)</v>
      </c>
      <c r="G713" s="2">
        <v>2</v>
      </c>
      <c r="H713" s="2">
        <v>1</v>
      </c>
      <c r="I713" s="2">
        <v>0</v>
      </c>
      <c r="J713" s="2">
        <v>0</v>
      </c>
      <c r="K713" s="2">
        <v>0</v>
      </c>
      <c r="L713" s="2">
        <v>0</v>
      </c>
      <c r="M713" s="2">
        <v>0</v>
      </c>
      <c r="N713" s="2">
        <v>0</v>
      </c>
      <c r="O713" s="2">
        <v>0</v>
      </c>
      <c r="P713" s="2" t="s">
        <v>437</v>
      </c>
      <c r="Q713" s="2" t="str">
        <f t="shared" ref="Q713:Q722" si="98">B713</f>
        <v>SI_A_AHM_MEDITATION</v>
      </c>
      <c r="R713" s="2" t="b">
        <v>0</v>
      </c>
      <c r="S713" s="2" t="b">
        <v>1</v>
      </c>
      <c r="T713" s="2">
        <v>1</v>
      </c>
      <c r="U713" s="2" t="b">
        <v>1</v>
      </c>
      <c r="V713" s="2" t="s">
        <v>497</v>
      </c>
      <c r="W713" s="2">
        <v>4</v>
      </c>
    </row>
    <row r="714" spans="1:23">
      <c r="A714" s="4">
        <v>1703</v>
      </c>
      <c r="B714" s="7" t="str">
        <f>VLOOKUP($A714,SkillEnum!$A$2:$C$1020,2,FALSE)</f>
        <v>SI_A_AHM_MEDITATION</v>
      </c>
      <c r="C714" s="7">
        <v>6</v>
      </c>
      <c r="D714" s="2" t="str">
        <f>VLOOKUP($C714,SkillEnum!$D$2:$E$10,2,FALSE)</f>
        <v>ST_ACTIVE</v>
      </c>
      <c r="E714" s="7" t="str">
        <f>VLOOKUP($A714,SkillEnum!$A$2:$C$1020,3,FALSE)</f>
        <v>메디테이션</v>
      </c>
      <c r="F714" s="7" t="str">
        <f t="shared" si="97"/>
        <v>걸어다니면서도 MP를 회복 할 수 있는 명상 상태가 된다. 가만히 서 있을 경우에는 더 많은 MP를 회복한다. (이동 시 MP회복량 2초당 10, 기 모을 때 15)</v>
      </c>
      <c r="G714" s="2">
        <v>3</v>
      </c>
      <c r="H714" s="2">
        <v>1</v>
      </c>
      <c r="I714" s="2">
        <v>0</v>
      </c>
      <c r="J714" s="2">
        <v>0</v>
      </c>
      <c r="K714" s="2">
        <v>0</v>
      </c>
      <c r="L714" s="2">
        <v>0</v>
      </c>
      <c r="M714" s="2">
        <v>0</v>
      </c>
      <c r="N714" s="2">
        <v>0</v>
      </c>
      <c r="O714" s="2">
        <v>0</v>
      </c>
      <c r="P714" s="2" t="s">
        <v>437</v>
      </c>
      <c r="Q714" s="2" t="str">
        <f t="shared" si="98"/>
        <v>SI_A_AHM_MEDITATION</v>
      </c>
      <c r="R714" s="2" t="b">
        <v>0</v>
      </c>
      <c r="S714" s="2" t="b">
        <v>1</v>
      </c>
      <c r="T714" s="2">
        <v>1</v>
      </c>
      <c r="U714" s="2" t="b">
        <v>1</v>
      </c>
      <c r="V714" s="2" t="s">
        <v>497</v>
      </c>
      <c r="W714" s="2">
        <v>5</v>
      </c>
    </row>
    <row r="715" spans="1:23">
      <c r="A715" s="4">
        <v>1703</v>
      </c>
      <c r="B715" s="7" t="str">
        <f>VLOOKUP($A715,SkillEnum!$A$2:$C$1020,2,FALSE)</f>
        <v>SI_A_AHM_MEDITATION</v>
      </c>
      <c r="C715" s="7">
        <v>6</v>
      </c>
      <c r="D715" s="2" t="str">
        <f>VLOOKUP($C715,SkillEnum!$D$2:$E$10,2,FALSE)</f>
        <v>ST_ACTIVE</v>
      </c>
      <c r="E715" s="7" t="str">
        <f>VLOOKUP($A715,SkillEnum!$A$2:$C$1020,3,FALSE)</f>
        <v>메디테이션</v>
      </c>
      <c r="F715" s="7" t="str">
        <f t="shared" si="97"/>
        <v>걸어다니면서도 MP를 회복 할 수 있는 명상 상태가 된다. 가만히 서 있을 경우에는 더 많은 MP를 회복한다. (이동 시 MP회복량 2초당 12, 기 모을 때 16)</v>
      </c>
      <c r="G715" s="2">
        <v>4</v>
      </c>
      <c r="H715" s="2">
        <v>1</v>
      </c>
      <c r="I715" s="2">
        <v>0</v>
      </c>
      <c r="J715" s="2">
        <v>0</v>
      </c>
      <c r="K715" s="2">
        <v>0</v>
      </c>
      <c r="L715" s="2">
        <v>0</v>
      </c>
      <c r="M715" s="2">
        <v>0</v>
      </c>
      <c r="N715" s="2">
        <v>0</v>
      </c>
      <c r="O715" s="2">
        <v>0</v>
      </c>
      <c r="P715" s="2" t="s">
        <v>437</v>
      </c>
      <c r="Q715" s="2" t="str">
        <f t="shared" si="98"/>
        <v>SI_A_AHM_MEDITATION</v>
      </c>
      <c r="R715" s="2" t="b">
        <v>0</v>
      </c>
      <c r="S715" s="2" t="b">
        <v>1</v>
      </c>
      <c r="T715" s="2">
        <v>1</v>
      </c>
      <c r="U715" s="2" t="b">
        <v>1</v>
      </c>
      <c r="V715" s="2" t="s">
        <v>497</v>
      </c>
      <c r="W715" s="2">
        <v>6</v>
      </c>
    </row>
    <row r="716" spans="1:23">
      <c r="A716" s="4">
        <v>1703</v>
      </c>
      <c r="B716" s="7" t="str">
        <f>VLOOKUP($A716,SkillEnum!$A$2:$C$1020,2,FALSE)</f>
        <v>SI_A_AHM_MEDITATION</v>
      </c>
      <c r="C716" s="7">
        <v>6</v>
      </c>
      <c r="D716" s="2" t="str">
        <f>VLOOKUP($C716,SkillEnum!$D$2:$E$10,2,FALSE)</f>
        <v>ST_ACTIVE</v>
      </c>
      <c r="E716" s="7" t="str">
        <f>VLOOKUP($A716,SkillEnum!$A$2:$C$1020,3,FALSE)</f>
        <v>메디테이션</v>
      </c>
      <c r="F716" s="7" t="str">
        <f t="shared" si="97"/>
        <v>걸어다니면서도 MP를 회복 할 수 있는 명상 상태가 된다. 가만히 서 있을 경우에는 더 많은 MP를 회복한다. (이동 시 MP회복량 2초당 14, 기 모을 때 17)</v>
      </c>
      <c r="G716" s="2">
        <v>5</v>
      </c>
      <c r="H716" s="2">
        <v>1</v>
      </c>
      <c r="I716" s="2">
        <v>0</v>
      </c>
      <c r="J716" s="2">
        <v>0</v>
      </c>
      <c r="K716" s="2">
        <v>0</v>
      </c>
      <c r="L716" s="2">
        <v>0</v>
      </c>
      <c r="M716" s="2">
        <v>0</v>
      </c>
      <c r="N716" s="2">
        <v>0</v>
      </c>
      <c r="O716" s="2">
        <v>0</v>
      </c>
      <c r="P716" s="2" t="s">
        <v>437</v>
      </c>
      <c r="Q716" s="2" t="str">
        <f t="shared" si="98"/>
        <v>SI_A_AHM_MEDITATION</v>
      </c>
      <c r="R716" s="2" t="b">
        <v>0</v>
      </c>
      <c r="S716" s="2" t="b">
        <v>1</v>
      </c>
      <c r="T716" s="2">
        <v>1</v>
      </c>
      <c r="U716" s="2" t="b">
        <v>1</v>
      </c>
      <c r="V716" s="2" t="s">
        <v>497</v>
      </c>
      <c r="W716" s="2">
        <v>7</v>
      </c>
    </row>
    <row r="717" spans="1:23">
      <c r="A717" s="4">
        <v>1703</v>
      </c>
      <c r="B717" s="7" t="str">
        <f>VLOOKUP($A717,SkillEnum!$A$2:$C$1020,2,FALSE)</f>
        <v>SI_A_AHM_MEDITATION</v>
      </c>
      <c r="C717" s="7">
        <v>6</v>
      </c>
      <c r="D717" s="2" t="str">
        <f>VLOOKUP($C717,SkillEnum!$D$2:$E$10,2,FALSE)</f>
        <v>ST_ACTIVE</v>
      </c>
      <c r="E717" s="7" t="str">
        <f>VLOOKUP($A717,SkillEnum!$A$2:$C$1020,3,FALSE)</f>
        <v>메디테이션</v>
      </c>
      <c r="F717" s="7" t="str">
        <f t="shared" si="97"/>
        <v>걸어다니면서도 MP를 회복 할 수 있는 명상 상태가 된다. 가만히 서 있을 경우에는 더 많은 MP를 회복한다. (이동 시 MP회복량 2초당 16, 기 모을 때 18)</v>
      </c>
      <c r="G717" s="2">
        <v>6</v>
      </c>
      <c r="H717" s="2">
        <v>1</v>
      </c>
      <c r="I717" s="2">
        <v>0</v>
      </c>
      <c r="J717" s="2">
        <v>0</v>
      </c>
      <c r="K717" s="2">
        <v>0</v>
      </c>
      <c r="L717" s="2">
        <v>0</v>
      </c>
      <c r="M717" s="2">
        <v>0</v>
      </c>
      <c r="N717" s="2">
        <v>0</v>
      </c>
      <c r="O717" s="2">
        <v>0</v>
      </c>
      <c r="P717" s="2" t="s">
        <v>437</v>
      </c>
      <c r="Q717" s="2" t="str">
        <f t="shared" si="98"/>
        <v>SI_A_AHM_MEDITATION</v>
      </c>
      <c r="R717" s="2" t="b">
        <v>0</v>
      </c>
      <c r="S717" s="2" t="b">
        <v>1</v>
      </c>
      <c r="T717" s="2">
        <v>1</v>
      </c>
      <c r="U717" s="2" t="b">
        <v>1</v>
      </c>
      <c r="V717" s="2" t="s">
        <v>497</v>
      </c>
      <c r="W717" s="2">
        <v>8</v>
      </c>
    </row>
    <row r="718" spans="1:23">
      <c r="A718" s="4">
        <v>1703</v>
      </c>
      <c r="B718" s="7" t="str">
        <f>VLOOKUP($A718,SkillEnum!$A$2:$C$1020,2,FALSE)</f>
        <v>SI_A_AHM_MEDITATION</v>
      </c>
      <c r="C718" s="7">
        <v>6</v>
      </c>
      <c r="D718" s="2" t="str">
        <f>VLOOKUP($C718,SkillEnum!$D$2:$E$10,2,FALSE)</f>
        <v>ST_ACTIVE</v>
      </c>
      <c r="E718" s="7" t="str">
        <f>VLOOKUP($A718,SkillEnum!$A$2:$C$1020,3,FALSE)</f>
        <v>메디테이션</v>
      </c>
      <c r="F718" s="7" t="str">
        <f t="shared" si="97"/>
        <v>걸어다니면서도 MP를 회복 할 수 있는 명상 상태가 된다. 가만히 서 있을 경우에는 더 많은 MP를 회복한다. (이동 시 MP회복량 2초당 18, 기 모을 때 19)</v>
      </c>
      <c r="G718" s="2">
        <v>7</v>
      </c>
      <c r="H718" s="2">
        <v>1</v>
      </c>
      <c r="I718" s="2">
        <v>0</v>
      </c>
      <c r="J718" s="2">
        <v>0</v>
      </c>
      <c r="K718" s="2">
        <v>0</v>
      </c>
      <c r="L718" s="2">
        <v>0</v>
      </c>
      <c r="M718" s="2">
        <v>0</v>
      </c>
      <c r="N718" s="2">
        <v>0</v>
      </c>
      <c r="O718" s="2">
        <v>0</v>
      </c>
      <c r="P718" s="2" t="s">
        <v>437</v>
      </c>
      <c r="Q718" s="2" t="str">
        <f t="shared" si="98"/>
        <v>SI_A_AHM_MEDITATION</v>
      </c>
      <c r="R718" s="2" t="b">
        <v>0</v>
      </c>
      <c r="S718" s="2" t="b">
        <v>1</v>
      </c>
      <c r="T718" s="2">
        <v>1</v>
      </c>
      <c r="U718" s="2" t="b">
        <v>1</v>
      </c>
      <c r="V718" s="2" t="s">
        <v>497</v>
      </c>
      <c r="W718" s="2">
        <v>9</v>
      </c>
    </row>
    <row r="719" spans="1:23">
      <c r="A719" s="4">
        <v>1703</v>
      </c>
      <c r="B719" s="7" t="str">
        <f>VLOOKUP($A719,SkillEnum!$A$2:$C$1020,2,FALSE)</f>
        <v>SI_A_AHM_MEDITATION</v>
      </c>
      <c r="C719" s="7">
        <v>6</v>
      </c>
      <c r="D719" s="2" t="str">
        <f>VLOOKUP($C719,SkillEnum!$D$2:$E$10,2,FALSE)</f>
        <v>ST_ACTIVE</v>
      </c>
      <c r="E719" s="7" t="str">
        <f>VLOOKUP($A719,SkillEnum!$A$2:$C$1020,3,FALSE)</f>
        <v>메디테이션</v>
      </c>
      <c r="F719" s="7" t="str">
        <f t="shared" si="97"/>
        <v>걸어다니면서도 MP를 회복 할 수 있는 명상 상태가 된다. 가만히 서 있을 경우에는 더 많은 MP를 회복한다. (이동 시 MP회복량 2초당 20, 기 모을 때 20)</v>
      </c>
      <c r="G719" s="2">
        <v>8</v>
      </c>
      <c r="H719" s="2">
        <v>1</v>
      </c>
      <c r="I719" s="2">
        <v>0</v>
      </c>
      <c r="J719" s="2">
        <v>0</v>
      </c>
      <c r="K719" s="2">
        <v>0</v>
      </c>
      <c r="L719" s="2">
        <v>0</v>
      </c>
      <c r="M719" s="2">
        <v>0</v>
      </c>
      <c r="N719" s="2">
        <v>0</v>
      </c>
      <c r="O719" s="2">
        <v>0</v>
      </c>
      <c r="P719" s="2" t="s">
        <v>437</v>
      </c>
      <c r="Q719" s="2" t="str">
        <f t="shared" si="98"/>
        <v>SI_A_AHM_MEDITATION</v>
      </c>
      <c r="R719" s="2" t="b">
        <v>0</v>
      </c>
      <c r="S719" s="2" t="b">
        <v>1</v>
      </c>
      <c r="T719" s="2">
        <v>1</v>
      </c>
      <c r="U719" s="2" t="b">
        <v>1</v>
      </c>
      <c r="V719" s="2" t="s">
        <v>497</v>
      </c>
      <c r="W719" s="2">
        <v>10</v>
      </c>
    </row>
    <row r="720" spans="1:23">
      <c r="A720" s="4">
        <v>1703</v>
      </c>
      <c r="B720" s="7" t="str">
        <f>VLOOKUP($A720,SkillEnum!$A$2:$C$1020,2,FALSE)</f>
        <v>SI_A_AHM_MEDITATION</v>
      </c>
      <c r="C720" s="7">
        <v>6</v>
      </c>
      <c r="D720" s="2" t="str">
        <f>VLOOKUP($C720,SkillEnum!$D$2:$E$10,2,FALSE)</f>
        <v>ST_ACTIVE</v>
      </c>
      <c r="E720" s="7" t="str">
        <f>VLOOKUP($A720,SkillEnum!$A$2:$C$1020,3,FALSE)</f>
        <v>메디테이션</v>
      </c>
      <c r="F720" s="7" t="str">
        <f t="shared" si="97"/>
        <v>걸어다니면서도 MP를 회복 할 수 있는 명상 상태가 된다. 가만히 서 있을 경우에는 더 많은 MP를 회복한다. (이동 시 MP회복량 2초당 22, 기 모을 때 21)</v>
      </c>
      <c r="G720" s="2">
        <v>9</v>
      </c>
      <c r="H720" s="2">
        <v>1</v>
      </c>
      <c r="I720" s="2">
        <v>0</v>
      </c>
      <c r="J720" s="2">
        <v>0</v>
      </c>
      <c r="K720" s="2">
        <v>0</v>
      </c>
      <c r="L720" s="2">
        <v>0</v>
      </c>
      <c r="M720" s="2">
        <v>0</v>
      </c>
      <c r="N720" s="2">
        <v>0</v>
      </c>
      <c r="O720" s="2">
        <v>0</v>
      </c>
      <c r="P720" s="2" t="s">
        <v>437</v>
      </c>
      <c r="Q720" s="2" t="str">
        <f t="shared" si="98"/>
        <v>SI_A_AHM_MEDITATION</v>
      </c>
      <c r="R720" s="2" t="b">
        <v>0</v>
      </c>
      <c r="S720" s="2" t="b">
        <v>1</v>
      </c>
      <c r="T720" s="2">
        <v>1</v>
      </c>
      <c r="U720" s="2" t="b">
        <v>1</v>
      </c>
      <c r="V720" s="2" t="s">
        <v>497</v>
      </c>
      <c r="W720" s="2">
        <v>11</v>
      </c>
    </row>
    <row r="721" spans="1:25" s="5" customFormat="1">
      <c r="A721" s="6">
        <v>1703</v>
      </c>
      <c r="B721" s="8" t="str">
        <f>VLOOKUP($A721,SkillEnum!$A$2:$C$1020,2,FALSE)</f>
        <v>SI_A_AHM_MEDITATION</v>
      </c>
      <c r="C721" s="8">
        <v>6</v>
      </c>
      <c r="D721" s="5" t="str">
        <f>VLOOKUP($C721,SkillEnum!$D$2:$E$10,2,FALSE)</f>
        <v>ST_ACTIVE</v>
      </c>
      <c r="E721" s="8" t="str">
        <f>VLOOKUP($A721,SkillEnum!$A$2:$C$1020,3,FALSE)</f>
        <v>메디테이션</v>
      </c>
      <c r="F721" s="7" t="str">
        <f t="shared" si="97"/>
        <v>걸어다니면서도 MP를 회복 할 수 있는 명상 상태가 된다. 가만히 서 있을 경우에는 더 많은 MP를 회복한다. (이동 시 MP회복량 2초당 24, 기 모을 때 22)</v>
      </c>
      <c r="G721" s="5">
        <v>10</v>
      </c>
      <c r="H721" s="5">
        <v>1</v>
      </c>
      <c r="I721" s="5">
        <v>0</v>
      </c>
      <c r="J721" s="5">
        <v>0</v>
      </c>
      <c r="K721" s="5">
        <v>0</v>
      </c>
      <c r="L721" s="5">
        <v>0</v>
      </c>
      <c r="M721" s="5">
        <v>0</v>
      </c>
      <c r="N721" s="5">
        <v>0</v>
      </c>
      <c r="O721" s="5">
        <v>0</v>
      </c>
      <c r="P721" s="2" t="s">
        <v>437</v>
      </c>
      <c r="Q721" s="2" t="str">
        <f t="shared" si="98"/>
        <v>SI_A_AHM_MEDITATION</v>
      </c>
      <c r="R721" s="5" t="b">
        <v>0</v>
      </c>
      <c r="S721" s="2" t="b">
        <v>1</v>
      </c>
      <c r="T721" s="2">
        <v>1</v>
      </c>
      <c r="U721" s="2" t="b">
        <v>1</v>
      </c>
      <c r="V721" s="5" t="s">
        <v>497</v>
      </c>
      <c r="W721" s="5">
        <v>12</v>
      </c>
    </row>
    <row r="722" spans="1:25" s="10" customFormat="1">
      <c r="A722" s="9">
        <v>1704</v>
      </c>
      <c r="B722" s="11" t="str">
        <f>VLOOKUP($A722,SkillEnum!$A$2:$C$1020,2,FALSE)</f>
        <v>SI_A_ADM_MANA_INTAKE</v>
      </c>
      <c r="C722" s="11">
        <v>6</v>
      </c>
      <c r="D722" s="10" t="str">
        <f>VLOOKUP($C722,SkillEnum!$D$2:$E$10,2,FALSE)</f>
        <v>ST_ACTIVE</v>
      </c>
      <c r="E722" s="11" t="str">
        <f>VLOOKUP($A722,SkillEnum!$A$2:$C$1020,3,FALSE)</f>
        <v>마나 인테이크</v>
      </c>
      <c r="F722" s="11" t="str">
        <f>"반경 3M 이내에 있는 최대 2명의 적으로 부터 MP를 "&amp;W722&amp;" 씩 흡수 한다."</f>
        <v>반경 3M 이내에 있는 최대 2명의 적으로 부터 MP를 6 씩 흡수 한다.</v>
      </c>
      <c r="G722" s="10">
        <v>1</v>
      </c>
      <c r="H722" s="10">
        <v>1</v>
      </c>
      <c r="I722" s="2">
        <v>10</v>
      </c>
      <c r="J722" s="10">
        <v>3</v>
      </c>
      <c r="K722" s="2">
        <v>0</v>
      </c>
      <c r="L722" s="2">
        <v>0</v>
      </c>
      <c r="M722" s="2">
        <v>0</v>
      </c>
      <c r="N722" s="2">
        <v>0</v>
      </c>
      <c r="O722" s="2">
        <v>0</v>
      </c>
      <c r="P722" s="2" t="s">
        <v>437</v>
      </c>
      <c r="Q722" s="2" t="str">
        <f t="shared" si="98"/>
        <v>SI_A_ADM_MANA_INTAKE</v>
      </c>
      <c r="R722" s="2" t="b">
        <v>0</v>
      </c>
      <c r="S722" s="2" t="b">
        <v>1</v>
      </c>
      <c r="T722" s="2">
        <v>1</v>
      </c>
      <c r="U722" s="2" t="b">
        <v>1</v>
      </c>
      <c r="V722" s="1" t="s">
        <v>499</v>
      </c>
      <c r="W722" s="10">
        <f>J722*2</f>
        <v>6</v>
      </c>
    </row>
    <row r="723" spans="1:25">
      <c r="A723" s="4">
        <v>1704</v>
      </c>
      <c r="B723" s="7" t="str">
        <f>VLOOKUP($A723,SkillEnum!$A$2:$C$1020,2,FALSE)</f>
        <v>SI_A_ADM_MANA_INTAKE</v>
      </c>
      <c r="C723" s="7">
        <v>6</v>
      </c>
      <c r="D723" s="2" t="str">
        <f>VLOOKUP($C723,SkillEnum!$D$2:$E$10,2,FALSE)</f>
        <v>ST_ACTIVE</v>
      </c>
      <c r="E723" s="7" t="str">
        <f>VLOOKUP($A723,SkillEnum!$A$2:$C$1020,3,FALSE)</f>
        <v>마나 인테이크</v>
      </c>
      <c r="F723" s="7" t="str">
        <f t="shared" ref="F723:F731" si="99">"반경 3M 이내에 있는 최대 2명의 적으로 부터 MP를 "&amp;W723&amp;" 씩 흡수 한다."</f>
        <v>반경 3M 이내에 있는 최대 2명의 적으로 부터 MP를 12 씩 흡수 한다.</v>
      </c>
      <c r="G723" s="2">
        <v>2</v>
      </c>
      <c r="H723" s="2">
        <v>1</v>
      </c>
      <c r="I723" s="2">
        <v>10</v>
      </c>
      <c r="J723" s="2">
        <v>6</v>
      </c>
      <c r="K723" s="2">
        <v>0</v>
      </c>
      <c r="L723" s="2">
        <v>0</v>
      </c>
      <c r="M723" s="2">
        <v>0</v>
      </c>
      <c r="N723" s="2">
        <v>0</v>
      </c>
      <c r="O723" s="2">
        <v>0</v>
      </c>
      <c r="P723" s="2" t="s">
        <v>437</v>
      </c>
      <c r="Q723" s="2" t="str">
        <f t="shared" ref="Q723:Q731" si="100">B723</f>
        <v>SI_A_ADM_MANA_INTAKE</v>
      </c>
      <c r="R723" s="2" t="b">
        <v>0</v>
      </c>
      <c r="S723" s="2" t="b">
        <v>1</v>
      </c>
      <c r="T723" s="2">
        <v>1</v>
      </c>
      <c r="U723" s="2" t="b">
        <v>1</v>
      </c>
      <c r="V723" s="2" t="s">
        <v>499</v>
      </c>
      <c r="W723" s="2">
        <f t="shared" ref="W723:W731" si="101">J723*2</f>
        <v>12</v>
      </c>
    </row>
    <row r="724" spans="1:25">
      <c r="A724" s="4">
        <v>1704</v>
      </c>
      <c r="B724" s="7" t="str">
        <f>VLOOKUP($A724,SkillEnum!$A$2:$C$1020,2,FALSE)</f>
        <v>SI_A_ADM_MANA_INTAKE</v>
      </c>
      <c r="C724" s="7">
        <v>6</v>
      </c>
      <c r="D724" s="2" t="str">
        <f>VLOOKUP($C724,SkillEnum!$D$2:$E$10,2,FALSE)</f>
        <v>ST_ACTIVE</v>
      </c>
      <c r="E724" s="7" t="str">
        <f>VLOOKUP($A724,SkillEnum!$A$2:$C$1020,3,FALSE)</f>
        <v>마나 인테이크</v>
      </c>
      <c r="F724" s="7" t="str">
        <f t="shared" si="99"/>
        <v>반경 3M 이내에 있는 최대 2명의 적으로 부터 MP를 18 씩 흡수 한다.</v>
      </c>
      <c r="G724" s="2">
        <v>3</v>
      </c>
      <c r="H724" s="2">
        <v>1</v>
      </c>
      <c r="I724" s="2">
        <v>10</v>
      </c>
      <c r="J724" s="2">
        <v>9</v>
      </c>
      <c r="K724" s="2">
        <v>0</v>
      </c>
      <c r="L724" s="2">
        <v>0</v>
      </c>
      <c r="M724" s="2">
        <v>0</v>
      </c>
      <c r="N724" s="2">
        <v>0</v>
      </c>
      <c r="O724" s="2">
        <v>0</v>
      </c>
      <c r="P724" s="2" t="s">
        <v>437</v>
      </c>
      <c r="Q724" s="2" t="str">
        <f t="shared" si="100"/>
        <v>SI_A_ADM_MANA_INTAKE</v>
      </c>
      <c r="R724" s="2" t="b">
        <v>0</v>
      </c>
      <c r="S724" s="2" t="b">
        <v>1</v>
      </c>
      <c r="T724" s="2">
        <v>1</v>
      </c>
      <c r="U724" s="2" t="b">
        <v>1</v>
      </c>
      <c r="V724" s="2" t="s">
        <v>499</v>
      </c>
      <c r="W724" s="2">
        <f t="shared" si="101"/>
        <v>18</v>
      </c>
    </row>
    <row r="725" spans="1:25">
      <c r="A725" s="4">
        <v>1704</v>
      </c>
      <c r="B725" s="7" t="str">
        <f>VLOOKUP($A725,SkillEnum!$A$2:$C$1020,2,FALSE)</f>
        <v>SI_A_ADM_MANA_INTAKE</v>
      </c>
      <c r="C725" s="7">
        <v>6</v>
      </c>
      <c r="D725" s="2" t="str">
        <f>VLOOKUP($C725,SkillEnum!$D$2:$E$10,2,FALSE)</f>
        <v>ST_ACTIVE</v>
      </c>
      <c r="E725" s="7" t="str">
        <f>VLOOKUP($A725,SkillEnum!$A$2:$C$1020,3,FALSE)</f>
        <v>마나 인테이크</v>
      </c>
      <c r="F725" s="7" t="str">
        <f t="shared" si="99"/>
        <v>반경 3M 이내에 있는 최대 2명의 적으로 부터 MP를 24 씩 흡수 한다.</v>
      </c>
      <c r="G725" s="2">
        <v>4</v>
      </c>
      <c r="H725" s="2">
        <v>1</v>
      </c>
      <c r="I725" s="2">
        <v>10</v>
      </c>
      <c r="J725" s="2">
        <v>12</v>
      </c>
      <c r="K725" s="2">
        <v>0</v>
      </c>
      <c r="L725" s="2">
        <v>0</v>
      </c>
      <c r="M725" s="2">
        <v>0</v>
      </c>
      <c r="N725" s="2">
        <v>0</v>
      </c>
      <c r="O725" s="2">
        <v>0</v>
      </c>
      <c r="P725" s="2" t="s">
        <v>437</v>
      </c>
      <c r="Q725" s="2" t="str">
        <f t="shared" si="100"/>
        <v>SI_A_ADM_MANA_INTAKE</v>
      </c>
      <c r="R725" s="2" t="b">
        <v>0</v>
      </c>
      <c r="S725" s="2" t="b">
        <v>1</v>
      </c>
      <c r="T725" s="2">
        <v>1</v>
      </c>
      <c r="U725" s="2" t="b">
        <v>1</v>
      </c>
      <c r="V725" s="2" t="s">
        <v>499</v>
      </c>
      <c r="W725" s="2">
        <f t="shared" si="101"/>
        <v>24</v>
      </c>
    </row>
    <row r="726" spans="1:25">
      <c r="A726" s="4">
        <v>1704</v>
      </c>
      <c r="B726" s="7" t="str">
        <f>VLOOKUP($A726,SkillEnum!$A$2:$C$1020,2,FALSE)</f>
        <v>SI_A_ADM_MANA_INTAKE</v>
      </c>
      <c r="C726" s="7">
        <v>6</v>
      </c>
      <c r="D726" s="2" t="str">
        <f>VLOOKUP($C726,SkillEnum!$D$2:$E$10,2,FALSE)</f>
        <v>ST_ACTIVE</v>
      </c>
      <c r="E726" s="7" t="str">
        <f>VLOOKUP($A726,SkillEnum!$A$2:$C$1020,3,FALSE)</f>
        <v>마나 인테이크</v>
      </c>
      <c r="F726" s="7" t="str">
        <f t="shared" si="99"/>
        <v>반경 3M 이내에 있는 최대 2명의 적으로 부터 MP를 30 씩 흡수 한다.</v>
      </c>
      <c r="G726" s="2">
        <v>5</v>
      </c>
      <c r="H726" s="2">
        <v>1</v>
      </c>
      <c r="I726" s="2">
        <v>10</v>
      </c>
      <c r="J726" s="2">
        <v>15</v>
      </c>
      <c r="K726" s="2">
        <v>0</v>
      </c>
      <c r="L726" s="2">
        <v>0</v>
      </c>
      <c r="M726" s="2">
        <v>0</v>
      </c>
      <c r="N726" s="2">
        <v>0</v>
      </c>
      <c r="O726" s="2">
        <v>0</v>
      </c>
      <c r="P726" s="2" t="s">
        <v>437</v>
      </c>
      <c r="Q726" s="2" t="str">
        <f t="shared" si="100"/>
        <v>SI_A_ADM_MANA_INTAKE</v>
      </c>
      <c r="R726" s="2" t="b">
        <v>0</v>
      </c>
      <c r="S726" s="2" t="b">
        <v>1</v>
      </c>
      <c r="T726" s="2">
        <v>1</v>
      </c>
      <c r="U726" s="2" t="b">
        <v>1</v>
      </c>
      <c r="V726" s="2" t="s">
        <v>499</v>
      </c>
      <c r="W726" s="2">
        <f t="shared" si="101"/>
        <v>30</v>
      </c>
    </row>
    <row r="727" spans="1:25">
      <c r="A727" s="4">
        <v>1704</v>
      </c>
      <c r="B727" s="7" t="str">
        <f>VLOOKUP($A727,SkillEnum!$A$2:$C$1020,2,FALSE)</f>
        <v>SI_A_ADM_MANA_INTAKE</v>
      </c>
      <c r="C727" s="7">
        <v>6</v>
      </c>
      <c r="D727" s="2" t="str">
        <f>VLOOKUP($C727,SkillEnum!$D$2:$E$10,2,FALSE)</f>
        <v>ST_ACTIVE</v>
      </c>
      <c r="E727" s="7" t="str">
        <f>VLOOKUP($A727,SkillEnum!$A$2:$C$1020,3,FALSE)</f>
        <v>마나 인테이크</v>
      </c>
      <c r="F727" s="7" t="str">
        <f t="shared" si="99"/>
        <v>반경 3M 이내에 있는 최대 2명의 적으로 부터 MP를 36 씩 흡수 한다.</v>
      </c>
      <c r="G727" s="2">
        <v>6</v>
      </c>
      <c r="H727" s="2">
        <v>1</v>
      </c>
      <c r="I727" s="2">
        <v>10</v>
      </c>
      <c r="J727" s="2">
        <v>18</v>
      </c>
      <c r="K727" s="2">
        <v>0</v>
      </c>
      <c r="L727" s="2">
        <v>0</v>
      </c>
      <c r="M727" s="2">
        <v>0</v>
      </c>
      <c r="N727" s="2">
        <v>0</v>
      </c>
      <c r="O727" s="2">
        <v>0</v>
      </c>
      <c r="P727" s="2" t="s">
        <v>437</v>
      </c>
      <c r="Q727" s="2" t="str">
        <f t="shared" si="100"/>
        <v>SI_A_ADM_MANA_INTAKE</v>
      </c>
      <c r="R727" s="2" t="b">
        <v>0</v>
      </c>
      <c r="S727" s="2" t="b">
        <v>1</v>
      </c>
      <c r="T727" s="2">
        <v>1</v>
      </c>
      <c r="U727" s="2" t="b">
        <v>1</v>
      </c>
      <c r="V727" s="2" t="s">
        <v>499</v>
      </c>
      <c r="W727" s="2">
        <f t="shared" si="101"/>
        <v>36</v>
      </c>
    </row>
    <row r="728" spans="1:25">
      <c r="A728" s="4">
        <v>1704</v>
      </c>
      <c r="B728" s="7" t="str">
        <f>VLOOKUP($A728,SkillEnum!$A$2:$C$1020,2,FALSE)</f>
        <v>SI_A_ADM_MANA_INTAKE</v>
      </c>
      <c r="C728" s="7">
        <v>6</v>
      </c>
      <c r="D728" s="2" t="str">
        <f>VLOOKUP($C728,SkillEnum!$D$2:$E$10,2,FALSE)</f>
        <v>ST_ACTIVE</v>
      </c>
      <c r="E728" s="7" t="str">
        <f>VLOOKUP($A728,SkillEnum!$A$2:$C$1020,3,FALSE)</f>
        <v>마나 인테이크</v>
      </c>
      <c r="F728" s="7" t="str">
        <f t="shared" si="99"/>
        <v>반경 3M 이내에 있는 최대 2명의 적으로 부터 MP를 42 씩 흡수 한다.</v>
      </c>
      <c r="G728" s="2">
        <v>7</v>
      </c>
      <c r="H728" s="2">
        <v>1</v>
      </c>
      <c r="I728" s="2">
        <v>10</v>
      </c>
      <c r="J728" s="2">
        <v>21</v>
      </c>
      <c r="K728" s="2">
        <v>0</v>
      </c>
      <c r="L728" s="2">
        <v>0</v>
      </c>
      <c r="M728" s="2">
        <v>0</v>
      </c>
      <c r="N728" s="2">
        <v>0</v>
      </c>
      <c r="O728" s="2">
        <v>0</v>
      </c>
      <c r="P728" s="2" t="s">
        <v>437</v>
      </c>
      <c r="Q728" s="2" t="str">
        <f t="shared" si="100"/>
        <v>SI_A_ADM_MANA_INTAKE</v>
      </c>
      <c r="R728" s="2" t="b">
        <v>0</v>
      </c>
      <c r="S728" s="2" t="b">
        <v>1</v>
      </c>
      <c r="T728" s="2">
        <v>1</v>
      </c>
      <c r="U728" s="2" t="b">
        <v>1</v>
      </c>
      <c r="V728" s="2" t="s">
        <v>499</v>
      </c>
      <c r="W728" s="2">
        <f t="shared" si="101"/>
        <v>42</v>
      </c>
    </row>
    <row r="729" spans="1:25">
      <c r="A729" s="4">
        <v>1704</v>
      </c>
      <c r="B729" s="7" t="str">
        <f>VLOOKUP($A729,SkillEnum!$A$2:$C$1020,2,FALSE)</f>
        <v>SI_A_ADM_MANA_INTAKE</v>
      </c>
      <c r="C729" s="7">
        <v>6</v>
      </c>
      <c r="D729" s="2" t="str">
        <f>VLOOKUP($C729,SkillEnum!$D$2:$E$10,2,FALSE)</f>
        <v>ST_ACTIVE</v>
      </c>
      <c r="E729" s="7" t="str">
        <f>VLOOKUP($A729,SkillEnum!$A$2:$C$1020,3,FALSE)</f>
        <v>마나 인테이크</v>
      </c>
      <c r="F729" s="7" t="str">
        <f t="shared" si="99"/>
        <v>반경 3M 이내에 있는 최대 2명의 적으로 부터 MP를 48 씩 흡수 한다.</v>
      </c>
      <c r="G729" s="2">
        <v>8</v>
      </c>
      <c r="H729" s="2">
        <v>1</v>
      </c>
      <c r="I729" s="2">
        <v>10</v>
      </c>
      <c r="J729" s="2">
        <v>24</v>
      </c>
      <c r="K729" s="2">
        <v>0</v>
      </c>
      <c r="L729" s="2">
        <v>0</v>
      </c>
      <c r="M729" s="2">
        <v>0</v>
      </c>
      <c r="N729" s="2">
        <v>0</v>
      </c>
      <c r="O729" s="2">
        <v>0</v>
      </c>
      <c r="P729" s="2" t="s">
        <v>437</v>
      </c>
      <c r="Q729" s="2" t="str">
        <f t="shared" si="100"/>
        <v>SI_A_ADM_MANA_INTAKE</v>
      </c>
      <c r="R729" s="2" t="b">
        <v>0</v>
      </c>
      <c r="S729" s="2" t="b">
        <v>1</v>
      </c>
      <c r="T729" s="2">
        <v>1</v>
      </c>
      <c r="U729" s="2" t="b">
        <v>1</v>
      </c>
      <c r="V729" s="2" t="s">
        <v>499</v>
      </c>
      <c r="W729" s="2">
        <f t="shared" si="101"/>
        <v>48</v>
      </c>
    </row>
    <row r="730" spans="1:25">
      <c r="A730" s="4">
        <v>1704</v>
      </c>
      <c r="B730" s="7" t="str">
        <f>VLOOKUP($A730,SkillEnum!$A$2:$C$1020,2,FALSE)</f>
        <v>SI_A_ADM_MANA_INTAKE</v>
      </c>
      <c r="C730" s="7">
        <v>6</v>
      </c>
      <c r="D730" s="2" t="str">
        <f>VLOOKUP($C730,SkillEnum!$D$2:$E$10,2,FALSE)</f>
        <v>ST_ACTIVE</v>
      </c>
      <c r="E730" s="7" t="str">
        <f>VLOOKUP($A730,SkillEnum!$A$2:$C$1020,3,FALSE)</f>
        <v>마나 인테이크</v>
      </c>
      <c r="F730" s="7" t="str">
        <f t="shared" si="99"/>
        <v>반경 3M 이내에 있는 최대 2명의 적으로 부터 MP를 54 씩 흡수 한다.</v>
      </c>
      <c r="G730" s="2">
        <v>9</v>
      </c>
      <c r="H730" s="2">
        <v>1</v>
      </c>
      <c r="I730" s="2">
        <v>10</v>
      </c>
      <c r="J730" s="2">
        <v>27</v>
      </c>
      <c r="K730" s="2">
        <v>0</v>
      </c>
      <c r="L730" s="2">
        <v>0</v>
      </c>
      <c r="M730" s="2">
        <v>0</v>
      </c>
      <c r="N730" s="2">
        <v>0</v>
      </c>
      <c r="O730" s="2">
        <v>0</v>
      </c>
      <c r="P730" s="2" t="s">
        <v>437</v>
      </c>
      <c r="Q730" s="2" t="str">
        <f t="shared" si="100"/>
        <v>SI_A_ADM_MANA_INTAKE</v>
      </c>
      <c r="R730" s="2" t="b">
        <v>0</v>
      </c>
      <c r="S730" s="2" t="b">
        <v>1</v>
      </c>
      <c r="T730" s="2">
        <v>1</v>
      </c>
      <c r="U730" s="2" t="b">
        <v>1</v>
      </c>
      <c r="V730" s="2" t="s">
        <v>499</v>
      </c>
      <c r="W730" s="2">
        <f t="shared" si="101"/>
        <v>54</v>
      </c>
    </row>
    <row r="731" spans="1:25" s="5" customFormat="1">
      <c r="A731" s="6">
        <v>1704</v>
      </c>
      <c r="B731" s="8" t="str">
        <f>VLOOKUP($A731,SkillEnum!$A$2:$C$1020,2,FALSE)</f>
        <v>SI_A_ADM_MANA_INTAKE</v>
      </c>
      <c r="C731" s="8">
        <v>6</v>
      </c>
      <c r="D731" s="5" t="str">
        <f>VLOOKUP($C731,SkillEnum!$D$2:$E$10,2,FALSE)</f>
        <v>ST_ACTIVE</v>
      </c>
      <c r="E731" s="8" t="str">
        <f>VLOOKUP($A731,SkillEnum!$A$2:$C$1020,3,FALSE)</f>
        <v>마나 인테이크</v>
      </c>
      <c r="F731" s="8" t="str">
        <f t="shared" si="99"/>
        <v>반경 3M 이내에 있는 최대 2명의 적으로 부터 MP를 60 씩 흡수 한다.</v>
      </c>
      <c r="G731" s="5">
        <v>10</v>
      </c>
      <c r="H731" s="5">
        <v>1</v>
      </c>
      <c r="I731" s="5">
        <v>10</v>
      </c>
      <c r="J731" s="5">
        <v>30</v>
      </c>
      <c r="K731" s="5">
        <v>0</v>
      </c>
      <c r="L731" s="5">
        <v>0</v>
      </c>
      <c r="M731" s="5">
        <v>0</v>
      </c>
      <c r="N731" s="5">
        <v>0</v>
      </c>
      <c r="O731" s="5">
        <v>0</v>
      </c>
      <c r="P731" s="2" t="s">
        <v>437</v>
      </c>
      <c r="Q731" s="2" t="str">
        <f t="shared" si="100"/>
        <v>SI_A_ADM_MANA_INTAKE</v>
      </c>
      <c r="R731" s="5" t="b">
        <v>0</v>
      </c>
      <c r="S731" s="2" t="b">
        <v>1</v>
      </c>
      <c r="T731" s="2">
        <v>1</v>
      </c>
      <c r="U731" s="2" t="b">
        <v>1</v>
      </c>
      <c r="V731" s="5" t="s">
        <v>499</v>
      </c>
      <c r="W731" s="5">
        <f t="shared" si="101"/>
        <v>60</v>
      </c>
    </row>
    <row r="732" spans="1:25" s="10" customFormat="1">
      <c r="A732" s="9">
        <v>1900</v>
      </c>
      <c r="B732" s="11" t="str">
        <f>VLOOKUP($A732,SkillEnum!$A$2:$C$1020,2,FALSE)</f>
        <v>SI_P_AV_TELEPORT_UP</v>
      </c>
      <c r="C732" s="11">
        <v>8</v>
      </c>
      <c r="D732" s="10" t="str">
        <f>VLOOKUP($C732,SkillEnum!$D$2:$E$10,2,FALSE)</f>
        <v>ST_PASSIVE</v>
      </c>
      <c r="E732" s="11" t="str">
        <f>VLOOKUP($A732,SkillEnum!$A$2:$C$1020,3,FALSE)</f>
        <v>텔레포트 연마</v>
      </c>
      <c r="F732" s="11" t="str">
        <f t="shared" ref="F732:F741" si="102">"텔레포트에 소모되는 MP의 량이 "&amp;ROUND((1-Y732)*100,0)&amp;" % 감소한다."</f>
        <v>텔레포트에 소모되는 MP의 량이 10 % 감소한다.</v>
      </c>
      <c r="G732" s="10">
        <v>1</v>
      </c>
      <c r="H732" s="2">
        <v>1</v>
      </c>
      <c r="I732" s="2">
        <v>0</v>
      </c>
      <c r="J732" s="10">
        <v>0</v>
      </c>
      <c r="K732" s="2">
        <v>0</v>
      </c>
      <c r="L732" s="2">
        <v>0</v>
      </c>
      <c r="M732" s="2">
        <v>0</v>
      </c>
      <c r="N732" s="2">
        <v>0</v>
      </c>
      <c r="O732" s="2">
        <v>0</v>
      </c>
      <c r="P732" s="2" t="s">
        <v>437</v>
      </c>
      <c r="Q732" s="2" t="str">
        <f t="shared" si="96"/>
        <v>SI_P_AV_TELEPORT_UP</v>
      </c>
      <c r="R732" s="2" t="b">
        <v>0</v>
      </c>
      <c r="S732" s="2" t="b">
        <v>1</v>
      </c>
      <c r="T732" s="2">
        <v>0</v>
      </c>
      <c r="U732" s="2"/>
      <c r="V732" s="10" t="s">
        <v>144</v>
      </c>
      <c r="W732" s="10">
        <v>1700</v>
      </c>
      <c r="X732" s="1" t="s">
        <v>270</v>
      </c>
      <c r="Y732" s="10">
        <v>0.9</v>
      </c>
    </row>
    <row r="733" spans="1:25">
      <c r="A733" s="4">
        <v>1900</v>
      </c>
      <c r="B733" s="7" t="str">
        <f>VLOOKUP($A733,SkillEnum!$A$2:$C$1020,2,FALSE)</f>
        <v>SI_P_AV_TELEPORT_UP</v>
      </c>
      <c r="C733" s="7">
        <v>8</v>
      </c>
      <c r="D733" s="2" t="str">
        <f>VLOOKUP($C733,SkillEnum!$D$2:$E$10,2,FALSE)</f>
        <v>ST_PASSIVE</v>
      </c>
      <c r="E733" s="7" t="str">
        <f>VLOOKUP($A733,SkillEnum!$A$2:$C$1020,3,FALSE)</f>
        <v>텔레포트 연마</v>
      </c>
      <c r="F733" s="7" t="str">
        <f t="shared" si="102"/>
        <v>텔레포트에 소모되는 MP의 량이 20 % 감소한다.</v>
      </c>
      <c r="G733" s="2">
        <v>2</v>
      </c>
      <c r="H733" s="2">
        <v>1</v>
      </c>
      <c r="I733" s="2">
        <v>0</v>
      </c>
      <c r="J733" s="2">
        <v>0</v>
      </c>
      <c r="K733" s="2">
        <v>0</v>
      </c>
      <c r="L733" s="2">
        <v>0</v>
      </c>
      <c r="M733" s="2">
        <v>0</v>
      </c>
      <c r="N733" s="2">
        <v>0</v>
      </c>
      <c r="O733" s="2">
        <v>0</v>
      </c>
      <c r="P733" s="2" t="s">
        <v>437</v>
      </c>
      <c r="Q733" s="2" t="str">
        <f t="shared" si="96"/>
        <v>SI_P_AV_TELEPORT_UP</v>
      </c>
      <c r="R733" s="2" t="b">
        <v>0</v>
      </c>
      <c r="S733" s="2" t="b">
        <v>1</v>
      </c>
      <c r="T733" s="2">
        <v>0</v>
      </c>
      <c r="V733" s="2" t="s">
        <v>144</v>
      </c>
      <c r="W733" s="2">
        <v>1700</v>
      </c>
      <c r="X733" s="2" t="s">
        <v>270</v>
      </c>
      <c r="Y733" s="2">
        <v>0.8</v>
      </c>
    </row>
    <row r="734" spans="1:25">
      <c r="A734" s="4">
        <v>1900</v>
      </c>
      <c r="B734" s="7" t="str">
        <f>VLOOKUP($A734,SkillEnum!$A$2:$C$1020,2,FALSE)</f>
        <v>SI_P_AV_TELEPORT_UP</v>
      </c>
      <c r="C734" s="7">
        <v>8</v>
      </c>
      <c r="D734" s="2" t="str">
        <f>VLOOKUP($C734,SkillEnum!$D$2:$E$10,2,FALSE)</f>
        <v>ST_PASSIVE</v>
      </c>
      <c r="E734" s="7" t="str">
        <f>VLOOKUP($A734,SkillEnum!$A$2:$C$1020,3,FALSE)</f>
        <v>텔레포트 연마</v>
      </c>
      <c r="F734" s="7" t="str">
        <f t="shared" si="102"/>
        <v>텔레포트에 소모되는 MP의 량이 30 % 감소한다.</v>
      </c>
      <c r="G734" s="2">
        <v>3</v>
      </c>
      <c r="H734" s="2">
        <v>1</v>
      </c>
      <c r="I734" s="2">
        <v>0</v>
      </c>
      <c r="J734" s="2">
        <v>0</v>
      </c>
      <c r="K734" s="2">
        <v>0</v>
      </c>
      <c r="L734" s="2">
        <v>0</v>
      </c>
      <c r="M734" s="2">
        <v>0</v>
      </c>
      <c r="N734" s="2">
        <v>0</v>
      </c>
      <c r="O734" s="2">
        <v>0</v>
      </c>
      <c r="P734" s="2" t="s">
        <v>437</v>
      </c>
      <c r="Q734" s="2" t="str">
        <f t="shared" si="96"/>
        <v>SI_P_AV_TELEPORT_UP</v>
      </c>
      <c r="R734" s="2" t="b">
        <v>0</v>
      </c>
      <c r="S734" s="2" t="b">
        <v>1</v>
      </c>
      <c r="T734" s="2">
        <v>0</v>
      </c>
      <c r="V734" s="2" t="s">
        <v>144</v>
      </c>
      <c r="W734" s="2">
        <v>1700</v>
      </c>
      <c r="X734" s="2" t="s">
        <v>270</v>
      </c>
      <c r="Y734" s="2">
        <v>0.7</v>
      </c>
    </row>
    <row r="735" spans="1:25">
      <c r="A735" s="4">
        <v>1900</v>
      </c>
      <c r="B735" s="7" t="str">
        <f>VLOOKUP($A735,SkillEnum!$A$2:$C$1020,2,FALSE)</f>
        <v>SI_P_AV_TELEPORT_UP</v>
      </c>
      <c r="C735" s="7">
        <v>8</v>
      </c>
      <c r="D735" s="2" t="str">
        <f>VLOOKUP($C735,SkillEnum!$D$2:$E$10,2,FALSE)</f>
        <v>ST_PASSIVE</v>
      </c>
      <c r="E735" s="7" t="str">
        <f>VLOOKUP($A735,SkillEnum!$A$2:$C$1020,3,FALSE)</f>
        <v>텔레포트 연마</v>
      </c>
      <c r="F735" s="7" t="str">
        <f t="shared" si="102"/>
        <v>텔레포트에 소모되는 MP의 량이 40 % 감소한다.</v>
      </c>
      <c r="G735" s="2">
        <v>4</v>
      </c>
      <c r="H735" s="2">
        <v>1</v>
      </c>
      <c r="I735" s="2">
        <v>0</v>
      </c>
      <c r="J735" s="2">
        <v>0</v>
      </c>
      <c r="K735" s="2">
        <v>0</v>
      </c>
      <c r="L735" s="2">
        <v>0</v>
      </c>
      <c r="M735" s="2">
        <v>0</v>
      </c>
      <c r="N735" s="2">
        <v>0</v>
      </c>
      <c r="O735" s="2">
        <v>0</v>
      </c>
      <c r="P735" s="2" t="s">
        <v>437</v>
      </c>
      <c r="Q735" s="2" t="str">
        <f t="shared" si="96"/>
        <v>SI_P_AV_TELEPORT_UP</v>
      </c>
      <c r="R735" s="2" t="b">
        <v>0</v>
      </c>
      <c r="S735" s="2" t="b">
        <v>1</v>
      </c>
      <c r="T735" s="2">
        <v>0</v>
      </c>
      <c r="V735" s="2" t="s">
        <v>144</v>
      </c>
      <c r="W735" s="2">
        <v>1700</v>
      </c>
      <c r="X735" s="2" t="s">
        <v>270</v>
      </c>
      <c r="Y735" s="2">
        <v>0.6</v>
      </c>
    </row>
    <row r="736" spans="1:25">
      <c r="A736" s="4">
        <v>1900</v>
      </c>
      <c r="B736" s="7" t="str">
        <f>VLOOKUP($A736,SkillEnum!$A$2:$C$1020,2,FALSE)</f>
        <v>SI_P_AV_TELEPORT_UP</v>
      </c>
      <c r="C736" s="7">
        <v>8</v>
      </c>
      <c r="D736" s="2" t="str">
        <f>VLOOKUP($C736,SkillEnum!$D$2:$E$10,2,FALSE)</f>
        <v>ST_PASSIVE</v>
      </c>
      <c r="E736" s="7" t="str">
        <f>VLOOKUP($A736,SkillEnum!$A$2:$C$1020,3,FALSE)</f>
        <v>텔레포트 연마</v>
      </c>
      <c r="F736" s="7" t="str">
        <f t="shared" si="102"/>
        <v>텔레포트에 소모되는 MP의 량이 50 % 감소한다.</v>
      </c>
      <c r="G736" s="2">
        <v>5</v>
      </c>
      <c r="H736" s="2">
        <v>1</v>
      </c>
      <c r="I736" s="2">
        <v>0</v>
      </c>
      <c r="J736" s="2">
        <v>0</v>
      </c>
      <c r="K736" s="2">
        <v>0</v>
      </c>
      <c r="L736" s="2">
        <v>0</v>
      </c>
      <c r="M736" s="2">
        <v>0</v>
      </c>
      <c r="N736" s="2">
        <v>0</v>
      </c>
      <c r="O736" s="2">
        <v>0</v>
      </c>
      <c r="P736" s="2" t="s">
        <v>437</v>
      </c>
      <c r="Q736" s="2" t="str">
        <f t="shared" si="96"/>
        <v>SI_P_AV_TELEPORT_UP</v>
      </c>
      <c r="R736" s="2" t="b">
        <v>0</v>
      </c>
      <c r="S736" s="2" t="b">
        <v>1</v>
      </c>
      <c r="T736" s="2">
        <v>0</v>
      </c>
      <c r="V736" s="2" t="s">
        <v>144</v>
      </c>
      <c r="W736" s="2">
        <v>1700</v>
      </c>
      <c r="X736" s="2" t="s">
        <v>270</v>
      </c>
      <c r="Y736" s="2">
        <v>0.5</v>
      </c>
    </row>
    <row r="737" spans="1:25">
      <c r="A737" s="4">
        <v>1900</v>
      </c>
      <c r="B737" s="7" t="str">
        <f>VLOOKUP($A737,SkillEnum!$A$2:$C$1020,2,FALSE)</f>
        <v>SI_P_AV_TELEPORT_UP</v>
      </c>
      <c r="C737" s="7">
        <v>8</v>
      </c>
      <c r="D737" s="2" t="str">
        <f>VLOOKUP($C737,SkillEnum!$D$2:$E$10,2,FALSE)</f>
        <v>ST_PASSIVE</v>
      </c>
      <c r="E737" s="7" t="str">
        <f>VLOOKUP($A737,SkillEnum!$A$2:$C$1020,3,FALSE)</f>
        <v>텔레포트 연마</v>
      </c>
      <c r="F737" s="7" t="str">
        <f t="shared" si="102"/>
        <v>텔레포트에 소모되는 MP의 량이 60 % 감소한다.</v>
      </c>
      <c r="G737" s="2">
        <v>6</v>
      </c>
      <c r="H737" s="2">
        <v>1</v>
      </c>
      <c r="I737" s="2">
        <v>0</v>
      </c>
      <c r="J737" s="2">
        <v>0</v>
      </c>
      <c r="K737" s="2">
        <v>0</v>
      </c>
      <c r="L737" s="2">
        <v>0</v>
      </c>
      <c r="M737" s="2">
        <v>0</v>
      </c>
      <c r="N737" s="2">
        <v>0</v>
      </c>
      <c r="O737" s="2">
        <v>0</v>
      </c>
      <c r="P737" s="2" t="s">
        <v>437</v>
      </c>
      <c r="Q737" s="2" t="str">
        <f t="shared" si="96"/>
        <v>SI_P_AV_TELEPORT_UP</v>
      </c>
      <c r="R737" s="2" t="b">
        <v>0</v>
      </c>
      <c r="S737" s="2" t="b">
        <v>1</v>
      </c>
      <c r="T737" s="2">
        <v>0</v>
      </c>
      <c r="V737" s="2" t="s">
        <v>144</v>
      </c>
      <c r="W737" s="2">
        <v>1700</v>
      </c>
      <c r="X737" s="2" t="s">
        <v>270</v>
      </c>
      <c r="Y737" s="2">
        <v>0.4</v>
      </c>
    </row>
    <row r="738" spans="1:25">
      <c r="A738" s="4">
        <v>1900</v>
      </c>
      <c r="B738" s="7" t="str">
        <f>VLOOKUP($A738,SkillEnum!$A$2:$C$1020,2,FALSE)</f>
        <v>SI_P_AV_TELEPORT_UP</v>
      </c>
      <c r="C738" s="7">
        <v>8</v>
      </c>
      <c r="D738" s="2" t="str">
        <f>VLOOKUP($C738,SkillEnum!$D$2:$E$10,2,FALSE)</f>
        <v>ST_PASSIVE</v>
      </c>
      <c r="E738" s="7" t="str">
        <f>VLOOKUP($A738,SkillEnum!$A$2:$C$1020,3,FALSE)</f>
        <v>텔레포트 연마</v>
      </c>
      <c r="F738" s="7" t="str">
        <f t="shared" si="102"/>
        <v>텔레포트에 소모되는 MP의 량이 70 % 감소한다.</v>
      </c>
      <c r="G738" s="2">
        <v>7</v>
      </c>
      <c r="H738" s="2">
        <v>1</v>
      </c>
      <c r="I738" s="2">
        <v>0</v>
      </c>
      <c r="J738" s="2">
        <v>0</v>
      </c>
      <c r="K738" s="2">
        <v>0</v>
      </c>
      <c r="L738" s="2">
        <v>0</v>
      </c>
      <c r="M738" s="2">
        <v>0</v>
      </c>
      <c r="N738" s="2">
        <v>0</v>
      </c>
      <c r="O738" s="2">
        <v>0</v>
      </c>
      <c r="P738" s="2" t="s">
        <v>437</v>
      </c>
      <c r="Q738" s="2" t="str">
        <f t="shared" si="96"/>
        <v>SI_P_AV_TELEPORT_UP</v>
      </c>
      <c r="R738" s="2" t="b">
        <v>0</v>
      </c>
      <c r="S738" s="2" t="b">
        <v>1</v>
      </c>
      <c r="T738" s="2">
        <v>0</v>
      </c>
      <c r="V738" s="2" t="s">
        <v>144</v>
      </c>
      <c r="W738" s="2">
        <v>1700</v>
      </c>
      <c r="X738" s="2" t="s">
        <v>270</v>
      </c>
      <c r="Y738" s="2">
        <v>0.3</v>
      </c>
    </row>
    <row r="739" spans="1:25">
      <c r="A739" s="4">
        <v>1900</v>
      </c>
      <c r="B739" s="7" t="str">
        <f>VLOOKUP($A739,SkillEnum!$A$2:$C$1020,2,FALSE)</f>
        <v>SI_P_AV_TELEPORT_UP</v>
      </c>
      <c r="C739" s="7">
        <v>8</v>
      </c>
      <c r="D739" s="2" t="str">
        <f>VLOOKUP($C739,SkillEnum!$D$2:$E$10,2,FALSE)</f>
        <v>ST_PASSIVE</v>
      </c>
      <c r="E739" s="7" t="str">
        <f>VLOOKUP($A739,SkillEnum!$A$2:$C$1020,3,FALSE)</f>
        <v>텔레포트 연마</v>
      </c>
      <c r="F739" s="7" t="str">
        <f t="shared" si="102"/>
        <v>텔레포트에 소모되는 MP의 량이 80 % 감소한다.</v>
      </c>
      <c r="G739" s="2">
        <v>8</v>
      </c>
      <c r="H739" s="2">
        <v>1</v>
      </c>
      <c r="I739" s="2">
        <v>0</v>
      </c>
      <c r="J739" s="2">
        <v>0</v>
      </c>
      <c r="K739" s="2">
        <v>0</v>
      </c>
      <c r="L739" s="2">
        <v>0</v>
      </c>
      <c r="M739" s="2">
        <v>0</v>
      </c>
      <c r="N739" s="2">
        <v>0</v>
      </c>
      <c r="O739" s="2">
        <v>0</v>
      </c>
      <c r="P739" s="2" t="s">
        <v>437</v>
      </c>
      <c r="Q739" s="2" t="str">
        <f t="shared" si="96"/>
        <v>SI_P_AV_TELEPORT_UP</v>
      </c>
      <c r="R739" s="2" t="b">
        <v>0</v>
      </c>
      <c r="S739" s="2" t="b">
        <v>1</v>
      </c>
      <c r="T739" s="2">
        <v>0</v>
      </c>
      <c r="V739" s="2" t="s">
        <v>144</v>
      </c>
      <c r="W739" s="2">
        <v>1700</v>
      </c>
      <c r="X739" s="2" t="s">
        <v>270</v>
      </c>
      <c r="Y739" s="2">
        <v>0.2</v>
      </c>
    </row>
    <row r="740" spans="1:25">
      <c r="A740" s="4">
        <v>1900</v>
      </c>
      <c r="B740" s="7" t="str">
        <f>VLOOKUP($A740,SkillEnum!$A$2:$C$1020,2,FALSE)</f>
        <v>SI_P_AV_TELEPORT_UP</v>
      </c>
      <c r="C740" s="7">
        <v>8</v>
      </c>
      <c r="D740" s="2" t="str">
        <f>VLOOKUP($C740,SkillEnum!$D$2:$E$10,2,FALSE)</f>
        <v>ST_PASSIVE</v>
      </c>
      <c r="E740" s="7" t="str">
        <f>VLOOKUP($A740,SkillEnum!$A$2:$C$1020,3,FALSE)</f>
        <v>텔레포트 연마</v>
      </c>
      <c r="F740" s="7" t="str">
        <f t="shared" si="102"/>
        <v>텔레포트에 소모되는 MP의 량이 90 % 감소한다.</v>
      </c>
      <c r="G740" s="2">
        <v>9</v>
      </c>
      <c r="H740" s="2">
        <v>1</v>
      </c>
      <c r="I740" s="2">
        <v>0</v>
      </c>
      <c r="J740" s="2">
        <v>0</v>
      </c>
      <c r="K740" s="2">
        <v>0</v>
      </c>
      <c r="L740" s="2">
        <v>0</v>
      </c>
      <c r="M740" s="2">
        <v>0</v>
      </c>
      <c r="N740" s="2">
        <v>0</v>
      </c>
      <c r="O740" s="2">
        <v>0</v>
      </c>
      <c r="P740" s="2" t="s">
        <v>437</v>
      </c>
      <c r="Q740" s="2" t="str">
        <f t="shared" si="96"/>
        <v>SI_P_AV_TELEPORT_UP</v>
      </c>
      <c r="R740" s="2" t="b">
        <v>0</v>
      </c>
      <c r="S740" s="2" t="b">
        <v>1</v>
      </c>
      <c r="T740" s="2">
        <v>0</v>
      </c>
      <c r="V740" s="2" t="s">
        <v>144</v>
      </c>
      <c r="W740" s="2">
        <v>1700</v>
      </c>
      <c r="X740" s="2" t="s">
        <v>270</v>
      </c>
      <c r="Y740" s="2">
        <v>0.1</v>
      </c>
    </row>
    <row r="741" spans="1:25" s="5" customFormat="1">
      <c r="A741" s="6">
        <v>1900</v>
      </c>
      <c r="B741" s="8" t="str">
        <f>VLOOKUP($A741,SkillEnum!$A$2:$C$1020,2,FALSE)</f>
        <v>SI_P_AV_TELEPORT_UP</v>
      </c>
      <c r="C741" s="8">
        <v>8</v>
      </c>
      <c r="D741" s="5" t="str">
        <f>VLOOKUP($C741,SkillEnum!$D$2:$E$10,2,FALSE)</f>
        <v>ST_PASSIVE</v>
      </c>
      <c r="E741" s="8" t="str">
        <f>VLOOKUP($A741,SkillEnum!$A$2:$C$1020,3,FALSE)</f>
        <v>텔레포트 연마</v>
      </c>
      <c r="F741" s="8" t="str">
        <f t="shared" si="102"/>
        <v>텔레포트에 소모되는 MP의 량이 100 % 감소한다.</v>
      </c>
      <c r="G741" s="5">
        <v>10</v>
      </c>
      <c r="H741" s="5">
        <v>1</v>
      </c>
      <c r="I741" s="5">
        <v>0</v>
      </c>
      <c r="J741" s="5">
        <v>0</v>
      </c>
      <c r="K741" s="5">
        <v>0</v>
      </c>
      <c r="L741" s="5">
        <v>0</v>
      </c>
      <c r="M741" s="5">
        <v>0</v>
      </c>
      <c r="N741" s="5">
        <v>0</v>
      </c>
      <c r="O741" s="5">
        <v>0</v>
      </c>
      <c r="P741" s="2" t="s">
        <v>437</v>
      </c>
      <c r="Q741" s="2" t="str">
        <f t="shared" si="96"/>
        <v>SI_P_AV_TELEPORT_UP</v>
      </c>
      <c r="R741" s="5" t="b">
        <v>0</v>
      </c>
      <c r="S741" s="2" t="b">
        <v>1</v>
      </c>
      <c r="T741" s="2">
        <v>0</v>
      </c>
      <c r="U741" s="2"/>
      <c r="V741" s="5" t="s">
        <v>144</v>
      </c>
      <c r="W741" s="5">
        <v>1700</v>
      </c>
      <c r="X741" s="5" t="s">
        <v>270</v>
      </c>
      <c r="Y741" s="5">
        <v>0</v>
      </c>
    </row>
    <row r="742" spans="1:25" s="10" customFormat="1">
      <c r="A742" s="9">
        <v>1901</v>
      </c>
      <c r="B742" s="11" t="str">
        <f>VLOOKUP($A742,SkillEnum!$A$2:$C$1020,2,FALSE)</f>
        <v>SI_P_AV_FIREBALL_UP</v>
      </c>
      <c r="C742" s="11">
        <v>8</v>
      </c>
      <c r="D742" s="10" t="str">
        <f>VLOOKUP($C742,SkillEnum!$D$2:$E$10,2,FALSE)</f>
        <v>ST_PASSIVE</v>
      </c>
      <c r="E742" s="11" t="str">
        <f>VLOOKUP($A742,SkillEnum!$A$2:$C$1020,3,FALSE)</f>
        <v>파이어볼 연마</v>
      </c>
      <c r="F742" s="11" t="str">
        <f t="shared" ref="F742:F751" si="103">"파이어볼에 소모되는 마나가 "&amp;ROUND((1-W742)*100,0)&amp;" % 줄어들고 파이어볼의 사정거리가 "&amp;ROUND((Y742-1)*100,0)&amp;" % 증가 한다."</f>
        <v>파이어볼에 소모되는 마나가 5 % 줄어들고 파이어볼의 사정거리가 10 % 증가 한다.</v>
      </c>
      <c r="G742" s="10">
        <v>1</v>
      </c>
      <c r="H742" s="2">
        <v>1</v>
      </c>
      <c r="I742" s="2">
        <v>0</v>
      </c>
      <c r="J742" s="10">
        <v>0</v>
      </c>
      <c r="K742" s="2">
        <v>0</v>
      </c>
      <c r="L742" s="2">
        <v>0</v>
      </c>
      <c r="M742" s="2">
        <v>0</v>
      </c>
      <c r="N742" s="2">
        <v>0</v>
      </c>
      <c r="O742" s="2">
        <v>0</v>
      </c>
      <c r="P742" s="2" t="s">
        <v>438</v>
      </c>
      <c r="Q742" s="2" t="str">
        <f t="shared" si="96"/>
        <v>SI_P_AV_FIREBALL_UP</v>
      </c>
      <c r="R742" s="2" t="b">
        <v>0</v>
      </c>
      <c r="S742" s="2" t="b">
        <v>1</v>
      </c>
      <c r="T742" s="2">
        <v>0</v>
      </c>
      <c r="U742" s="2"/>
      <c r="V742" s="10" t="s">
        <v>270</v>
      </c>
      <c r="W742" s="10">
        <v>0.95</v>
      </c>
      <c r="X742" s="1" t="s">
        <v>172</v>
      </c>
      <c r="Y742" s="10">
        <v>1.1000000000000001</v>
      </c>
    </row>
    <row r="743" spans="1:25">
      <c r="A743" s="4">
        <v>1901</v>
      </c>
      <c r="B743" s="7" t="str">
        <f>VLOOKUP($A743,SkillEnum!$A$2:$C$1020,2,FALSE)</f>
        <v>SI_P_AV_FIREBALL_UP</v>
      </c>
      <c r="C743" s="7">
        <v>8</v>
      </c>
      <c r="D743" s="2" t="str">
        <f>VLOOKUP($C743,SkillEnum!$D$2:$E$10,2,FALSE)</f>
        <v>ST_PASSIVE</v>
      </c>
      <c r="E743" s="7" t="str">
        <f>VLOOKUP($A743,SkillEnum!$A$2:$C$1020,3,FALSE)</f>
        <v>파이어볼 연마</v>
      </c>
      <c r="F743" s="7" t="str">
        <f t="shared" si="103"/>
        <v>파이어볼에 소모되는 마나가 10 % 줄어들고 파이어볼의 사정거리가 20 % 증가 한다.</v>
      </c>
      <c r="G743" s="2">
        <v>2</v>
      </c>
      <c r="H743" s="2">
        <v>1</v>
      </c>
      <c r="I743" s="2">
        <v>0</v>
      </c>
      <c r="J743" s="2">
        <v>0</v>
      </c>
      <c r="K743" s="2">
        <v>0</v>
      </c>
      <c r="L743" s="2">
        <v>0</v>
      </c>
      <c r="M743" s="2">
        <v>0</v>
      </c>
      <c r="N743" s="2">
        <v>0</v>
      </c>
      <c r="O743" s="2">
        <v>0</v>
      </c>
      <c r="P743" s="2" t="s">
        <v>438</v>
      </c>
      <c r="Q743" s="2" t="str">
        <f t="shared" si="96"/>
        <v>SI_P_AV_FIREBALL_UP</v>
      </c>
      <c r="R743" s="2" t="b">
        <v>0</v>
      </c>
      <c r="S743" s="2" t="b">
        <v>1</v>
      </c>
      <c r="T743" s="2">
        <v>0</v>
      </c>
      <c r="V743" s="2" t="s">
        <v>270</v>
      </c>
      <c r="W743" s="2">
        <v>0.9</v>
      </c>
      <c r="X743" s="2" t="s">
        <v>172</v>
      </c>
      <c r="Y743" s="2">
        <v>1.2</v>
      </c>
    </row>
    <row r="744" spans="1:25">
      <c r="A744" s="4">
        <v>1901</v>
      </c>
      <c r="B744" s="7" t="str">
        <f>VLOOKUP($A744,SkillEnum!$A$2:$C$1020,2,FALSE)</f>
        <v>SI_P_AV_FIREBALL_UP</v>
      </c>
      <c r="C744" s="7">
        <v>8</v>
      </c>
      <c r="D744" s="2" t="str">
        <f>VLOOKUP($C744,SkillEnum!$D$2:$E$10,2,FALSE)</f>
        <v>ST_PASSIVE</v>
      </c>
      <c r="E744" s="7" t="str">
        <f>VLOOKUP($A744,SkillEnum!$A$2:$C$1020,3,FALSE)</f>
        <v>파이어볼 연마</v>
      </c>
      <c r="F744" s="7" t="str">
        <f t="shared" si="103"/>
        <v>파이어볼에 소모되는 마나가 15 % 줄어들고 파이어볼의 사정거리가 30 % 증가 한다.</v>
      </c>
      <c r="G744" s="2">
        <v>3</v>
      </c>
      <c r="H744" s="2">
        <v>1</v>
      </c>
      <c r="I744" s="2">
        <v>0</v>
      </c>
      <c r="J744" s="2">
        <v>0</v>
      </c>
      <c r="K744" s="2">
        <v>0</v>
      </c>
      <c r="L744" s="2">
        <v>0</v>
      </c>
      <c r="M744" s="2">
        <v>0</v>
      </c>
      <c r="N744" s="2">
        <v>0</v>
      </c>
      <c r="O744" s="2">
        <v>0</v>
      </c>
      <c r="P744" s="2" t="s">
        <v>438</v>
      </c>
      <c r="Q744" s="2" t="str">
        <f t="shared" si="96"/>
        <v>SI_P_AV_FIREBALL_UP</v>
      </c>
      <c r="R744" s="2" t="b">
        <v>0</v>
      </c>
      <c r="S744" s="2" t="b">
        <v>1</v>
      </c>
      <c r="T744" s="2">
        <v>0</v>
      </c>
      <c r="V744" s="2" t="s">
        <v>270</v>
      </c>
      <c r="W744" s="2">
        <v>0.85</v>
      </c>
      <c r="X744" s="2" t="s">
        <v>172</v>
      </c>
      <c r="Y744" s="2">
        <v>1.3</v>
      </c>
    </row>
    <row r="745" spans="1:25">
      <c r="A745" s="4">
        <v>1901</v>
      </c>
      <c r="B745" s="7" t="str">
        <f>VLOOKUP($A745,SkillEnum!$A$2:$C$1020,2,FALSE)</f>
        <v>SI_P_AV_FIREBALL_UP</v>
      </c>
      <c r="C745" s="7">
        <v>8</v>
      </c>
      <c r="D745" s="2" t="str">
        <f>VLOOKUP($C745,SkillEnum!$D$2:$E$10,2,FALSE)</f>
        <v>ST_PASSIVE</v>
      </c>
      <c r="E745" s="7" t="str">
        <f>VLOOKUP($A745,SkillEnum!$A$2:$C$1020,3,FALSE)</f>
        <v>파이어볼 연마</v>
      </c>
      <c r="F745" s="7" t="str">
        <f t="shared" si="103"/>
        <v>파이어볼에 소모되는 마나가 20 % 줄어들고 파이어볼의 사정거리가 40 % 증가 한다.</v>
      </c>
      <c r="G745" s="2">
        <v>4</v>
      </c>
      <c r="H745" s="2">
        <v>1</v>
      </c>
      <c r="I745" s="2">
        <v>0</v>
      </c>
      <c r="J745" s="2">
        <v>0</v>
      </c>
      <c r="K745" s="2">
        <v>0</v>
      </c>
      <c r="L745" s="2">
        <v>0</v>
      </c>
      <c r="M745" s="2">
        <v>0</v>
      </c>
      <c r="N745" s="2">
        <v>0</v>
      </c>
      <c r="O745" s="2">
        <v>0</v>
      </c>
      <c r="P745" s="2" t="s">
        <v>438</v>
      </c>
      <c r="Q745" s="2" t="str">
        <f t="shared" si="96"/>
        <v>SI_P_AV_FIREBALL_UP</v>
      </c>
      <c r="R745" s="2" t="b">
        <v>0</v>
      </c>
      <c r="S745" s="2" t="b">
        <v>1</v>
      </c>
      <c r="T745" s="2">
        <v>0</v>
      </c>
      <c r="V745" s="2" t="s">
        <v>270</v>
      </c>
      <c r="W745" s="2">
        <v>0.8</v>
      </c>
      <c r="X745" s="2" t="s">
        <v>172</v>
      </c>
      <c r="Y745" s="2">
        <v>1.4</v>
      </c>
    </row>
    <row r="746" spans="1:25">
      <c r="A746" s="4">
        <v>1901</v>
      </c>
      <c r="B746" s="7" t="str">
        <f>VLOOKUP($A746,SkillEnum!$A$2:$C$1020,2,FALSE)</f>
        <v>SI_P_AV_FIREBALL_UP</v>
      </c>
      <c r="C746" s="7">
        <v>8</v>
      </c>
      <c r="D746" s="2" t="str">
        <f>VLOOKUP($C746,SkillEnum!$D$2:$E$10,2,FALSE)</f>
        <v>ST_PASSIVE</v>
      </c>
      <c r="E746" s="7" t="str">
        <f>VLOOKUP($A746,SkillEnum!$A$2:$C$1020,3,FALSE)</f>
        <v>파이어볼 연마</v>
      </c>
      <c r="F746" s="7" t="str">
        <f t="shared" si="103"/>
        <v>파이어볼에 소모되는 마나가 25 % 줄어들고 파이어볼의 사정거리가 50 % 증가 한다.</v>
      </c>
      <c r="G746" s="2">
        <v>5</v>
      </c>
      <c r="H746" s="2">
        <v>1</v>
      </c>
      <c r="I746" s="2">
        <v>0</v>
      </c>
      <c r="J746" s="2">
        <v>0</v>
      </c>
      <c r="K746" s="2">
        <v>0</v>
      </c>
      <c r="L746" s="2">
        <v>0</v>
      </c>
      <c r="M746" s="2">
        <v>0</v>
      </c>
      <c r="N746" s="2">
        <v>0</v>
      </c>
      <c r="O746" s="2">
        <v>0</v>
      </c>
      <c r="P746" s="2" t="s">
        <v>438</v>
      </c>
      <c r="Q746" s="2" t="str">
        <f t="shared" si="96"/>
        <v>SI_P_AV_FIREBALL_UP</v>
      </c>
      <c r="R746" s="2" t="b">
        <v>0</v>
      </c>
      <c r="S746" s="2" t="b">
        <v>1</v>
      </c>
      <c r="T746" s="2">
        <v>0</v>
      </c>
      <c r="V746" s="2" t="s">
        <v>270</v>
      </c>
      <c r="W746" s="2">
        <v>0.75</v>
      </c>
      <c r="X746" s="2" t="s">
        <v>172</v>
      </c>
      <c r="Y746" s="2">
        <v>1.5</v>
      </c>
    </row>
    <row r="747" spans="1:25">
      <c r="A747" s="4">
        <v>1901</v>
      </c>
      <c r="B747" s="7" t="str">
        <f>VLOOKUP($A747,SkillEnum!$A$2:$C$1020,2,FALSE)</f>
        <v>SI_P_AV_FIREBALL_UP</v>
      </c>
      <c r="C747" s="7">
        <v>8</v>
      </c>
      <c r="D747" s="2" t="str">
        <f>VLOOKUP($C747,SkillEnum!$D$2:$E$10,2,FALSE)</f>
        <v>ST_PASSIVE</v>
      </c>
      <c r="E747" s="7" t="str">
        <f>VLOOKUP($A747,SkillEnum!$A$2:$C$1020,3,FALSE)</f>
        <v>파이어볼 연마</v>
      </c>
      <c r="F747" s="7" t="str">
        <f t="shared" si="103"/>
        <v>파이어볼에 소모되는 마나가 30 % 줄어들고 파이어볼의 사정거리가 60 % 증가 한다.</v>
      </c>
      <c r="G747" s="2">
        <v>6</v>
      </c>
      <c r="H747" s="2">
        <v>1</v>
      </c>
      <c r="I747" s="2">
        <v>0</v>
      </c>
      <c r="J747" s="2">
        <v>0</v>
      </c>
      <c r="K747" s="2">
        <v>0</v>
      </c>
      <c r="L747" s="2">
        <v>0</v>
      </c>
      <c r="M747" s="2">
        <v>0</v>
      </c>
      <c r="N747" s="2">
        <v>0</v>
      </c>
      <c r="O747" s="2">
        <v>0</v>
      </c>
      <c r="P747" s="2" t="s">
        <v>438</v>
      </c>
      <c r="Q747" s="2" t="str">
        <f t="shared" si="96"/>
        <v>SI_P_AV_FIREBALL_UP</v>
      </c>
      <c r="R747" s="2" t="b">
        <v>0</v>
      </c>
      <c r="S747" s="2" t="b">
        <v>1</v>
      </c>
      <c r="T747" s="2">
        <v>0</v>
      </c>
      <c r="V747" s="2" t="s">
        <v>270</v>
      </c>
      <c r="W747" s="2">
        <v>0.7</v>
      </c>
      <c r="X747" s="2" t="s">
        <v>172</v>
      </c>
      <c r="Y747" s="2">
        <v>1.6</v>
      </c>
    </row>
    <row r="748" spans="1:25">
      <c r="A748" s="4">
        <v>1901</v>
      </c>
      <c r="B748" s="7" t="str">
        <f>VLOOKUP($A748,SkillEnum!$A$2:$C$1020,2,FALSE)</f>
        <v>SI_P_AV_FIREBALL_UP</v>
      </c>
      <c r="C748" s="7">
        <v>8</v>
      </c>
      <c r="D748" s="2" t="str">
        <f>VLOOKUP($C748,SkillEnum!$D$2:$E$10,2,FALSE)</f>
        <v>ST_PASSIVE</v>
      </c>
      <c r="E748" s="7" t="str">
        <f>VLOOKUP($A748,SkillEnum!$A$2:$C$1020,3,FALSE)</f>
        <v>파이어볼 연마</v>
      </c>
      <c r="F748" s="7" t="str">
        <f t="shared" si="103"/>
        <v>파이어볼에 소모되는 마나가 35 % 줄어들고 파이어볼의 사정거리가 70 % 증가 한다.</v>
      </c>
      <c r="G748" s="2">
        <v>7</v>
      </c>
      <c r="H748" s="2">
        <v>1</v>
      </c>
      <c r="I748" s="2">
        <v>0</v>
      </c>
      <c r="J748" s="2">
        <v>0</v>
      </c>
      <c r="K748" s="2">
        <v>0</v>
      </c>
      <c r="L748" s="2">
        <v>0</v>
      </c>
      <c r="M748" s="2">
        <v>0</v>
      </c>
      <c r="N748" s="2">
        <v>0</v>
      </c>
      <c r="O748" s="2">
        <v>0</v>
      </c>
      <c r="P748" s="2" t="s">
        <v>438</v>
      </c>
      <c r="Q748" s="2" t="str">
        <f t="shared" si="96"/>
        <v>SI_P_AV_FIREBALL_UP</v>
      </c>
      <c r="R748" s="2" t="b">
        <v>0</v>
      </c>
      <c r="S748" s="2" t="b">
        <v>1</v>
      </c>
      <c r="T748" s="2">
        <v>0</v>
      </c>
      <c r="V748" s="2" t="s">
        <v>270</v>
      </c>
      <c r="W748" s="2">
        <v>0.65</v>
      </c>
      <c r="X748" s="2" t="s">
        <v>172</v>
      </c>
      <c r="Y748" s="2">
        <v>1.7</v>
      </c>
    </row>
    <row r="749" spans="1:25">
      <c r="A749" s="4">
        <v>1901</v>
      </c>
      <c r="B749" s="7" t="str">
        <f>VLOOKUP($A749,SkillEnum!$A$2:$C$1020,2,FALSE)</f>
        <v>SI_P_AV_FIREBALL_UP</v>
      </c>
      <c r="C749" s="7">
        <v>8</v>
      </c>
      <c r="D749" s="2" t="str">
        <f>VLOOKUP($C749,SkillEnum!$D$2:$E$10,2,FALSE)</f>
        <v>ST_PASSIVE</v>
      </c>
      <c r="E749" s="7" t="str">
        <f>VLOOKUP($A749,SkillEnum!$A$2:$C$1020,3,FALSE)</f>
        <v>파이어볼 연마</v>
      </c>
      <c r="F749" s="7" t="str">
        <f t="shared" si="103"/>
        <v>파이어볼에 소모되는 마나가 40 % 줄어들고 파이어볼의 사정거리가 80 % 증가 한다.</v>
      </c>
      <c r="G749" s="2">
        <v>8</v>
      </c>
      <c r="H749" s="2">
        <v>1</v>
      </c>
      <c r="I749" s="2">
        <v>0</v>
      </c>
      <c r="J749" s="2">
        <v>0</v>
      </c>
      <c r="K749" s="2">
        <v>0</v>
      </c>
      <c r="L749" s="2">
        <v>0</v>
      </c>
      <c r="M749" s="2">
        <v>0</v>
      </c>
      <c r="N749" s="2">
        <v>0</v>
      </c>
      <c r="O749" s="2">
        <v>0</v>
      </c>
      <c r="P749" s="2" t="s">
        <v>438</v>
      </c>
      <c r="Q749" s="2" t="str">
        <f t="shared" si="96"/>
        <v>SI_P_AV_FIREBALL_UP</v>
      </c>
      <c r="R749" s="2" t="b">
        <v>0</v>
      </c>
      <c r="S749" s="2" t="b">
        <v>1</v>
      </c>
      <c r="T749" s="2">
        <v>0</v>
      </c>
      <c r="V749" s="2" t="s">
        <v>270</v>
      </c>
      <c r="W749" s="2">
        <v>0.6</v>
      </c>
      <c r="X749" s="2" t="s">
        <v>172</v>
      </c>
      <c r="Y749" s="2">
        <v>1.8</v>
      </c>
    </row>
    <row r="750" spans="1:25">
      <c r="A750" s="4">
        <v>1901</v>
      </c>
      <c r="B750" s="7" t="str">
        <f>VLOOKUP($A750,SkillEnum!$A$2:$C$1020,2,FALSE)</f>
        <v>SI_P_AV_FIREBALL_UP</v>
      </c>
      <c r="C750" s="7">
        <v>8</v>
      </c>
      <c r="D750" s="2" t="str">
        <f>VLOOKUP($C750,SkillEnum!$D$2:$E$10,2,FALSE)</f>
        <v>ST_PASSIVE</v>
      </c>
      <c r="E750" s="7" t="str">
        <f>VLOOKUP($A750,SkillEnum!$A$2:$C$1020,3,FALSE)</f>
        <v>파이어볼 연마</v>
      </c>
      <c r="F750" s="7" t="str">
        <f t="shared" si="103"/>
        <v>파이어볼에 소모되는 마나가 45 % 줄어들고 파이어볼의 사정거리가 90 % 증가 한다.</v>
      </c>
      <c r="G750" s="2">
        <v>9</v>
      </c>
      <c r="H750" s="2">
        <v>1</v>
      </c>
      <c r="I750" s="2">
        <v>0</v>
      </c>
      <c r="J750" s="2">
        <v>0</v>
      </c>
      <c r="K750" s="2">
        <v>0</v>
      </c>
      <c r="L750" s="2">
        <v>0</v>
      </c>
      <c r="M750" s="2">
        <v>0</v>
      </c>
      <c r="N750" s="2">
        <v>0</v>
      </c>
      <c r="O750" s="2">
        <v>0</v>
      </c>
      <c r="P750" s="2" t="s">
        <v>438</v>
      </c>
      <c r="Q750" s="2" t="str">
        <f t="shared" si="96"/>
        <v>SI_P_AV_FIREBALL_UP</v>
      </c>
      <c r="R750" s="2" t="b">
        <v>0</v>
      </c>
      <c r="S750" s="2" t="b">
        <v>1</v>
      </c>
      <c r="T750" s="2">
        <v>0</v>
      </c>
      <c r="V750" s="2" t="s">
        <v>270</v>
      </c>
      <c r="W750" s="2">
        <v>0.55000000000000004</v>
      </c>
      <c r="X750" s="2" t="s">
        <v>172</v>
      </c>
      <c r="Y750" s="2">
        <v>1.9</v>
      </c>
    </row>
    <row r="751" spans="1:25" s="5" customFormat="1">
      <c r="A751" s="6">
        <v>1901</v>
      </c>
      <c r="B751" s="8" t="str">
        <f>VLOOKUP($A751,SkillEnum!$A$2:$C$1020,2,FALSE)</f>
        <v>SI_P_AV_FIREBALL_UP</v>
      </c>
      <c r="C751" s="8">
        <v>8</v>
      </c>
      <c r="D751" s="5" t="str">
        <f>VLOOKUP($C751,SkillEnum!$D$2:$E$10,2,FALSE)</f>
        <v>ST_PASSIVE</v>
      </c>
      <c r="E751" s="8" t="str">
        <f>VLOOKUP($A751,SkillEnum!$A$2:$C$1020,3,FALSE)</f>
        <v>파이어볼 연마</v>
      </c>
      <c r="F751" s="8" t="str">
        <f t="shared" si="103"/>
        <v>파이어볼에 소모되는 마나가 50 % 줄어들고 파이어볼의 사정거리가 100 % 증가 한다.</v>
      </c>
      <c r="G751" s="5">
        <v>10</v>
      </c>
      <c r="H751" s="5">
        <v>1</v>
      </c>
      <c r="I751" s="5">
        <v>0</v>
      </c>
      <c r="J751" s="5">
        <v>0</v>
      </c>
      <c r="K751" s="5">
        <v>0</v>
      </c>
      <c r="L751" s="5">
        <v>0</v>
      </c>
      <c r="M751" s="5">
        <v>0</v>
      </c>
      <c r="N751" s="5">
        <v>0</v>
      </c>
      <c r="O751" s="5">
        <v>0</v>
      </c>
      <c r="P751" s="2" t="s">
        <v>438</v>
      </c>
      <c r="Q751" s="2" t="str">
        <f t="shared" si="96"/>
        <v>SI_P_AV_FIREBALL_UP</v>
      </c>
      <c r="R751" s="5" t="b">
        <v>0</v>
      </c>
      <c r="S751" s="2" t="b">
        <v>1</v>
      </c>
      <c r="T751" s="2">
        <v>0</v>
      </c>
      <c r="U751" s="2"/>
      <c r="V751" s="5" t="s">
        <v>270</v>
      </c>
      <c r="W751" s="5">
        <v>0.5</v>
      </c>
      <c r="X751" s="5" t="s">
        <v>172</v>
      </c>
      <c r="Y751" s="5">
        <v>2</v>
      </c>
    </row>
    <row r="752" spans="1:25" s="10" customFormat="1">
      <c r="A752" s="9">
        <v>2000</v>
      </c>
      <c r="B752" s="11" t="str">
        <f>VLOOKUP($A752,SkillEnum!$A$2:$C$1020,2,FALSE)</f>
        <v>SI_SA_LE_RAIL_STINGER</v>
      </c>
      <c r="C752" s="11">
        <v>7</v>
      </c>
      <c r="D752" s="10" t="str">
        <f>VLOOKUP($C752,SkillEnum!$D$2:$E$10,2,FALSE)</f>
        <v>ST_SPECIAL_ACTIVE</v>
      </c>
      <c r="E752" s="11" t="str">
        <f>VLOOKUP($A752,SkillEnum!$A$2:$C$1020,3,FALSE)</f>
        <v>레일 스팅거</v>
      </c>
      <c r="F752" s="11" t="str">
        <f>"축척된 마력을 화살로 바꾸어 전방으로 발사해 1명의 적을 관통하고 마법공격력의 "&amp;ROUND(6.2*1.2*H752*100,0)&amp;" % 데미지를 준다. (각성 시 모든 대상을 관통한다.)"</f>
        <v>축척된 마력을 화살로 바꾸어 전방으로 발사해 1명의 적을 관통하고 마법공격력의 521 % 데미지를 준다. (각성 시 모든 대상을 관통한다.)</v>
      </c>
      <c r="G752" s="10">
        <v>1</v>
      </c>
      <c r="H752" s="2">
        <v>0.7</v>
      </c>
      <c r="I752" s="2">
        <v>3</v>
      </c>
      <c r="J752" s="10">
        <v>110</v>
      </c>
      <c r="K752" s="2">
        <v>0</v>
      </c>
      <c r="L752" s="2">
        <v>0</v>
      </c>
      <c r="M752" s="2">
        <v>0</v>
      </c>
      <c r="N752" s="2">
        <v>0</v>
      </c>
      <c r="O752" s="2">
        <v>0</v>
      </c>
      <c r="P752" s="2" t="s">
        <v>439</v>
      </c>
      <c r="Q752" s="2" t="str">
        <f t="shared" si="96"/>
        <v>SI_SA_LE_RAIL_STINGER</v>
      </c>
      <c r="R752" s="2" t="b">
        <v>0</v>
      </c>
      <c r="S752" s="2" t="b">
        <v>1</v>
      </c>
      <c r="T752" s="2">
        <v>1</v>
      </c>
      <c r="U752" s="2"/>
      <c r="V752" s="1"/>
      <c r="X752" s="1"/>
    </row>
    <row r="753" spans="1:21">
      <c r="A753" s="4">
        <v>2000</v>
      </c>
      <c r="B753" s="7" t="str">
        <f>VLOOKUP($A753,SkillEnum!$A$2:$C$1020,2,FALSE)</f>
        <v>SI_SA_LE_RAIL_STINGER</v>
      </c>
      <c r="C753" s="7">
        <v>7</v>
      </c>
      <c r="D753" s="2" t="str">
        <f>VLOOKUP($C753,SkillEnum!$D$2:$E$10,2,FALSE)</f>
        <v>ST_SPECIAL_ACTIVE</v>
      </c>
      <c r="E753" s="7" t="str">
        <f>VLOOKUP($A753,SkillEnum!$A$2:$C$1020,3,FALSE)</f>
        <v>레일 스팅거</v>
      </c>
      <c r="F753" s="7" t="str">
        <f t="shared" ref="F753:F761" si="104">"축척된 마력을 화살로 바꾸어 전방으로 발사해 1명의 적을 관통하고 마법공격력의 "&amp;ROUND(6.2*1.2*H753*100,0)&amp;" % 데미지를 준다. (각성 시 모든 대상을 관통한다.)"</f>
        <v>축척된 마력을 화살로 바꾸어 전방으로 발사해 1명의 적을 관통하고 마법공격력의 625 % 데미지를 준다. (각성 시 모든 대상을 관통한다.)</v>
      </c>
      <c r="G753" s="2">
        <v>2</v>
      </c>
      <c r="H753" s="2">
        <v>0.84</v>
      </c>
      <c r="I753" s="2">
        <v>3</v>
      </c>
      <c r="J753" s="2">
        <v>110</v>
      </c>
      <c r="K753" s="2">
        <v>0</v>
      </c>
      <c r="L753" s="2">
        <v>0</v>
      </c>
      <c r="M753" s="2">
        <v>0</v>
      </c>
      <c r="N753" s="2">
        <v>0</v>
      </c>
      <c r="O753" s="2">
        <v>0</v>
      </c>
      <c r="P753" s="2" t="s">
        <v>439</v>
      </c>
      <c r="Q753" s="2" t="str">
        <f t="shared" si="96"/>
        <v>SI_SA_LE_RAIL_STINGER</v>
      </c>
      <c r="R753" s="2" t="b">
        <v>0</v>
      </c>
      <c r="S753" s="2" t="b">
        <v>1</v>
      </c>
      <c r="T753" s="2">
        <v>1</v>
      </c>
    </row>
    <row r="754" spans="1:21">
      <c r="A754" s="4">
        <v>2000</v>
      </c>
      <c r="B754" s="7" t="str">
        <f>VLOOKUP($A754,SkillEnum!$A$2:$C$1020,2,FALSE)</f>
        <v>SI_SA_LE_RAIL_STINGER</v>
      </c>
      <c r="C754" s="7">
        <v>7</v>
      </c>
      <c r="D754" s="2" t="str">
        <f>VLOOKUP($C754,SkillEnum!$D$2:$E$10,2,FALSE)</f>
        <v>ST_SPECIAL_ACTIVE</v>
      </c>
      <c r="E754" s="7" t="str">
        <f>VLOOKUP($A754,SkillEnum!$A$2:$C$1020,3,FALSE)</f>
        <v>레일 스팅거</v>
      </c>
      <c r="F754" s="7" t="str">
        <f t="shared" si="104"/>
        <v>축척된 마력을 화살로 바꾸어 전방으로 발사해 1명의 적을 관통하고 마법공격력의 729 % 데미지를 준다. (각성 시 모든 대상을 관통한다.)</v>
      </c>
      <c r="G754" s="2">
        <v>3</v>
      </c>
      <c r="H754" s="2">
        <v>0.98</v>
      </c>
      <c r="I754" s="2">
        <v>3</v>
      </c>
      <c r="J754" s="2">
        <v>110</v>
      </c>
      <c r="K754" s="2">
        <v>0</v>
      </c>
      <c r="L754" s="2">
        <v>0</v>
      </c>
      <c r="M754" s="2">
        <v>0</v>
      </c>
      <c r="N754" s="2">
        <v>0</v>
      </c>
      <c r="O754" s="2">
        <v>0</v>
      </c>
      <c r="P754" s="2" t="s">
        <v>439</v>
      </c>
      <c r="Q754" s="2" t="str">
        <f t="shared" si="96"/>
        <v>SI_SA_LE_RAIL_STINGER</v>
      </c>
      <c r="R754" s="2" t="b">
        <v>0</v>
      </c>
      <c r="S754" s="2" t="b">
        <v>1</v>
      </c>
      <c r="T754" s="2">
        <v>1</v>
      </c>
    </row>
    <row r="755" spans="1:21">
      <c r="A755" s="4">
        <v>2000</v>
      </c>
      <c r="B755" s="7" t="str">
        <f>VLOOKUP($A755,SkillEnum!$A$2:$C$1020,2,FALSE)</f>
        <v>SI_SA_LE_RAIL_STINGER</v>
      </c>
      <c r="C755" s="7">
        <v>7</v>
      </c>
      <c r="D755" s="2" t="str">
        <f>VLOOKUP($C755,SkillEnum!$D$2:$E$10,2,FALSE)</f>
        <v>ST_SPECIAL_ACTIVE</v>
      </c>
      <c r="E755" s="7" t="str">
        <f>VLOOKUP($A755,SkillEnum!$A$2:$C$1020,3,FALSE)</f>
        <v>레일 스팅거</v>
      </c>
      <c r="F755" s="7" t="str">
        <f t="shared" si="104"/>
        <v>축척된 마력을 화살로 바꾸어 전방으로 발사해 1명의 적을 관통하고 마법공격력의 833 % 데미지를 준다. (각성 시 모든 대상을 관통한다.)</v>
      </c>
      <c r="G755" s="2">
        <v>4</v>
      </c>
      <c r="H755" s="2">
        <v>1.1200000000000001</v>
      </c>
      <c r="I755" s="2">
        <v>3</v>
      </c>
      <c r="J755" s="2">
        <v>110</v>
      </c>
      <c r="K755" s="2">
        <v>0</v>
      </c>
      <c r="L755" s="2">
        <v>0</v>
      </c>
      <c r="M755" s="2">
        <v>0</v>
      </c>
      <c r="N755" s="2">
        <v>0</v>
      </c>
      <c r="O755" s="2">
        <v>0</v>
      </c>
      <c r="P755" s="2" t="s">
        <v>439</v>
      </c>
      <c r="Q755" s="2" t="str">
        <f t="shared" si="96"/>
        <v>SI_SA_LE_RAIL_STINGER</v>
      </c>
      <c r="R755" s="2" t="b">
        <v>0</v>
      </c>
      <c r="S755" s="2" t="b">
        <v>1</v>
      </c>
      <c r="T755" s="2">
        <v>1</v>
      </c>
    </row>
    <row r="756" spans="1:21">
      <c r="A756" s="4">
        <v>2000</v>
      </c>
      <c r="B756" s="7" t="str">
        <f>VLOOKUP($A756,SkillEnum!$A$2:$C$1020,2,FALSE)</f>
        <v>SI_SA_LE_RAIL_STINGER</v>
      </c>
      <c r="C756" s="7">
        <v>7</v>
      </c>
      <c r="D756" s="2" t="str">
        <f>VLOOKUP($C756,SkillEnum!$D$2:$E$10,2,FALSE)</f>
        <v>ST_SPECIAL_ACTIVE</v>
      </c>
      <c r="E756" s="7" t="str">
        <f>VLOOKUP($A756,SkillEnum!$A$2:$C$1020,3,FALSE)</f>
        <v>레일 스팅거</v>
      </c>
      <c r="F756" s="7" t="str">
        <f t="shared" si="104"/>
        <v>축척된 마력을 화살로 바꾸어 전방으로 발사해 1명의 적을 관통하고 마법공격력의 990 % 데미지를 준다. (각성 시 모든 대상을 관통한다.)</v>
      </c>
      <c r="G756" s="2">
        <v>5</v>
      </c>
      <c r="H756" s="2">
        <v>1.33</v>
      </c>
      <c r="I756" s="2">
        <v>3</v>
      </c>
      <c r="J756" s="2">
        <v>110</v>
      </c>
      <c r="K756" s="2">
        <v>0</v>
      </c>
      <c r="L756" s="2">
        <v>0</v>
      </c>
      <c r="M756" s="2">
        <v>0</v>
      </c>
      <c r="N756" s="2">
        <v>0</v>
      </c>
      <c r="O756" s="2">
        <v>0</v>
      </c>
      <c r="P756" s="2" t="s">
        <v>439</v>
      </c>
      <c r="Q756" s="2" t="str">
        <f t="shared" si="96"/>
        <v>SI_SA_LE_RAIL_STINGER</v>
      </c>
      <c r="R756" s="2" t="b">
        <v>0</v>
      </c>
      <c r="S756" s="2" t="b">
        <v>1</v>
      </c>
      <c r="T756" s="2">
        <v>1</v>
      </c>
    </row>
    <row r="757" spans="1:21">
      <c r="A757" s="4">
        <v>2000</v>
      </c>
      <c r="B757" s="7" t="str">
        <f>VLOOKUP($A757,SkillEnum!$A$2:$C$1020,2,FALSE)</f>
        <v>SI_SA_LE_RAIL_STINGER</v>
      </c>
      <c r="C757" s="7">
        <v>7</v>
      </c>
      <c r="D757" s="2" t="str">
        <f>VLOOKUP($C757,SkillEnum!$D$2:$E$10,2,FALSE)</f>
        <v>ST_SPECIAL_ACTIVE</v>
      </c>
      <c r="E757" s="7" t="str">
        <f>VLOOKUP($A757,SkillEnum!$A$2:$C$1020,3,FALSE)</f>
        <v>레일 스팅거</v>
      </c>
      <c r="F757" s="7" t="str">
        <f t="shared" si="104"/>
        <v>축척된 마력을 화살로 바꾸어 전방으로 발사해 1명의 적을 관통하고 마법공격력의 1146 % 데미지를 준다. (각성 시 모든 대상을 관통한다.)</v>
      </c>
      <c r="G757" s="2">
        <v>6</v>
      </c>
      <c r="H757" s="2">
        <v>1.54</v>
      </c>
      <c r="I757" s="2">
        <v>3</v>
      </c>
      <c r="J757" s="2">
        <v>110</v>
      </c>
      <c r="K757" s="2">
        <v>0</v>
      </c>
      <c r="L757" s="2">
        <v>0</v>
      </c>
      <c r="M757" s="2">
        <v>0</v>
      </c>
      <c r="N757" s="2">
        <v>0</v>
      </c>
      <c r="O757" s="2">
        <v>0</v>
      </c>
      <c r="P757" s="2" t="s">
        <v>439</v>
      </c>
      <c r="Q757" s="2" t="str">
        <f t="shared" si="96"/>
        <v>SI_SA_LE_RAIL_STINGER</v>
      </c>
      <c r="R757" s="2" t="b">
        <v>0</v>
      </c>
      <c r="S757" s="2" t="b">
        <v>1</v>
      </c>
      <c r="T757" s="2">
        <v>1</v>
      </c>
    </row>
    <row r="758" spans="1:21">
      <c r="A758" s="4">
        <v>2000</v>
      </c>
      <c r="B758" s="7" t="str">
        <f>VLOOKUP($A758,SkillEnum!$A$2:$C$1020,2,FALSE)</f>
        <v>SI_SA_LE_RAIL_STINGER</v>
      </c>
      <c r="C758" s="7">
        <v>7</v>
      </c>
      <c r="D758" s="2" t="str">
        <f>VLOOKUP($C758,SkillEnum!$D$2:$E$10,2,FALSE)</f>
        <v>ST_SPECIAL_ACTIVE</v>
      </c>
      <c r="E758" s="7" t="str">
        <f>VLOOKUP($A758,SkillEnum!$A$2:$C$1020,3,FALSE)</f>
        <v>레일 스팅거</v>
      </c>
      <c r="F758" s="7" t="str">
        <f t="shared" si="104"/>
        <v>축척된 마력을 화살로 바꾸어 전방으로 발사해 1명의 적을 관통하고 마법공격력의 1302 % 데미지를 준다. (각성 시 모든 대상을 관통한다.)</v>
      </c>
      <c r="G758" s="2">
        <v>7</v>
      </c>
      <c r="H758" s="2">
        <v>1.75</v>
      </c>
      <c r="I758" s="2">
        <v>3</v>
      </c>
      <c r="J758" s="2">
        <v>110</v>
      </c>
      <c r="K758" s="2">
        <v>0</v>
      </c>
      <c r="L758" s="2">
        <v>0</v>
      </c>
      <c r="M758" s="2">
        <v>0</v>
      </c>
      <c r="N758" s="2">
        <v>0</v>
      </c>
      <c r="O758" s="2">
        <v>0</v>
      </c>
      <c r="P758" s="2" t="s">
        <v>439</v>
      </c>
      <c r="Q758" s="2" t="str">
        <f t="shared" si="96"/>
        <v>SI_SA_LE_RAIL_STINGER</v>
      </c>
      <c r="R758" s="2" t="b">
        <v>0</v>
      </c>
      <c r="S758" s="2" t="b">
        <v>1</v>
      </c>
      <c r="T758" s="2">
        <v>1</v>
      </c>
    </row>
    <row r="759" spans="1:21">
      <c r="A759" s="4">
        <v>2000</v>
      </c>
      <c r="B759" s="7" t="str">
        <f>VLOOKUP($A759,SkillEnum!$A$2:$C$1020,2,FALSE)</f>
        <v>SI_SA_LE_RAIL_STINGER</v>
      </c>
      <c r="C759" s="7">
        <v>7</v>
      </c>
      <c r="D759" s="2" t="str">
        <f>VLOOKUP($C759,SkillEnum!$D$2:$E$10,2,FALSE)</f>
        <v>ST_SPECIAL_ACTIVE</v>
      </c>
      <c r="E759" s="7" t="str">
        <f>VLOOKUP($A759,SkillEnum!$A$2:$C$1020,3,FALSE)</f>
        <v>레일 스팅거</v>
      </c>
      <c r="F759" s="7" t="str">
        <f t="shared" si="104"/>
        <v>축척된 마력을 화살로 바꾸어 전방으로 발사해 1명의 적을 관통하고 마법공격력의 1458 % 데미지를 준다. (각성 시 모든 대상을 관통한다.)</v>
      </c>
      <c r="G759" s="2">
        <v>8</v>
      </c>
      <c r="H759" s="2">
        <v>1.96</v>
      </c>
      <c r="I759" s="2">
        <v>3</v>
      </c>
      <c r="J759" s="2">
        <v>110</v>
      </c>
      <c r="K759" s="2">
        <v>0</v>
      </c>
      <c r="L759" s="2">
        <v>0</v>
      </c>
      <c r="M759" s="2">
        <v>0</v>
      </c>
      <c r="N759" s="2">
        <v>0</v>
      </c>
      <c r="O759" s="2">
        <v>0</v>
      </c>
      <c r="P759" s="2" t="s">
        <v>439</v>
      </c>
      <c r="Q759" s="2" t="str">
        <f t="shared" si="96"/>
        <v>SI_SA_LE_RAIL_STINGER</v>
      </c>
      <c r="R759" s="2" t="b">
        <v>0</v>
      </c>
      <c r="S759" s="2" t="b">
        <v>1</v>
      </c>
      <c r="T759" s="2">
        <v>1</v>
      </c>
    </row>
    <row r="760" spans="1:21">
      <c r="A760" s="4">
        <v>2000</v>
      </c>
      <c r="B760" s="7" t="str">
        <f>VLOOKUP($A760,SkillEnum!$A$2:$C$1020,2,FALSE)</f>
        <v>SI_SA_LE_RAIL_STINGER</v>
      </c>
      <c r="C760" s="7">
        <v>7</v>
      </c>
      <c r="D760" s="2" t="str">
        <f>VLOOKUP($C760,SkillEnum!$D$2:$E$10,2,FALSE)</f>
        <v>ST_SPECIAL_ACTIVE</v>
      </c>
      <c r="E760" s="7" t="str">
        <f>VLOOKUP($A760,SkillEnum!$A$2:$C$1020,3,FALSE)</f>
        <v>레일 스팅거</v>
      </c>
      <c r="F760" s="7" t="str">
        <f t="shared" si="104"/>
        <v>축척된 마력을 화살로 바꾸어 전방으로 발사해 1명의 적을 관통하고 마법공격력의 1667 % 데미지를 준다. (각성 시 모든 대상을 관통한다.)</v>
      </c>
      <c r="G760" s="2">
        <v>9</v>
      </c>
      <c r="H760" s="2">
        <v>2.2400000000000002</v>
      </c>
      <c r="I760" s="2">
        <v>3</v>
      </c>
      <c r="J760" s="2">
        <v>110</v>
      </c>
      <c r="K760" s="2">
        <v>0</v>
      </c>
      <c r="L760" s="2">
        <v>0</v>
      </c>
      <c r="M760" s="2">
        <v>0</v>
      </c>
      <c r="N760" s="2">
        <v>0</v>
      </c>
      <c r="O760" s="2">
        <v>0</v>
      </c>
      <c r="P760" s="2" t="s">
        <v>439</v>
      </c>
      <c r="Q760" s="2" t="str">
        <f t="shared" si="96"/>
        <v>SI_SA_LE_RAIL_STINGER</v>
      </c>
      <c r="R760" s="2" t="b">
        <v>0</v>
      </c>
      <c r="S760" s="2" t="b">
        <v>1</v>
      </c>
      <c r="T760" s="2">
        <v>1</v>
      </c>
    </row>
    <row r="761" spans="1:21" s="5" customFormat="1">
      <c r="A761" s="6">
        <v>2000</v>
      </c>
      <c r="B761" s="8" t="str">
        <f>VLOOKUP($A761,SkillEnum!$A$2:$C$1020,2,FALSE)</f>
        <v>SI_SA_LE_RAIL_STINGER</v>
      </c>
      <c r="C761" s="8">
        <v>7</v>
      </c>
      <c r="D761" s="5" t="str">
        <f>VLOOKUP($C761,SkillEnum!$D$2:$E$10,2,FALSE)</f>
        <v>ST_SPECIAL_ACTIVE</v>
      </c>
      <c r="E761" s="8" t="str">
        <f>VLOOKUP($A761,SkillEnum!$A$2:$C$1020,3,FALSE)</f>
        <v>레일 스팅거</v>
      </c>
      <c r="F761" s="8" t="str">
        <f t="shared" si="104"/>
        <v>축척된 마력을 화살로 바꾸어 전방으로 발사해 1명의 적을 관통하고 마법공격력의 1875 % 데미지를 준다. (각성 시 모든 대상을 관통한다.)</v>
      </c>
      <c r="G761" s="5">
        <v>10</v>
      </c>
      <c r="H761" s="5">
        <v>2.52</v>
      </c>
      <c r="I761" s="5">
        <v>3</v>
      </c>
      <c r="J761" s="5">
        <v>110</v>
      </c>
      <c r="K761" s="5">
        <v>0</v>
      </c>
      <c r="L761" s="5">
        <v>0</v>
      </c>
      <c r="M761" s="5">
        <v>0</v>
      </c>
      <c r="N761" s="5">
        <v>0</v>
      </c>
      <c r="O761" s="5">
        <v>0</v>
      </c>
      <c r="P761" s="2" t="s">
        <v>439</v>
      </c>
      <c r="Q761" s="2" t="str">
        <f t="shared" si="96"/>
        <v>SI_SA_LE_RAIL_STINGER</v>
      </c>
      <c r="R761" s="5" t="b">
        <v>0</v>
      </c>
      <c r="S761" s="2" t="b">
        <v>1</v>
      </c>
      <c r="T761" s="2">
        <v>1</v>
      </c>
      <c r="U761" s="2"/>
    </row>
    <row r="762" spans="1:21" s="10" customFormat="1">
      <c r="A762" s="9">
        <v>2001</v>
      </c>
      <c r="B762" s="11" t="str">
        <f>VLOOKUP($A762,SkillEnum!$A$2:$C$1020,2,FALSE)</f>
        <v>SI_SA_LE_ASSAULT_KICK</v>
      </c>
      <c r="C762" s="11">
        <v>7</v>
      </c>
      <c r="D762" s="10" t="str">
        <f>VLOOKUP($C762,SkillEnum!$D$2:$E$10,2,FALSE)</f>
        <v>ST_SPECIAL_ACTIVE</v>
      </c>
      <c r="E762" s="11" t="str">
        <f>VLOOKUP($A762,SkillEnum!$A$2:$C$1020,3,FALSE)</f>
        <v>어설트 킥</v>
      </c>
      <c r="F762" s="11" t="str">
        <f>"2번 발로 차 타격마다 물리공격력의 "&amp;ROUND(2.75*1.2*H762*100,0)&amp;" % 데미지를 주고 공중으로 띄워 추가 공격이 가능한 상태로 만든다."</f>
        <v>2번 발로 차 타격마다 물리공격력의 231 % 데미지를 주고 공중으로 띄워 추가 공격이 가능한 상태로 만든다.</v>
      </c>
      <c r="G762" s="10">
        <v>1</v>
      </c>
      <c r="H762" s="2">
        <v>0.7</v>
      </c>
      <c r="I762" s="2">
        <v>3</v>
      </c>
      <c r="J762" s="10">
        <v>100</v>
      </c>
      <c r="K762" s="2">
        <v>0</v>
      </c>
      <c r="L762" s="2">
        <v>0</v>
      </c>
      <c r="M762" s="2">
        <v>0</v>
      </c>
      <c r="N762" s="2">
        <v>0</v>
      </c>
      <c r="O762" s="2">
        <v>0</v>
      </c>
      <c r="P762" s="2" t="s">
        <v>439</v>
      </c>
      <c r="Q762" s="2" t="str">
        <f t="shared" si="96"/>
        <v>SI_SA_LE_ASSAULT_KICK</v>
      </c>
      <c r="R762" s="2" t="b">
        <v>0</v>
      </c>
      <c r="S762" s="2" t="b">
        <v>1</v>
      </c>
      <c r="T762" s="2">
        <v>1</v>
      </c>
      <c r="U762" s="2"/>
    </row>
    <row r="763" spans="1:21">
      <c r="A763" s="4">
        <v>2001</v>
      </c>
      <c r="B763" s="7" t="str">
        <f>VLOOKUP($A763,SkillEnum!$A$2:$C$1020,2,FALSE)</f>
        <v>SI_SA_LE_ASSAULT_KICK</v>
      </c>
      <c r="C763" s="7">
        <v>7</v>
      </c>
      <c r="D763" s="2" t="str">
        <f>VLOOKUP($C763,SkillEnum!$D$2:$E$10,2,FALSE)</f>
        <v>ST_SPECIAL_ACTIVE</v>
      </c>
      <c r="E763" s="7" t="str">
        <f>VLOOKUP($A763,SkillEnum!$A$2:$C$1020,3,FALSE)</f>
        <v>어설트 킥</v>
      </c>
      <c r="F763" s="7" t="str">
        <f t="shared" ref="F763:F771" si="105">"2번 발로 차 타격마다 물리공격력의 "&amp;ROUND(2.75*1.2*H763*100,0)&amp;" % 데미지를 주고 공중으로 띄워 추가 공격이 가능한 상태로 만든다."</f>
        <v>2번 발로 차 타격마다 물리공격력의 277 % 데미지를 주고 공중으로 띄워 추가 공격이 가능한 상태로 만든다.</v>
      </c>
      <c r="G763" s="2">
        <v>2</v>
      </c>
      <c r="H763" s="2">
        <v>0.84</v>
      </c>
      <c r="I763" s="2">
        <v>3</v>
      </c>
      <c r="J763" s="2">
        <v>100</v>
      </c>
      <c r="K763" s="2">
        <v>0</v>
      </c>
      <c r="L763" s="2">
        <v>0</v>
      </c>
      <c r="M763" s="2">
        <v>0</v>
      </c>
      <c r="N763" s="2">
        <v>0</v>
      </c>
      <c r="O763" s="2">
        <v>0</v>
      </c>
      <c r="P763" s="2" t="s">
        <v>439</v>
      </c>
      <c r="Q763" s="2" t="str">
        <f t="shared" si="96"/>
        <v>SI_SA_LE_ASSAULT_KICK</v>
      </c>
      <c r="R763" s="2" t="b">
        <v>0</v>
      </c>
      <c r="S763" s="2" t="b">
        <v>1</v>
      </c>
      <c r="T763" s="2">
        <v>1</v>
      </c>
    </row>
    <row r="764" spans="1:21">
      <c r="A764" s="4">
        <v>2001</v>
      </c>
      <c r="B764" s="7" t="str">
        <f>VLOOKUP($A764,SkillEnum!$A$2:$C$1020,2,FALSE)</f>
        <v>SI_SA_LE_ASSAULT_KICK</v>
      </c>
      <c r="C764" s="7">
        <v>7</v>
      </c>
      <c r="D764" s="2" t="str">
        <f>VLOOKUP($C764,SkillEnum!$D$2:$E$10,2,FALSE)</f>
        <v>ST_SPECIAL_ACTIVE</v>
      </c>
      <c r="E764" s="7" t="str">
        <f>VLOOKUP($A764,SkillEnum!$A$2:$C$1020,3,FALSE)</f>
        <v>어설트 킥</v>
      </c>
      <c r="F764" s="7" t="str">
        <f t="shared" si="105"/>
        <v>2번 발로 차 타격마다 물리공격력의 323 % 데미지를 주고 공중으로 띄워 추가 공격이 가능한 상태로 만든다.</v>
      </c>
      <c r="G764" s="2">
        <v>3</v>
      </c>
      <c r="H764" s="2">
        <v>0.98</v>
      </c>
      <c r="I764" s="2">
        <v>3</v>
      </c>
      <c r="J764" s="2">
        <v>100</v>
      </c>
      <c r="K764" s="2">
        <v>0</v>
      </c>
      <c r="L764" s="2">
        <v>0</v>
      </c>
      <c r="M764" s="2">
        <v>0</v>
      </c>
      <c r="N764" s="2">
        <v>0</v>
      </c>
      <c r="O764" s="2">
        <v>0</v>
      </c>
      <c r="P764" s="2" t="s">
        <v>439</v>
      </c>
      <c r="Q764" s="2" t="str">
        <f t="shared" si="96"/>
        <v>SI_SA_LE_ASSAULT_KICK</v>
      </c>
      <c r="R764" s="2" t="b">
        <v>0</v>
      </c>
      <c r="S764" s="2" t="b">
        <v>1</v>
      </c>
      <c r="T764" s="2">
        <v>1</v>
      </c>
    </row>
    <row r="765" spans="1:21">
      <c r="A765" s="4">
        <v>2001</v>
      </c>
      <c r="B765" s="7" t="str">
        <f>VLOOKUP($A765,SkillEnum!$A$2:$C$1020,2,FALSE)</f>
        <v>SI_SA_LE_ASSAULT_KICK</v>
      </c>
      <c r="C765" s="7">
        <v>7</v>
      </c>
      <c r="D765" s="2" t="str">
        <f>VLOOKUP($C765,SkillEnum!$D$2:$E$10,2,FALSE)</f>
        <v>ST_SPECIAL_ACTIVE</v>
      </c>
      <c r="E765" s="7" t="str">
        <f>VLOOKUP($A765,SkillEnum!$A$2:$C$1020,3,FALSE)</f>
        <v>어설트 킥</v>
      </c>
      <c r="F765" s="7" t="str">
        <f t="shared" si="105"/>
        <v>2번 발로 차 타격마다 물리공격력의 370 % 데미지를 주고 공중으로 띄워 추가 공격이 가능한 상태로 만든다.</v>
      </c>
      <c r="G765" s="2">
        <v>4</v>
      </c>
      <c r="H765" s="2">
        <v>1.1200000000000001</v>
      </c>
      <c r="I765" s="2">
        <v>3</v>
      </c>
      <c r="J765" s="2">
        <v>100</v>
      </c>
      <c r="K765" s="2">
        <v>0</v>
      </c>
      <c r="L765" s="2">
        <v>0</v>
      </c>
      <c r="M765" s="2">
        <v>0</v>
      </c>
      <c r="N765" s="2">
        <v>0</v>
      </c>
      <c r="O765" s="2">
        <v>0</v>
      </c>
      <c r="P765" s="2" t="s">
        <v>439</v>
      </c>
      <c r="Q765" s="2" t="str">
        <f t="shared" si="96"/>
        <v>SI_SA_LE_ASSAULT_KICK</v>
      </c>
      <c r="R765" s="2" t="b">
        <v>0</v>
      </c>
      <c r="S765" s="2" t="b">
        <v>1</v>
      </c>
      <c r="T765" s="2">
        <v>1</v>
      </c>
    </row>
    <row r="766" spans="1:21">
      <c r="A766" s="4">
        <v>2001</v>
      </c>
      <c r="B766" s="7" t="str">
        <f>VLOOKUP($A766,SkillEnum!$A$2:$C$1020,2,FALSE)</f>
        <v>SI_SA_LE_ASSAULT_KICK</v>
      </c>
      <c r="C766" s="7">
        <v>7</v>
      </c>
      <c r="D766" s="2" t="str">
        <f>VLOOKUP($C766,SkillEnum!$D$2:$E$10,2,FALSE)</f>
        <v>ST_SPECIAL_ACTIVE</v>
      </c>
      <c r="E766" s="7" t="str">
        <f>VLOOKUP($A766,SkillEnum!$A$2:$C$1020,3,FALSE)</f>
        <v>어설트 킥</v>
      </c>
      <c r="F766" s="7" t="str">
        <f t="shared" si="105"/>
        <v>2번 발로 차 타격마다 물리공격력의 439 % 데미지를 주고 공중으로 띄워 추가 공격이 가능한 상태로 만든다.</v>
      </c>
      <c r="G766" s="2">
        <v>5</v>
      </c>
      <c r="H766" s="2">
        <v>1.33</v>
      </c>
      <c r="I766" s="2">
        <v>3</v>
      </c>
      <c r="J766" s="2">
        <v>100</v>
      </c>
      <c r="K766" s="2">
        <v>0</v>
      </c>
      <c r="L766" s="2">
        <v>0</v>
      </c>
      <c r="M766" s="2">
        <v>0</v>
      </c>
      <c r="N766" s="2">
        <v>0</v>
      </c>
      <c r="O766" s="2">
        <v>0</v>
      </c>
      <c r="P766" s="2" t="s">
        <v>439</v>
      </c>
      <c r="Q766" s="2" t="str">
        <f t="shared" si="96"/>
        <v>SI_SA_LE_ASSAULT_KICK</v>
      </c>
      <c r="R766" s="2" t="b">
        <v>0</v>
      </c>
      <c r="S766" s="2" t="b">
        <v>1</v>
      </c>
      <c r="T766" s="2">
        <v>1</v>
      </c>
    </row>
    <row r="767" spans="1:21">
      <c r="A767" s="4">
        <v>2001</v>
      </c>
      <c r="B767" s="7" t="str">
        <f>VLOOKUP($A767,SkillEnum!$A$2:$C$1020,2,FALSE)</f>
        <v>SI_SA_LE_ASSAULT_KICK</v>
      </c>
      <c r="C767" s="7">
        <v>7</v>
      </c>
      <c r="D767" s="2" t="str">
        <f>VLOOKUP($C767,SkillEnum!$D$2:$E$10,2,FALSE)</f>
        <v>ST_SPECIAL_ACTIVE</v>
      </c>
      <c r="E767" s="7" t="str">
        <f>VLOOKUP($A767,SkillEnum!$A$2:$C$1020,3,FALSE)</f>
        <v>어설트 킥</v>
      </c>
      <c r="F767" s="7" t="str">
        <f t="shared" si="105"/>
        <v>2번 발로 차 타격마다 물리공격력의 508 % 데미지를 주고 공중으로 띄워 추가 공격이 가능한 상태로 만든다.</v>
      </c>
      <c r="G767" s="2">
        <v>6</v>
      </c>
      <c r="H767" s="2">
        <v>1.54</v>
      </c>
      <c r="I767" s="2">
        <v>3</v>
      </c>
      <c r="J767" s="2">
        <v>100</v>
      </c>
      <c r="K767" s="2">
        <v>0</v>
      </c>
      <c r="L767" s="2">
        <v>0</v>
      </c>
      <c r="M767" s="2">
        <v>0</v>
      </c>
      <c r="N767" s="2">
        <v>0</v>
      </c>
      <c r="O767" s="2">
        <v>0</v>
      </c>
      <c r="P767" s="2" t="s">
        <v>439</v>
      </c>
      <c r="Q767" s="2" t="str">
        <f t="shared" si="96"/>
        <v>SI_SA_LE_ASSAULT_KICK</v>
      </c>
      <c r="R767" s="2" t="b">
        <v>0</v>
      </c>
      <c r="S767" s="2" t="b">
        <v>1</v>
      </c>
      <c r="T767" s="2">
        <v>1</v>
      </c>
    </row>
    <row r="768" spans="1:21">
      <c r="A768" s="4">
        <v>2001</v>
      </c>
      <c r="B768" s="7" t="str">
        <f>VLOOKUP($A768,SkillEnum!$A$2:$C$1020,2,FALSE)</f>
        <v>SI_SA_LE_ASSAULT_KICK</v>
      </c>
      <c r="C768" s="7">
        <v>7</v>
      </c>
      <c r="D768" s="2" t="str">
        <f>VLOOKUP($C768,SkillEnum!$D$2:$E$10,2,FALSE)</f>
        <v>ST_SPECIAL_ACTIVE</v>
      </c>
      <c r="E768" s="7" t="str">
        <f>VLOOKUP($A768,SkillEnum!$A$2:$C$1020,3,FALSE)</f>
        <v>어설트 킥</v>
      </c>
      <c r="F768" s="7" t="str">
        <f t="shared" si="105"/>
        <v>2번 발로 차 타격마다 물리공격력의 578 % 데미지를 주고 공중으로 띄워 추가 공격이 가능한 상태로 만든다.</v>
      </c>
      <c r="G768" s="2">
        <v>7</v>
      </c>
      <c r="H768" s="2">
        <v>1.75</v>
      </c>
      <c r="I768" s="2">
        <v>3</v>
      </c>
      <c r="J768" s="2">
        <v>100</v>
      </c>
      <c r="K768" s="2">
        <v>0</v>
      </c>
      <c r="L768" s="2">
        <v>0</v>
      </c>
      <c r="M768" s="2">
        <v>0</v>
      </c>
      <c r="N768" s="2">
        <v>0</v>
      </c>
      <c r="O768" s="2">
        <v>0</v>
      </c>
      <c r="P768" s="2" t="s">
        <v>439</v>
      </c>
      <c r="Q768" s="2" t="str">
        <f t="shared" si="96"/>
        <v>SI_SA_LE_ASSAULT_KICK</v>
      </c>
      <c r="R768" s="2" t="b">
        <v>0</v>
      </c>
      <c r="S768" s="2" t="b">
        <v>1</v>
      </c>
      <c r="T768" s="2">
        <v>1</v>
      </c>
    </row>
    <row r="769" spans="1:21">
      <c r="A769" s="4">
        <v>2001</v>
      </c>
      <c r="B769" s="7" t="str">
        <f>VLOOKUP($A769,SkillEnum!$A$2:$C$1020,2,FALSE)</f>
        <v>SI_SA_LE_ASSAULT_KICK</v>
      </c>
      <c r="C769" s="7">
        <v>7</v>
      </c>
      <c r="D769" s="2" t="str">
        <f>VLOOKUP($C769,SkillEnum!$D$2:$E$10,2,FALSE)</f>
        <v>ST_SPECIAL_ACTIVE</v>
      </c>
      <c r="E769" s="7" t="str">
        <f>VLOOKUP($A769,SkillEnum!$A$2:$C$1020,3,FALSE)</f>
        <v>어설트 킥</v>
      </c>
      <c r="F769" s="7" t="str">
        <f t="shared" si="105"/>
        <v>2번 발로 차 타격마다 물리공격력의 647 % 데미지를 주고 공중으로 띄워 추가 공격이 가능한 상태로 만든다.</v>
      </c>
      <c r="G769" s="2">
        <v>8</v>
      </c>
      <c r="H769" s="2">
        <v>1.96</v>
      </c>
      <c r="I769" s="2">
        <v>3</v>
      </c>
      <c r="J769" s="2">
        <v>100</v>
      </c>
      <c r="K769" s="2">
        <v>0</v>
      </c>
      <c r="L769" s="2">
        <v>0</v>
      </c>
      <c r="M769" s="2">
        <v>0</v>
      </c>
      <c r="N769" s="2">
        <v>0</v>
      </c>
      <c r="O769" s="2">
        <v>0</v>
      </c>
      <c r="P769" s="2" t="s">
        <v>439</v>
      </c>
      <c r="Q769" s="2" t="str">
        <f t="shared" si="96"/>
        <v>SI_SA_LE_ASSAULT_KICK</v>
      </c>
      <c r="R769" s="2" t="b">
        <v>0</v>
      </c>
      <c r="S769" s="2" t="b">
        <v>1</v>
      </c>
      <c r="T769" s="2">
        <v>1</v>
      </c>
    </row>
    <row r="770" spans="1:21">
      <c r="A770" s="4">
        <v>2001</v>
      </c>
      <c r="B770" s="7" t="str">
        <f>VLOOKUP($A770,SkillEnum!$A$2:$C$1020,2,FALSE)</f>
        <v>SI_SA_LE_ASSAULT_KICK</v>
      </c>
      <c r="C770" s="7">
        <v>7</v>
      </c>
      <c r="D770" s="2" t="str">
        <f>VLOOKUP($C770,SkillEnum!$D$2:$E$10,2,FALSE)</f>
        <v>ST_SPECIAL_ACTIVE</v>
      </c>
      <c r="E770" s="7" t="str">
        <f>VLOOKUP($A770,SkillEnum!$A$2:$C$1020,3,FALSE)</f>
        <v>어설트 킥</v>
      </c>
      <c r="F770" s="7" t="str">
        <f t="shared" si="105"/>
        <v>2번 발로 차 타격마다 물리공격력의 739 % 데미지를 주고 공중으로 띄워 추가 공격이 가능한 상태로 만든다.</v>
      </c>
      <c r="G770" s="2">
        <v>9</v>
      </c>
      <c r="H770" s="2">
        <v>2.2400000000000002</v>
      </c>
      <c r="I770" s="2">
        <v>3</v>
      </c>
      <c r="J770" s="2">
        <v>100</v>
      </c>
      <c r="K770" s="2">
        <v>0</v>
      </c>
      <c r="L770" s="2">
        <v>0</v>
      </c>
      <c r="M770" s="2">
        <v>0</v>
      </c>
      <c r="N770" s="2">
        <v>0</v>
      </c>
      <c r="O770" s="2">
        <v>0</v>
      </c>
      <c r="P770" s="2" t="s">
        <v>439</v>
      </c>
      <c r="Q770" s="2" t="str">
        <f t="shared" si="96"/>
        <v>SI_SA_LE_ASSAULT_KICK</v>
      </c>
      <c r="R770" s="2" t="b">
        <v>0</v>
      </c>
      <c r="S770" s="2" t="b">
        <v>1</v>
      </c>
      <c r="T770" s="2">
        <v>1</v>
      </c>
    </row>
    <row r="771" spans="1:21" s="5" customFormat="1">
      <c r="A771" s="6">
        <v>2001</v>
      </c>
      <c r="B771" s="8" t="str">
        <f>VLOOKUP($A771,SkillEnum!$A$2:$C$1020,2,FALSE)</f>
        <v>SI_SA_LE_ASSAULT_KICK</v>
      </c>
      <c r="C771" s="8">
        <v>7</v>
      </c>
      <c r="D771" s="5" t="str">
        <f>VLOOKUP($C771,SkillEnum!$D$2:$E$10,2,FALSE)</f>
        <v>ST_SPECIAL_ACTIVE</v>
      </c>
      <c r="E771" s="8" t="str">
        <f>VLOOKUP($A771,SkillEnum!$A$2:$C$1020,3,FALSE)</f>
        <v>어설트 킥</v>
      </c>
      <c r="F771" s="8" t="str">
        <f t="shared" si="105"/>
        <v>2번 발로 차 타격마다 물리공격력의 832 % 데미지를 주고 공중으로 띄워 추가 공격이 가능한 상태로 만든다.</v>
      </c>
      <c r="G771" s="5">
        <v>10</v>
      </c>
      <c r="H771" s="5">
        <v>2.52</v>
      </c>
      <c r="I771" s="5">
        <v>3</v>
      </c>
      <c r="J771" s="5">
        <v>100</v>
      </c>
      <c r="K771" s="5">
        <v>0</v>
      </c>
      <c r="L771" s="5">
        <v>0</v>
      </c>
      <c r="M771" s="5">
        <v>0</v>
      </c>
      <c r="N771" s="5">
        <v>0</v>
      </c>
      <c r="O771" s="5">
        <v>0</v>
      </c>
      <c r="P771" s="2" t="s">
        <v>439</v>
      </c>
      <c r="Q771" s="2" t="str">
        <f t="shared" si="96"/>
        <v>SI_SA_LE_ASSAULT_KICK</v>
      </c>
      <c r="R771" s="5" t="b">
        <v>0</v>
      </c>
      <c r="S771" s="2" t="b">
        <v>1</v>
      </c>
      <c r="T771" s="2">
        <v>1</v>
      </c>
      <c r="U771" s="2"/>
    </row>
    <row r="772" spans="1:21" s="10" customFormat="1">
      <c r="A772" s="9">
        <v>2002</v>
      </c>
      <c r="B772" s="11" t="str">
        <f>VLOOKUP($A772,SkillEnum!$A$2:$C$1020,2,FALSE)</f>
        <v>SI_SA_LE_PERFECT_STORM</v>
      </c>
      <c r="C772" s="11">
        <v>7</v>
      </c>
      <c r="D772" s="10" t="str">
        <f>VLOOKUP($C772,SkillEnum!$D$2:$E$10,2,FALSE)</f>
        <v>ST_SPECIAL_ACTIVE</v>
      </c>
      <c r="E772" s="11" t="str">
        <f>VLOOKUP($A772,SkillEnum!$A$2:$C$1020,3,FALSE)</f>
        <v>퍼펙트 스톰</v>
      </c>
      <c r="F772" s="11" t="str">
        <f>"전방에 바람의 화살을 쏘아 지면으로 부터 회오리를 발생 시켜, 마법공격력의 "&amp;ROUND(1.8*H772*100,0)&amp;" % 로 회오리 안의 적을 연속타격 한다."</f>
        <v>전방에 바람의 화살을 쏘아 지면으로 부터 회오리를 발생 시켜, 마법공격력의 126 % 로 회오리 안의 적을 연속타격 한다.</v>
      </c>
      <c r="G772" s="10">
        <v>1</v>
      </c>
      <c r="H772" s="2">
        <v>0.7</v>
      </c>
      <c r="I772" s="2">
        <v>10</v>
      </c>
      <c r="J772" s="10">
        <v>200</v>
      </c>
      <c r="K772" s="2">
        <v>0</v>
      </c>
      <c r="L772" s="2">
        <v>0</v>
      </c>
      <c r="M772" s="2">
        <v>0</v>
      </c>
      <c r="N772" s="2">
        <v>0</v>
      </c>
      <c r="O772" s="2">
        <v>0</v>
      </c>
      <c r="P772" s="2" t="s">
        <v>439</v>
      </c>
      <c r="Q772" s="2" t="str">
        <f t="shared" si="96"/>
        <v>SI_SA_LE_PERFECT_STORM</v>
      </c>
      <c r="R772" s="2" t="b">
        <v>0</v>
      </c>
      <c r="S772" s="2" t="b">
        <v>1</v>
      </c>
      <c r="T772" s="2">
        <v>1</v>
      </c>
      <c r="U772" s="2"/>
    </row>
    <row r="773" spans="1:21">
      <c r="A773" s="4">
        <v>2002</v>
      </c>
      <c r="B773" s="7" t="str">
        <f>VLOOKUP($A773,SkillEnum!$A$2:$C$1020,2,FALSE)</f>
        <v>SI_SA_LE_PERFECT_STORM</v>
      </c>
      <c r="C773" s="7">
        <v>7</v>
      </c>
      <c r="D773" s="2" t="str">
        <f>VLOOKUP($C773,SkillEnum!$D$2:$E$10,2,FALSE)</f>
        <v>ST_SPECIAL_ACTIVE</v>
      </c>
      <c r="E773" s="7" t="str">
        <f>VLOOKUP($A773,SkillEnum!$A$2:$C$1020,3,FALSE)</f>
        <v>퍼펙트 스톰</v>
      </c>
      <c r="F773" s="7" t="str">
        <f t="shared" ref="F773:F781" si="106">"전방에 바람의 화살을 쏘아 지면으로 부터 회오리를 발생 시켜, 마법공격력의 "&amp;ROUND(1.8*H773*100,0)&amp;" % 로 회오리 안의 적을 연속타격 한다."</f>
        <v>전방에 바람의 화살을 쏘아 지면으로 부터 회오리를 발생 시켜, 마법공격력의 151 % 로 회오리 안의 적을 연속타격 한다.</v>
      </c>
      <c r="G773" s="2">
        <v>2</v>
      </c>
      <c r="H773" s="2">
        <v>0.84</v>
      </c>
      <c r="I773" s="2">
        <v>10</v>
      </c>
      <c r="J773" s="2">
        <v>200</v>
      </c>
      <c r="K773" s="2">
        <v>0</v>
      </c>
      <c r="L773" s="2">
        <v>0</v>
      </c>
      <c r="M773" s="2">
        <v>0</v>
      </c>
      <c r="N773" s="2">
        <v>0</v>
      </c>
      <c r="O773" s="2">
        <v>0</v>
      </c>
      <c r="P773" s="2" t="s">
        <v>439</v>
      </c>
      <c r="Q773" s="2" t="str">
        <f t="shared" si="96"/>
        <v>SI_SA_LE_PERFECT_STORM</v>
      </c>
      <c r="R773" s="2" t="b">
        <v>0</v>
      </c>
      <c r="S773" s="2" t="b">
        <v>1</v>
      </c>
      <c r="T773" s="2">
        <v>1</v>
      </c>
    </row>
    <row r="774" spans="1:21">
      <c r="A774" s="4">
        <v>2002</v>
      </c>
      <c r="B774" s="7" t="str">
        <f>VLOOKUP($A774,SkillEnum!$A$2:$C$1020,2,FALSE)</f>
        <v>SI_SA_LE_PERFECT_STORM</v>
      </c>
      <c r="C774" s="7">
        <v>7</v>
      </c>
      <c r="D774" s="2" t="str">
        <f>VLOOKUP($C774,SkillEnum!$D$2:$E$10,2,FALSE)</f>
        <v>ST_SPECIAL_ACTIVE</v>
      </c>
      <c r="E774" s="7" t="str">
        <f>VLOOKUP($A774,SkillEnum!$A$2:$C$1020,3,FALSE)</f>
        <v>퍼펙트 스톰</v>
      </c>
      <c r="F774" s="7" t="str">
        <f t="shared" si="106"/>
        <v>전방에 바람의 화살을 쏘아 지면으로 부터 회오리를 발생 시켜, 마법공격력의 176 % 로 회오리 안의 적을 연속타격 한다.</v>
      </c>
      <c r="G774" s="2">
        <v>3</v>
      </c>
      <c r="H774" s="2">
        <v>0.98</v>
      </c>
      <c r="I774" s="2">
        <v>10</v>
      </c>
      <c r="J774" s="2">
        <v>200</v>
      </c>
      <c r="K774" s="2">
        <v>0</v>
      </c>
      <c r="L774" s="2">
        <v>0</v>
      </c>
      <c r="M774" s="2">
        <v>0</v>
      </c>
      <c r="N774" s="2">
        <v>0</v>
      </c>
      <c r="O774" s="2">
        <v>0</v>
      </c>
      <c r="P774" s="2" t="s">
        <v>439</v>
      </c>
      <c r="Q774" s="2" t="str">
        <f t="shared" si="96"/>
        <v>SI_SA_LE_PERFECT_STORM</v>
      </c>
      <c r="R774" s="2" t="b">
        <v>0</v>
      </c>
      <c r="S774" s="2" t="b">
        <v>1</v>
      </c>
      <c r="T774" s="2">
        <v>1</v>
      </c>
    </row>
    <row r="775" spans="1:21">
      <c r="A775" s="4">
        <v>2002</v>
      </c>
      <c r="B775" s="7" t="str">
        <f>VLOOKUP($A775,SkillEnum!$A$2:$C$1020,2,FALSE)</f>
        <v>SI_SA_LE_PERFECT_STORM</v>
      </c>
      <c r="C775" s="7">
        <v>7</v>
      </c>
      <c r="D775" s="2" t="str">
        <f>VLOOKUP($C775,SkillEnum!$D$2:$E$10,2,FALSE)</f>
        <v>ST_SPECIAL_ACTIVE</v>
      </c>
      <c r="E775" s="7" t="str">
        <f>VLOOKUP($A775,SkillEnum!$A$2:$C$1020,3,FALSE)</f>
        <v>퍼펙트 스톰</v>
      </c>
      <c r="F775" s="7" t="str">
        <f t="shared" si="106"/>
        <v>전방에 바람의 화살을 쏘아 지면으로 부터 회오리를 발생 시켜, 마법공격력의 202 % 로 회오리 안의 적을 연속타격 한다.</v>
      </c>
      <c r="G775" s="2">
        <v>4</v>
      </c>
      <c r="H775" s="2">
        <v>1.1200000000000001</v>
      </c>
      <c r="I775" s="2">
        <v>10</v>
      </c>
      <c r="J775" s="2">
        <v>200</v>
      </c>
      <c r="K775" s="2">
        <v>0</v>
      </c>
      <c r="L775" s="2">
        <v>0</v>
      </c>
      <c r="M775" s="2">
        <v>0</v>
      </c>
      <c r="N775" s="2">
        <v>0</v>
      </c>
      <c r="O775" s="2">
        <v>0</v>
      </c>
      <c r="P775" s="2" t="s">
        <v>439</v>
      </c>
      <c r="Q775" s="2" t="str">
        <f t="shared" si="96"/>
        <v>SI_SA_LE_PERFECT_STORM</v>
      </c>
      <c r="R775" s="2" t="b">
        <v>0</v>
      </c>
      <c r="S775" s="2" t="b">
        <v>1</v>
      </c>
      <c r="T775" s="2">
        <v>1</v>
      </c>
    </row>
    <row r="776" spans="1:21">
      <c r="A776" s="4">
        <v>2002</v>
      </c>
      <c r="B776" s="7" t="str">
        <f>VLOOKUP($A776,SkillEnum!$A$2:$C$1020,2,FALSE)</f>
        <v>SI_SA_LE_PERFECT_STORM</v>
      </c>
      <c r="C776" s="7">
        <v>7</v>
      </c>
      <c r="D776" s="2" t="str">
        <f>VLOOKUP($C776,SkillEnum!$D$2:$E$10,2,FALSE)</f>
        <v>ST_SPECIAL_ACTIVE</v>
      </c>
      <c r="E776" s="7" t="str">
        <f>VLOOKUP($A776,SkillEnum!$A$2:$C$1020,3,FALSE)</f>
        <v>퍼펙트 스톰</v>
      </c>
      <c r="F776" s="7" t="str">
        <f t="shared" si="106"/>
        <v>전방에 바람의 화살을 쏘아 지면으로 부터 회오리를 발생 시켜, 마법공격력의 239 % 로 회오리 안의 적을 연속타격 한다.</v>
      </c>
      <c r="G776" s="2">
        <v>5</v>
      </c>
      <c r="H776" s="2">
        <v>1.33</v>
      </c>
      <c r="I776" s="2">
        <v>10</v>
      </c>
      <c r="J776" s="2">
        <v>200</v>
      </c>
      <c r="K776" s="2">
        <v>0</v>
      </c>
      <c r="L776" s="2">
        <v>0</v>
      </c>
      <c r="M776" s="2">
        <v>0</v>
      </c>
      <c r="N776" s="2">
        <v>0</v>
      </c>
      <c r="O776" s="2">
        <v>0</v>
      </c>
      <c r="P776" s="2" t="s">
        <v>439</v>
      </c>
      <c r="Q776" s="2" t="str">
        <f t="shared" si="96"/>
        <v>SI_SA_LE_PERFECT_STORM</v>
      </c>
      <c r="R776" s="2" t="b">
        <v>0</v>
      </c>
      <c r="S776" s="2" t="b">
        <v>1</v>
      </c>
      <c r="T776" s="2">
        <v>1</v>
      </c>
    </row>
    <row r="777" spans="1:21">
      <c r="A777" s="4">
        <v>2002</v>
      </c>
      <c r="B777" s="7" t="str">
        <f>VLOOKUP($A777,SkillEnum!$A$2:$C$1020,2,FALSE)</f>
        <v>SI_SA_LE_PERFECT_STORM</v>
      </c>
      <c r="C777" s="7">
        <v>7</v>
      </c>
      <c r="D777" s="2" t="str">
        <f>VLOOKUP($C777,SkillEnum!$D$2:$E$10,2,FALSE)</f>
        <v>ST_SPECIAL_ACTIVE</v>
      </c>
      <c r="E777" s="7" t="str">
        <f>VLOOKUP($A777,SkillEnum!$A$2:$C$1020,3,FALSE)</f>
        <v>퍼펙트 스톰</v>
      </c>
      <c r="F777" s="7" t="str">
        <f t="shared" si="106"/>
        <v>전방에 바람의 화살을 쏘아 지면으로 부터 회오리를 발생 시켜, 마법공격력의 277 % 로 회오리 안의 적을 연속타격 한다.</v>
      </c>
      <c r="G777" s="2">
        <v>6</v>
      </c>
      <c r="H777" s="2">
        <v>1.54</v>
      </c>
      <c r="I777" s="2">
        <v>10</v>
      </c>
      <c r="J777" s="2">
        <v>200</v>
      </c>
      <c r="K777" s="2">
        <v>0</v>
      </c>
      <c r="L777" s="2">
        <v>0</v>
      </c>
      <c r="M777" s="2">
        <v>0</v>
      </c>
      <c r="N777" s="2">
        <v>0</v>
      </c>
      <c r="O777" s="2">
        <v>0</v>
      </c>
      <c r="P777" s="2" t="s">
        <v>439</v>
      </c>
      <c r="Q777" s="2" t="str">
        <f t="shared" si="96"/>
        <v>SI_SA_LE_PERFECT_STORM</v>
      </c>
      <c r="R777" s="2" t="b">
        <v>0</v>
      </c>
      <c r="S777" s="2" t="b">
        <v>1</v>
      </c>
      <c r="T777" s="2">
        <v>1</v>
      </c>
    </row>
    <row r="778" spans="1:21">
      <c r="A778" s="4">
        <v>2002</v>
      </c>
      <c r="B778" s="7" t="str">
        <f>VLOOKUP($A778,SkillEnum!$A$2:$C$1020,2,FALSE)</f>
        <v>SI_SA_LE_PERFECT_STORM</v>
      </c>
      <c r="C778" s="7">
        <v>7</v>
      </c>
      <c r="D778" s="2" t="str">
        <f>VLOOKUP($C778,SkillEnum!$D$2:$E$10,2,FALSE)</f>
        <v>ST_SPECIAL_ACTIVE</v>
      </c>
      <c r="E778" s="7" t="str">
        <f>VLOOKUP($A778,SkillEnum!$A$2:$C$1020,3,FALSE)</f>
        <v>퍼펙트 스톰</v>
      </c>
      <c r="F778" s="7" t="str">
        <f t="shared" si="106"/>
        <v>전방에 바람의 화살을 쏘아 지면으로 부터 회오리를 발생 시켜, 마법공격력의 315 % 로 회오리 안의 적을 연속타격 한다.</v>
      </c>
      <c r="G778" s="2">
        <v>7</v>
      </c>
      <c r="H778" s="2">
        <v>1.75</v>
      </c>
      <c r="I778" s="2">
        <v>10</v>
      </c>
      <c r="J778" s="2">
        <v>200</v>
      </c>
      <c r="K778" s="2">
        <v>0</v>
      </c>
      <c r="L778" s="2">
        <v>0</v>
      </c>
      <c r="M778" s="2">
        <v>0</v>
      </c>
      <c r="N778" s="2">
        <v>0</v>
      </c>
      <c r="O778" s="2">
        <v>0</v>
      </c>
      <c r="P778" s="2" t="s">
        <v>439</v>
      </c>
      <c r="Q778" s="2" t="str">
        <f t="shared" si="96"/>
        <v>SI_SA_LE_PERFECT_STORM</v>
      </c>
      <c r="R778" s="2" t="b">
        <v>0</v>
      </c>
      <c r="S778" s="2" t="b">
        <v>1</v>
      </c>
      <c r="T778" s="2">
        <v>1</v>
      </c>
    </row>
    <row r="779" spans="1:21">
      <c r="A779" s="4">
        <v>2002</v>
      </c>
      <c r="B779" s="7" t="str">
        <f>VLOOKUP($A779,SkillEnum!$A$2:$C$1020,2,FALSE)</f>
        <v>SI_SA_LE_PERFECT_STORM</v>
      </c>
      <c r="C779" s="7">
        <v>7</v>
      </c>
      <c r="D779" s="2" t="str">
        <f>VLOOKUP($C779,SkillEnum!$D$2:$E$10,2,FALSE)</f>
        <v>ST_SPECIAL_ACTIVE</v>
      </c>
      <c r="E779" s="7" t="str">
        <f>VLOOKUP($A779,SkillEnum!$A$2:$C$1020,3,FALSE)</f>
        <v>퍼펙트 스톰</v>
      </c>
      <c r="F779" s="7" t="str">
        <f t="shared" si="106"/>
        <v>전방에 바람의 화살을 쏘아 지면으로 부터 회오리를 발생 시켜, 마법공격력의 353 % 로 회오리 안의 적을 연속타격 한다.</v>
      </c>
      <c r="G779" s="2">
        <v>8</v>
      </c>
      <c r="H779" s="2">
        <v>1.96</v>
      </c>
      <c r="I779" s="2">
        <v>10</v>
      </c>
      <c r="J779" s="2">
        <v>200</v>
      </c>
      <c r="K779" s="2">
        <v>0</v>
      </c>
      <c r="L779" s="2">
        <v>0</v>
      </c>
      <c r="M779" s="2">
        <v>0</v>
      </c>
      <c r="N779" s="2">
        <v>0</v>
      </c>
      <c r="O779" s="2">
        <v>0</v>
      </c>
      <c r="P779" s="2" t="s">
        <v>439</v>
      </c>
      <c r="Q779" s="2" t="str">
        <f t="shared" si="96"/>
        <v>SI_SA_LE_PERFECT_STORM</v>
      </c>
      <c r="R779" s="2" t="b">
        <v>0</v>
      </c>
      <c r="S779" s="2" t="b">
        <v>1</v>
      </c>
      <c r="T779" s="2">
        <v>1</v>
      </c>
    </row>
    <row r="780" spans="1:21">
      <c r="A780" s="4">
        <v>2002</v>
      </c>
      <c r="B780" s="7" t="str">
        <f>VLOOKUP($A780,SkillEnum!$A$2:$C$1020,2,FALSE)</f>
        <v>SI_SA_LE_PERFECT_STORM</v>
      </c>
      <c r="C780" s="7">
        <v>7</v>
      </c>
      <c r="D780" s="2" t="str">
        <f>VLOOKUP($C780,SkillEnum!$D$2:$E$10,2,FALSE)</f>
        <v>ST_SPECIAL_ACTIVE</v>
      </c>
      <c r="E780" s="7" t="str">
        <f>VLOOKUP($A780,SkillEnum!$A$2:$C$1020,3,FALSE)</f>
        <v>퍼펙트 스톰</v>
      </c>
      <c r="F780" s="7" t="str">
        <f t="shared" si="106"/>
        <v>전방에 바람의 화살을 쏘아 지면으로 부터 회오리를 발생 시켜, 마법공격력의 403 % 로 회오리 안의 적을 연속타격 한다.</v>
      </c>
      <c r="G780" s="2">
        <v>9</v>
      </c>
      <c r="H780" s="2">
        <v>2.2400000000000002</v>
      </c>
      <c r="I780" s="2">
        <v>10</v>
      </c>
      <c r="J780" s="2">
        <v>200</v>
      </c>
      <c r="K780" s="2">
        <v>0</v>
      </c>
      <c r="L780" s="2">
        <v>0</v>
      </c>
      <c r="M780" s="2">
        <v>0</v>
      </c>
      <c r="N780" s="2">
        <v>0</v>
      </c>
      <c r="O780" s="2">
        <v>0</v>
      </c>
      <c r="P780" s="2" t="s">
        <v>439</v>
      </c>
      <c r="Q780" s="2" t="str">
        <f t="shared" si="96"/>
        <v>SI_SA_LE_PERFECT_STORM</v>
      </c>
      <c r="R780" s="2" t="b">
        <v>0</v>
      </c>
      <c r="S780" s="2" t="b">
        <v>1</v>
      </c>
      <c r="T780" s="2">
        <v>1</v>
      </c>
    </row>
    <row r="781" spans="1:21" s="5" customFormat="1">
      <c r="A781" s="6">
        <v>2002</v>
      </c>
      <c r="B781" s="8" t="str">
        <f>VLOOKUP($A781,SkillEnum!$A$2:$C$1020,2,FALSE)</f>
        <v>SI_SA_LE_PERFECT_STORM</v>
      </c>
      <c r="C781" s="8">
        <v>7</v>
      </c>
      <c r="D781" s="5" t="str">
        <f>VLOOKUP($C781,SkillEnum!$D$2:$E$10,2,FALSE)</f>
        <v>ST_SPECIAL_ACTIVE</v>
      </c>
      <c r="E781" s="8" t="str">
        <f>VLOOKUP($A781,SkillEnum!$A$2:$C$1020,3,FALSE)</f>
        <v>퍼펙트 스톰</v>
      </c>
      <c r="F781" s="8" t="str">
        <f t="shared" si="106"/>
        <v>전방에 바람의 화살을 쏘아 지면으로 부터 회오리를 발생 시켜, 마법공격력의 454 % 로 회오리 안의 적을 연속타격 한다.</v>
      </c>
      <c r="G781" s="5">
        <v>10</v>
      </c>
      <c r="H781" s="5">
        <v>2.52</v>
      </c>
      <c r="I781" s="5">
        <v>10</v>
      </c>
      <c r="J781" s="5">
        <v>200</v>
      </c>
      <c r="K781" s="5">
        <v>0</v>
      </c>
      <c r="L781" s="5">
        <v>0</v>
      </c>
      <c r="M781" s="5">
        <v>0</v>
      </c>
      <c r="N781" s="5">
        <v>0</v>
      </c>
      <c r="O781" s="5">
        <v>0</v>
      </c>
      <c r="P781" s="2" t="s">
        <v>439</v>
      </c>
      <c r="Q781" s="2" t="str">
        <f t="shared" si="96"/>
        <v>SI_SA_LE_PERFECT_STORM</v>
      </c>
      <c r="R781" s="5" t="b">
        <v>0</v>
      </c>
      <c r="S781" s="2" t="b">
        <v>1</v>
      </c>
      <c r="T781" s="2">
        <v>1</v>
      </c>
      <c r="U781" s="2"/>
    </row>
    <row r="782" spans="1:21" s="10" customFormat="1">
      <c r="A782" s="9">
        <v>2003</v>
      </c>
      <c r="B782" s="11" t="str">
        <f>VLOOKUP($A782,SkillEnum!$A$2:$C$1020,2,FALSE)</f>
        <v>SI_SA_LE_MULTIPLE_STINGER</v>
      </c>
      <c r="C782" s="11">
        <v>7</v>
      </c>
      <c r="D782" s="10" t="str">
        <f>VLOOKUP($C782,SkillEnum!$D$2:$E$10,2,FALSE)</f>
        <v>ST_SPECIAL_ACTIVE</v>
      </c>
      <c r="E782" s="11" t="str">
        <f>VLOOKUP($A782,SkillEnum!$A$2:$C$1020,3,FALSE)</f>
        <v>멀티플 스팅거</v>
      </c>
      <c r="F782" s="11" t="str">
        <f>"마법공격력의 "&amp;ROUND(4.5*0.8*H782*100,0)&amp;" % 데미지를 가진 강력한 마법의 화살 3발을 장전해 3방향으로 발사한다. (각성 시 모든 대상을 관통한다.)"</f>
        <v>마법공격력의 252 % 데미지를 가진 강력한 마법의 화살 3발을 장전해 3방향으로 발사한다. (각성 시 모든 대상을 관통한다.)</v>
      </c>
      <c r="G782" s="10">
        <v>1</v>
      </c>
      <c r="H782" s="2">
        <v>0.7</v>
      </c>
      <c r="I782" s="2">
        <v>10</v>
      </c>
      <c r="J782" s="10">
        <v>200</v>
      </c>
      <c r="K782" s="2">
        <v>0</v>
      </c>
      <c r="L782" s="2">
        <v>0</v>
      </c>
      <c r="M782" s="2">
        <v>0</v>
      </c>
      <c r="N782" s="2">
        <v>0</v>
      </c>
      <c r="O782" s="2">
        <v>0</v>
      </c>
      <c r="P782" s="2" t="s">
        <v>439</v>
      </c>
      <c r="Q782" s="2" t="str">
        <f t="shared" si="96"/>
        <v>SI_SA_LE_MULTIPLE_STINGER</v>
      </c>
      <c r="R782" s="2" t="b">
        <v>0</v>
      </c>
      <c r="S782" s="2" t="b">
        <v>1</v>
      </c>
      <c r="T782" s="2">
        <v>1</v>
      </c>
      <c r="U782" s="2"/>
    </row>
    <row r="783" spans="1:21">
      <c r="A783" s="4">
        <v>2003</v>
      </c>
      <c r="B783" s="7" t="str">
        <f>VLOOKUP($A783,SkillEnum!$A$2:$C$1020,2,FALSE)</f>
        <v>SI_SA_LE_MULTIPLE_STINGER</v>
      </c>
      <c r="C783" s="7">
        <v>7</v>
      </c>
      <c r="D783" s="2" t="str">
        <f>VLOOKUP($C783,SkillEnum!$D$2:$E$10,2,FALSE)</f>
        <v>ST_SPECIAL_ACTIVE</v>
      </c>
      <c r="E783" s="7" t="str">
        <f>VLOOKUP($A783,SkillEnum!$A$2:$C$1020,3,FALSE)</f>
        <v>멀티플 스팅거</v>
      </c>
      <c r="F783" s="7" t="str">
        <f t="shared" ref="F783:F791" si="107">"마법공격력의 "&amp;ROUND(4.5*0.8*H783*100,0)&amp;" % 데미지를 가진 강력한 마법의 화살 3발을 장전해 3방향으로 발사한다. (각성 시 모든 대상을 관통한다.)"</f>
        <v>마법공격력의 302 % 데미지를 가진 강력한 마법의 화살 3발을 장전해 3방향으로 발사한다. (각성 시 모든 대상을 관통한다.)</v>
      </c>
      <c r="G783" s="2">
        <v>2</v>
      </c>
      <c r="H783" s="2">
        <v>0.84</v>
      </c>
      <c r="I783" s="2">
        <v>10</v>
      </c>
      <c r="J783" s="2">
        <v>200</v>
      </c>
      <c r="K783" s="2">
        <v>0</v>
      </c>
      <c r="L783" s="2">
        <v>0</v>
      </c>
      <c r="M783" s="2">
        <v>0</v>
      </c>
      <c r="N783" s="2">
        <v>0</v>
      </c>
      <c r="O783" s="2">
        <v>0</v>
      </c>
      <c r="P783" s="2" t="s">
        <v>439</v>
      </c>
      <c r="Q783" s="2" t="str">
        <f t="shared" si="96"/>
        <v>SI_SA_LE_MULTIPLE_STINGER</v>
      </c>
      <c r="R783" s="2" t="b">
        <v>0</v>
      </c>
      <c r="S783" s="2" t="b">
        <v>1</v>
      </c>
      <c r="T783" s="2">
        <v>1</v>
      </c>
    </row>
    <row r="784" spans="1:21">
      <c r="A784" s="4">
        <v>2003</v>
      </c>
      <c r="B784" s="7" t="str">
        <f>VLOOKUP($A784,SkillEnum!$A$2:$C$1020,2,FALSE)</f>
        <v>SI_SA_LE_MULTIPLE_STINGER</v>
      </c>
      <c r="C784" s="7">
        <v>7</v>
      </c>
      <c r="D784" s="2" t="str">
        <f>VLOOKUP($C784,SkillEnum!$D$2:$E$10,2,FALSE)</f>
        <v>ST_SPECIAL_ACTIVE</v>
      </c>
      <c r="E784" s="7" t="str">
        <f>VLOOKUP($A784,SkillEnum!$A$2:$C$1020,3,FALSE)</f>
        <v>멀티플 스팅거</v>
      </c>
      <c r="F784" s="7" t="str">
        <f t="shared" si="107"/>
        <v>마법공격력의 353 % 데미지를 가진 강력한 마법의 화살 3발을 장전해 3방향으로 발사한다. (각성 시 모든 대상을 관통한다.)</v>
      </c>
      <c r="G784" s="2">
        <v>3</v>
      </c>
      <c r="H784" s="2">
        <v>0.98</v>
      </c>
      <c r="I784" s="2">
        <v>10</v>
      </c>
      <c r="J784" s="2">
        <v>200</v>
      </c>
      <c r="K784" s="2">
        <v>0</v>
      </c>
      <c r="L784" s="2">
        <v>0</v>
      </c>
      <c r="M784" s="2">
        <v>0</v>
      </c>
      <c r="N784" s="2">
        <v>0</v>
      </c>
      <c r="O784" s="2">
        <v>0</v>
      </c>
      <c r="P784" s="2" t="s">
        <v>439</v>
      </c>
      <c r="Q784" s="2" t="str">
        <f t="shared" si="96"/>
        <v>SI_SA_LE_MULTIPLE_STINGER</v>
      </c>
      <c r="R784" s="2" t="b">
        <v>0</v>
      </c>
      <c r="S784" s="2" t="b">
        <v>1</v>
      </c>
      <c r="T784" s="2">
        <v>1</v>
      </c>
    </row>
    <row r="785" spans="1:21">
      <c r="A785" s="4">
        <v>2003</v>
      </c>
      <c r="B785" s="7" t="str">
        <f>VLOOKUP($A785,SkillEnum!$A$2:$C$1020,2,FALSE)</f>
        <v>SI_SA_LE_MULTIPLE_STINGER</v>
      </c>
      <c r="C785" s="7">
        <v>7</v>
      </c>
      <c r="D785" s="2" t="str">
        <f>VLOOKUP($C785,SkillEnum!$D$2:$E$10,2,FALSE)</f>
        <v>ST_SPECIAL_ACTIVE</v>
      </c>
      <c r="E785" s="7" t="str">
        <f>VLOOKUP($A785,SkillEnum!$A$2:$C$1020,3,FALSE)</f>
        <v>멀티플 스팅거</v>
      </c>
      <c r="F785" s="7" t="str">
        <f t="shared" si="107"/>
        <v>마법공격력의 403 % 데미지를 가진 강력한 마법의 화살 3발을 장전해 3방향으로 발사한다. (각성 시 모든 대상을 관통한다.)</v>
      </c>
      <c r="G785" s="2">
        <v>4</v>
      </c>
      <c r="H785" s="2">
        <v>1.1200000000000001</v>
      </c>
      <c r="I785" s="2">
        <v>10</v>
      </c>
      <c r="J785" s="2">
        <v>200</v>
      </c>
      <c r="K785" s="2">
        <v>0</v>
      </c>
      <c r="L785" s="2">
        <v>0</v>
      </c>
      <c r="M785" s="2">
        <v>0</v>
      </c>
      <c r="N785" s="2">
        <v>0</v>
      </c>
      <c r="O785" s="2">
        <v>0</v>
      </c>
      <c r="P785" s="2" t="s">
        <v>439</v>
      </c>
      <c r="Q785" s="2" t="str">
        <f t="shared" si="96"/>
        <v>SI_SA_LE_MULTIPLE_STINGER</v>
      </c>
      <c r="R785" s="2" t="b">
        <v>0</v>
      </c>
      <c r="S785" s="2" t="b">
        <v>1</v>
      </c>
      <c r="T785" s="2">
        <v>1</v>
      </c>
    </row>
    <row r="786" spans="1:21">
      <c r="A786" s="4">
        <v>2003</v>
      </c>
      <c r="B786" s="7" t="str">
        <f>VLOOKUP($A786,SkillEnum!$A$2:$C$1020,2,FALSE)</f>
        <v>SI_SA_LE_MULTIPLE_STINGER</v>
      </c>
      <c r="C786" s="7">
        <v>7</v>
      </c>
      <c r="D786" s="2" t="str">
        <f>VLOOKUP($C786,SkillEnum!$D$2:$E$10,2,FALSE)</f>
        <v>ST_SPECIAL_ACTIVE</v>
      </c>
      <c r="E786" s="7" t="str">
        <f>VLOOKUP($A786,SkillEnum!$A$2:$C$1020,3,FALSE)</f>
        <v>멀티플 스팅거</v>
      </c>
      <c r="F786" s="7" t="str">
        <f t="shared" si="107"/>
        <v>마법공격력의 479 % 데미지를 가진 강력한 마법의 화살 3발을 장전해 3방향으로 발사한다. (각성 시 모든 대상을 관통한다.)</v>
      </c>
      <c r="G786" s="2">
        <v>5</v>
      </c>
      <c r="H786" s="2">
        <v>1.33</v>
      </c>
      <c r="I786" s="2">
        <v>10</v>
      </c>
      <c r="J786" s="2">
        <v>200</v>
      </c>
      <c r="K786" s="2">
        <v>0</v>
      </c>
      <c r="L786" s="2">
        <v>0</v>
      </c>
      <c r="M786" s="2">
        <v>0</v>
      </c>
      <c r="N786" s="2">
        <v>0</v>
      </c>
      <c r="O786" s="2">
        <v>0</v>
      </c>
      <c r="P786" s="2" t="s">
        <v>439</v>
      </c>
      <c r="Q786" s="2" t="str">
        <f t="shared" si="96"/>
        <v>SI_SA_LE_MULTIPLE_STINGER</v>
      </c>
      <c r="R786" s="2" t="b">
        <v>0</v>
      </c>
      <c r="S786" s="2" t="b">
        <v>1</v>
      </c>
      <c r="T786" s="2">
        <v>1</v>
      </c>
    </row>
    <row r="787" spans="1:21">
      <c r="A787" s="4">
        <v>2003</v>
      </c>
      <c r="B787" s="7" t="str">
        <f>VLOOKUP($A787,SkillEnum!$A$2:$C$1020,2,FALSE)</f>
        <v>SI_SA_LE_MULTIPLE_STINGER</v>
      </c>
      <c r="C787" s="7">
        <v>7</v>
      </c>
      <c r="D787" s="2" t="str">
        <f>VLOOKUP($C787,SkillEnum!$D$2:$E$10,2,FALSE)</f>
        <v>ST_SPECIAL_ACTIVE</v>
      </c>
      <c r="E787" s="7" t="str">
        <f>VLOOKUP($A787,SkillEnum!$A$2:$C$1020,3,FALSE)</f>
        <v>멀티플 스팅거</v>
      </c>
      <c r="F787" s="7" t="str">
        <f t="shared" si="107"/>
        <v>마법공격력의 554 % 데미지를 가진 강력한 마법의 화살 3발을 장전해 3방향으로 발사한다. (각성 시 모든 대상을 관통한다.)</v>
      </c>
      <c r="G787" s="2">
        <v>6</v>
      </c>
      <c r="H787" s="2">
        <v>1.54</v>
      </c>
      <c r="I787" s="2">
        <v>10</v>
      </c>
      <c r="J787" s="2">
        <v>200</v>
      </c>
      <c r="K787" s="2">
        <v>0</v>
      </c>
      <c r="L787" s="2">
        <v>0</v>
      </c>
      <c r="M787" s="2">
        <v>0</v>
      </c>
      <c r="N787" s="2">
        <v>0</v>
      </c>
      <c r="O787" s="2">
        <v>0</v>
      </c>
      <c r="P787" s="2" t="s">
        <v>439</v>
      </c>
      <c r="Q787" s="2" t="str">
        <f t="shared" ref="Q787:Q850" si="108">B787</f>
        <v>SI_SA_LE_MULTIPLE_STINGER</v>
      </c>
      <c r="R787" s="2" t="b">
        <v>0</v>
      </c>
      <c r="S787" s="2" t="b">
        <v>1</v>
      </c>
      <c r="T787" s="2">
        <v>1</v>
      </c>
    </row>
    <row r="788" spans="1:21">
      <c r="A788" s="4">
        <v>2003</v>
      </c>
      <c r="B788" s="7" t="str">
        <f>VLOOKUP($A788,SkillEnum!$A$2:$C$1020,2,FALSE)</f>
        <v>SI_SA_LE_MULTIPLE_STINGER</v>
      </c>
      <c r="C788" s="7">
        <v>7</v>
      </c>
      <c r="D788" s="2" t="str">
        <f>VLOOKUP($C788,SkillEnum!$D$2:$E$10,2,FALSE)</f>
        <v>ST_SPECIAL_ACTIVE</v>
      </c>
      <c r="E788" s="7" t="str">
        <f>VLOOKUP($A788,SkillEnum!$A$2:$C$1020,3,FALSE)</f>
        <v>멀티플 스팅거</v>
      </c>
      <c r="F788" s="7" t="str">
        <f t="shared" si="107"/>
        <v>마법공격력의 630 % 데미지를 가진 강력한 마법의 화살 3발을 장전해 3방향으로 발사한다. (각성 시 모든 대상을 관통한다.)</v>
      </c>
      <c r="G788" s="2">
        <v>7</v>
      </c>
      <c r="H788" s="2">
        <v>1.75</v>
      </c>
      <c r="I788" s="2">
        <v>10</v>
      </c>
      <c r="J788" s="2">
        <v>200</v>
      </c>
      <c r="K788" s="2">
        <v>0</v>
      </c>
      <c r="L788" s="2">
        <v>0</v>
      </c>
      <c r="M788" s="2">
        <v>0</v>
      </c>
      <c r="N788" s="2">
        <v>0</v>
      </c>
      <c r="O788" s="2">
        <v>0</v>
      </c>
      <c r="P788" s="2" t="s">
        <v>439</v>
      </c>
      <c r="Q788" s="2" t="str">
        <f t="shared" si="108"/>
        <v>SI_SA_LE_MULTIPLE_STINGER</v>
      </c>
      <c r="R788" s="2" t="b">
        <v>0</v>
      </c>
      <c r="S788" s="2" t="b">
        <v>1</v>
      </c>
      <c r="T788" s="2">
        <v>1</v>
      </c>
    </row>
    <row r="789" spans="1:21">
      <c r="A789" s="4">
        <v>2003</v>
      </c>
      <c r="B789" s="7" t="str">
        <f>VLOOKUP($A789,SkillEnum!$A$2:$C$1020,2,FALSE)</f>
        <v>SI_SA_LE_MULTIPLE_STINGER</v>
      </c>
      <c r="C789" s="7">
        <v>7</v>
      </c>
      <c r="D789" s="2" t="str">
        <f>VLOOKUP($C789,SkillEnum!$D$2:$E$10,2,FALSE)</f>
        <v>ST_SPECIAL_ACTIVE</v>
      </c>
      <c r="E789" s="7" t="str">
        <f>VLOOKUP($A789,SkillEnum!$A$2:$C$1020,3,FALSE)</f>
        <v>멀티플 스팅거</v>
      </c>
      <c r="F789" s="7" t="str">
        <f t="shared" si="107"/>
        <v>마법공격력의 706 % 데미지를 가진 강력한 마법의 화살 3발을 장전해 3방향으로 발사한다. (각성 시 모든 대상을 관통한다.)</v>
      </c>
      <c r="G789" s="2">
        <v>8</v>
      </c>
      <c r="H789" s="2">
        <v>1.96</v>
      </c>
      <c r="I789" s="2">
        <v>10</v>
      </c>
      <c r="J789" s="2">
        <v>200</v>
      </c>
      <c r="K789" s="2">
        <v>0</v>
      </c>
      <c r="L789" s="2">
        <v>0</v>
      </c>
      <c r="M789" s="2">
        <v>0</v>
      </c>
      <c r="N789" s="2">
        <v>0</v>
      </c>
      <c r="O789" s="2">
        <v>0</v>
      </c>
      <c r="P789" s="2" t="s">
        <v>439</v>
      </c>
      <c r="Q789" s="2" t="str">
        <f t="shared" si="108"/>
        <v>SI_SA_LE_MULTIPLE_STINGER</v>
      </c>
      <c r="R789" s="2" t="b">
        <v>0</v>
      </c>
      <c r="S789" s="2" t="b">
        <v>1</v>
      </c>
      <c r="T789" s="2">
        <v>1</v>
      </c>
    </row>
    <row r="790" spans="1:21">
      <c r="A790" s="4">
        <v>2003</v>
      </c>
      <c r="B790" s="7" t="str">
        <f>VLOOKUP($A790,SkillEnum!$A$2:$C$1020,2,FALSE)</f>
        <v>SI_SA_LE_MULTIPLE_STINGER</v>
      </c>
      <c r="C790" s="7">
        <v>7</v>
      </c>
      <c r="D790" s="2" t="str">
        <f>VLOOKUP($C790,SkillEnum!$D$2:$E$10,2,FALSE)</f>
        <v>ST_SPECIAL_ACTIVE</v>
      </c>
      <c r="E790" s="7" t="str">
        <f>VLOOKUP($A790,SkillEnum!$A$2:$C$1020,3,FALSE)</f>
        <v>멀티플 스팅거</v>
      </c>
      <c r="F790" s="7" t="str">
        <f t="shared" si="107"/>
        <v>마법공격력의 806 % 데미지를 가진 강력한 마법의 화살 3발을 장전해 3방향으로 발사한다. (각성 시 모든 대상을 관통한다.)</v>
      </c>
      <c r="G790" s="2">
        <v>9</v>
      </c>
      <c r="H790" s="2">
        <v>2.2400000000000002</v>
      </c>
      <c r="I790" s="2">
        <v>10</v>
      </c>
      <c r="J790" s="2">
        <v>200</v>
      </c>
      <c r="K790" s="2">
        <v>0</v>
      </c>
      <c r="L790" s="2">
        <v>0</v>
      </c>
      <c r="M790" s="2">
        <v>0</v>
      </c>
      <c r="N790" s="2">
        <v>0</v>
      </c>
      <c r="O790" s="2">
        <v>0</v>
      </c>
      <c r="P790" s="2" t="s">
        <v>439</v>
      </c>
      <c r="Q790" s="2" t="str">
        <f t="shared" si="108"/>
        <v>SI_SA_LE_MULTIPLE_STINGER</v>
      </c>
      <c r="R790" s="2" t="b">
        <v>0</v>
      </c>
      <c r="S790" s="2" t="b">
        <v>1</v>
      </c>
      <c r="T790" s="2">
        <v>1</v>
      </c>
    </row>
    <row r="791" spans="1:21" s="5" customFormat="1">
      <c r="A791" s="6">
        <v>2003</v>
      </c>
      <c r="B791" s="8" t="str">
        <f>VLOOKUP($A791,SkillEnum!$A$2:$C$1020,2,FALSE)</f>
        <v>SI_SA_LE_MULTIPLE_STINGER</v>
      </c>
      <c r="C791" s="8">
        <v>7</v>
      </c>
      <c r="D791" s="5" t="str">
        <f>VLOOKUP($C791,SkillEnum!$D$2:$E$10,2,FALSE)</f>
        <v>ST_SPECIAL_ACTIVE</v>
      </c>
      <c r="E791" s="8" t="str">
        <f>VLOOKUP($A791,SkillEnum!$A$2:$C$1020,3,FALSE)</f>
        <v>멀티플 스팅거</v>
      </c>
      <c r="F791" s="8" t="str">
        <f t="shared" si="107"/>
        <v>마법공격력의 907 % 데미지를 가진 강력한 마법의 화살 3발을 장전해 3방향으로 발사한다. (각성 시 모든 대상을 관통한다.)</v>
      </c>
      <c r="G791" s="5">
        <v>10</v>
      </c>
      <c r="H791" s="5">
        <v>2.52</v>
      </c>
      <c r="I791" s="5">
        <v>10</v>
      </c>
      <c r="J791" s="5">
        <v>200</v>
      </c>
      <c r="K791" s="5">
        <v>0</v>
      </c>
      <c r="L791" s="5">
        <v>0</v>
      </c>
      <c r="M791" s="5">
        <v>0</v>
      </c>
      <c r="N791" s="5">
        <v>0</v>
      </c>
      <c r="O791" s="5">
        <v>0</v>
      </c>
      <c r="P791" s="2" t="s">
        <v>439</v>
      </c>
      <c r="Q791" s="2" t="str">
        <f t="shared" si="108"/>
        <v>SI_SA_LE_MULTIPLE_STINGER</v>
      </c>
      <c r="R791" s="5" t="b">
        <v>0</v>
      </c>
      <c r="S791" s="2" t="b">
        <v>1</v>
      </c>
      <c r="T791" s="2">
        <v>1</v>
      </c>
      <c r="U791" s="2"/>
    </row>
    <row r="792" spans="1:21" s="10" customFormat="1">
      <c r="A792" s="9">
        <v>2004</v>
      </c>
      <c r="B792" s="11" t="str">
        <f>VLOOKUP($A792,SkillEnum!$A$2:$C$1020,2,FALSE)</f>
        <v>SI_SA_LE_AERO_TORNADO</v>
      </c>
      <c r="C792" s="11">
        <v>7</v>
      </c>
      <c r="D792" s="10" t="str">
        <f>VLOOKUP($C792,SkillEnum!$D$2:$E$10,2,FALSE)</f>
        <v>ST_SPECIAL_ACTIVE</v>
      </c>
      <c r="E792" s="11" t="str">
        <f>VLOOKUP($A792,SkillEnum!$A$2:$C$1020,3,FALSE)</f>
        <v>에어로 토네이도</v>
      </c>
      <c r="F792" s="11" t="str">
        <f>"뒤로 덤블링하며 바람의 화살을 발사, 원형의 토네이도를 만들어 범위 내의 적에게 마법공격력의 "&amp;ROUND(3.4*H792*100,0)&amp;" % 로 연속타격을 한다. (각성시 그 자리에 맴도는 마법공격력의 "&amp;ROUND(1.2*1.2*H792*100,0)&amp;" % 데미지 화살을 일정시간 생성한다.)"</f>
        <v>뒤로 덤블링하며 바람의 화살을 발사, 원형의 토네이도를 만들어 범위 내의 적에게 마법공격력의 238 % 로 연속타격을 한다. (각성시 그 자리에 맴도는 마법공격력의 101 % 데미지 화살을 일정시간 생성한다.)</v>
      </c>
      <c r="G792" s="10">
        <v>1</v>
      </c>
      <c r="H792" s="2">
        <v>0.7</v>
      </c>
      <c r="I792" s="2">
        <v>30</v>
      </c>
      <c r="J792" s="10">
        <v>300</v>
      </c>
      <c r="K792" s="2">
        <v>0</v>
      </c>
      <c r="L792" s="2">
        <v>0</v>
      </c>
      <c r="M792" s="2">
        <v>0</v>
      </c>
      <c r="N792" s="2">
        <v>0</v>
      </c>
      <c r="O792" s="2">
        <v>0</v>
      </c>
      <c r="P792" s="2" t="s">
        <v>439</v>
      </c>
      <c r="Q792" s="2" t="str">
        <f t="shared" si="108"/>
        <v>SI_SA_LE_AERO_TORNADO</v>
      </c>
      <c r="R792" s="2" t="b">
        <v>0</v>
      </c>
      <c r="S792" s="2" t="b">
        <v>1</v>
      </c>
      <c r="T792" s="2">
        <v>1</v>
      </c>
      <c r="U792" s="2"/>
    </row>
    <row r="793" spans="1:21">
      <c r="A793" s="4">
        <v>2004</v>
      </c>
      <c r="B793" s="7" t="str">
        <f>VLOOKUP($A793,SkillEnum!$A$2:$C$1020,2,FALSE)</f>
        <v>SI_SA_LE_AERO_TORNADO</v>
      </c>
      <c r="C793" s="7">
        <v>7</v>
      </c>
      <c r="D793" s="2" t="str">
        <f>VLOOKUP($C793,SkillEnum!$D$2:$E$10,2,FALSE)</f>
        <v>ST_SPECIAL_ACTIVE</v>
      </c>
      <c r="E793" s="7" t="str">
        <f>VLOOKUP($A793,SkillEnum!$A$2:$C$1020,3,FALSE)</f>
        <v>에어로 토네이도</v>
      </c>
      <c r="F793" s="7" t="str">
        <f t="shared" ref="F793:F801" si="109">"뒤로 덤블링하며 바람의 화살을 발사, 원형의 토네이도를 만들어 범위 내의 적에게 마법공격력의 "&amp;ROUND(3.4*H793*100,0)&amp;" % 로 연속타격을 한다. (각성시 그 자리에 맴도는 마법공격력의 "&amp;ROUND(1.2*1.2*H793*100,0)&amp;" % 데미지 화살을 일정시간 생성한다.)"</f>
        <v>뒤로 덤블링하며 바람의 화살을 발사, 원형의 토네이도를 만들어 범위 내의 적에게 마법공격력의 286 % 로 연속타격을 한다. (각성시 그 자리에 맴도는 마법공격력의 121 % 데미지 화살을 일정시간 생성한다.)</v>
      </c>
      <c r="G793" s="2">
        <v>2</v>
      </c>
      <c r="H793" s="2">
        <v>0.84</v>
      </c>
      <c r="I793" s="2">
        <v>30</v>
      </c>
      <c r="J793" s="2">
        <v>300</v>
      </c>
      <c r="K793" s="2">
        <v>0</v>
      </c>
      <c r="L793" s="2">
        <v>0</v>
      </c>
      <c r="M793" s="2">
        <v>0</v>
      </c>
      <c r="N793" s="2">
        <v>0</v>
      </c>
      <c r="O793" s="2">
        <v>0</v>
      </c>
      <c r="P793" s="2" t="s">
        <v>439</v>
      </c>
      <c r="Q793" s="2" t="str">
        <f t="shared" si="108"/>
        <v>SI_SA_LE_AERO_TORNADO</v>
      </c>
      <c r="R793" s="2" t="b">
        <v>0</v>
      </c>
      <c r="S793" s="2" t="b">
        <v>1</v>
      </c>
      <c r="T793" s="2">
        <v>1</v>
      </c>
    </row>
    <row r="794" spans="1:21">
      <c r="A794" s="4">
        <v>2004</v>
      </c>
      <c r="B794" s="7" t="str">
        <f>VLOOKUP($A794,SkillEnum!$A$2:$C$1020,2,FALSE)</f>
        <v>SI_SA_LE_AERO_TORNADO</v>
      </c>
      <c r="C794" s="7">
        <v>7</v>
      </c>
      <c r="D794" s="2" t="str">
        <f>VLOOKUP($C794,SkillEnum!$D$2:$E$10,2,FALSE)</f>
        <v>ST_SPECIAL_ACTIVE</v>
      </c>
      <c r="E794" s="7" t="str">
        <f>VLOOKUP($A794,SkillEnum!$A$2:$C$1020,3,FALSE)</f>
        <v>에어로 토네이도</v>
      </c>
      <c r="F794" s="7" t="str">
        <f t="shared" si="109"/>
        <v>뒤로 덤블링하며 바람의 화살을 발사, 원형의 토네이도를 만들어 범위 내의 적에게 마법공격력의 333 % 로 연속타격을 한다. (각성시 그 자리에 맴도는 마법공격력의 141 % 데미지 화살을 일정시간 생성한다.)</v>
      </c>
      <c r="G794" s="2">
        <v>3</v>
      </c>
      <c r="H794" s="2">
        <v>0.98</v>
      </c>
      <c r="I794" s="2">
        <v>30</v>
      </c>
      <c r="J794" s="2">
        <v>300</v>
      </c>
      <c r="K794" s="2">
        <v>0</v>
      </c>
      <c r="L794" s="2">
        <v>0</v>
      </c>
      <c r="M794" s="2">
        <v>0</v>
      </c>
      <c r="N794" s="2">
        <v>0</v>
      </c>
      <c r="O794" s="2">
        <v>0</v>
      </c>
      <c r="P794" s="2" t="s">
        <v>439</v>
      </c>
      <c r="Q794" s="2" t="str">
        <f t="shared" si="108"/>
        <v>SI_SA_LE_AERO_TORNADO</v>
      </c>
      <c r="R794" s="2" t="b">
        <v>0</v>
      </c>
      <c r="S794" s="2" t="b">
        <v>1</v>
      </c>
      <c r="T794" s="2">
        <v>1</v>
      </c>
    </row>
    <row r="795" spans="1:21">
      <c r="A795" s="4">
        <v>2004</v>
      </c>
      <c r="B795" s="7" t="str">
        <f>VLOOKUP($A795,SkillEnum!$A$2:$C$1020,2,FALSE)</f>
        <v>SI_SA_LE_AERO_TORNADO</v>
      </c>
      <c r="C795" s="7">
        <v>7</v>
      </c>
      <c r="D795" s="2" t="str">
        <f>VLOOKUP($C795,SkillEnum!$D$2:$E$10,2,FALSE)</f>
        <v>ST_SPECIAL_ACTIVE</v>
      </c>
      <c r="E795" s="7" t="str">
        <f>VLOOKUP($A795,SkillEnum!$A$2:$C$1020,3,FALSE)</f>
        <v>에어로 토네이도</v>
      </c>
      <c r="F795" s="7" t="str">
        <f t="shared" si="109"/>
        <v>뒤로 덤블링하며 바람의 화살을 발사, 원형의 토네이도를 만들어 범위 내의 적에게 마법공격력의 381 % 로 연속타격을 한다. (각성시 그 자리에 맴도는 마법공격력의 161 % 데미지 화살을 일정시간 생성한다.)</v>
      </c>
      <c r="G795" s="2">
        <v>4</v>
      </c>
      <c r="H795" s="2">
        <v>1.1200000000000001</v>
      </c>
      <c r="I795" s="2">
        <v>30</v>
      </c>
      <c r="J795" s="2">
        <v>300</v>
      </c>
      <c r="K795" s="2">
        <v>0</v>
      </c>
      <c r="L795" s="2">
        <v>0</v>
      </c>
      <c r="M795" s="2">
        <v>0</v>
      </c>
      <c r="N795" s="2">
        <v>0</v>
      </c>
      <c r="O795" s="2">
        <v>0</v>
      </c>
      <c r="P795" s="2" t="s">
        <v>439</v>
      </c>
      <c r="Q795" s="2" t="str">
        <f t="shared" si="108"/>
        <v>SI_SA_LE_AERO_TORNADO</v>
      </c>
      <c r="R795" s="2" t="b">
        <v>0</v>
      </c>
      <c r="S795" s="2" t="b">
        <v>1</v>
      </c>
      <c r="T795" s="2">
        <v>1</v>
      </c>
    </row>
    <row r="796" spans="1:21">
      <c r="A796" s="4">
        <v>2004</v>
      </c>
      <c r="B796" s="7" t="str">
        <f>VLOOKUP($A796,SkillEnum!$A$2:$C$1020,2,FALSE)</f>
        <v>SI_SA_LE_AERO_TORNADO</v>
      </c>
      <c r="C796" s="7">
        <v>7</v>
      </c>
      <c r="D796" s="2" t="str">
        <f>VLOOKUP($C796,SkillEnum!$D$2:$E$10,2,FALSE)</f>
        <v>ST_SPECIAL_ACTIVE</v>
      </c>
      <c r="E796" s="7" t="str">
        <f>VLOOKUP($A796,SkillEnum!$A$2:$C$1020,3,FALSE)</f>
        <v>에어로 토네이도</v>
      </c>
      <c r="F796" s="7" t="str">
        <f t="shared" si="109"/>
        <v>뒤로 덤블링하며 바람의 화살을 발사, 원형의 토네이도를 만들어 범위 내의 적에게 마법공격력의 452 % 로 연속타격을 한다. (각성시 그 자리에 맴도는 마법공격력의 192 % 데미지 화살을 일정시간 생성한다.)</v>
      </c>
      <c r="G796" s="2">
        <v>5</v>
      </c>
      <c r="H796" s="2">
        <v>1.33</v>
      </c>
      <c r="I796" s="2">
        <v>30</v>
      </c>
      <c r="J796" s="2">
        <v>300</v>
      </c>
      <c r="K796" s="2">
        <v>0</v>
      </c>
      <c r="L796" s="2">
        <v>0</v>
      </c>
      <c r="M796" s="2">
        <v>0</v>
      </c>
      <c r="N796" s="2">
        <v>0</v>
      </c>
      <c r="O796" s="2">
        <v>0</v>
      </c>
      <c r="P796" s="2" t="s">
        <v>439</v>
      </c>
      <c r="Q796" s="2" t="str">
        <f t="shared" si="108"/>
        <v>SI_SA_LE_AERO_TORNADO</v>
      </c>
      <c r="R796" s="2" t="b">
        <v>0</v>
      </c>
      <c r="S796" s="2" t="b">
        <v>1</v>
      </c>
      <c r="T796" s="2">
        <v>1</v>
      </c>
    </row>
    <row r="797" spans="1:21">
      <c r="A797" s="4">
        <v>2004</v>
      </c>
      <c r="B797" s="7" t="str">
        <f>VLOOKUP($A797,SkillEnum!$A$2:$C$1020,2,FALSE)</f>
        <v>SI_SA_LE_AERO_TORNADO</v>
      </c>
      <c r="C797" s="7">
        <v>7</v>
      </c>
      <c r="D797" s="2" t="str">
        <f>VLOOKUP($C797,SkillEnum!$D$2:$E$10,2,FALSE)</f>
        <v>ST_SPECIAL_ACTIVE</v>
      </c>
      <c r="E797" s="7" t="str">
        <f>VLOOKUP($A797,SkillEnum!$A$2:$C$1020,3,FALSE)</f>
        <v>에어로 토네이도</v>
      </c>
      <c r="F797" s="7" t="str">
        <f t="shared" si="109"/>
        <v>뒤로 덤블링하며 바람의 화살을 발사, 원형의 토네이도를 만들어 범위 내의 적에게 마법공격력의 524 % 로 연속타격을 한다. (각성시 그 자리에 맴도는 마법공격력의 222 % 데미지 화살을 일정시간 생성한다.)</v>
      </c>
      <c r="G797" s="2">
        <v>6</v>
      </c>
      <c r="H797" s="2">
        <v>1.54</v>
      </c>
      <c r="I797" s="2">
        <v>30</v>
      </c>
      <c r="J797" s="2">
        <v>300</v>
      </c>
      <c r="K797" s="2">
        <v>0</v>
      </c>
      <c r="L797" s="2">
        <v>0</v>
      </c>
      <c r="M797" s="2">
        <v>0</v>
      </c>
      <c r="N797" s="2">
        <v>0</v>
      </c>
      <c r="O797" s="2">
        <v>0</v>
      </c>
      <c r="P797" s="2" t="s">
        <v>439</v>
      </c>
      <c r="Q797" s="2" t="str">
        <f t="shared" si="108"/>
        <v>SI_SA_LE_AERO_TORNADO</v>
      </c>
      <c r="R797" s="2" t="b">
        <v>0</v>
      </c>
      <c r="S797" s="2" t="b">
        <v>1</v>
      </c>
      <c r="T797" s="2">
        <v>1</v>
      </c>
    </row>
    <row r="798" spans="1:21">
      <c r="A798" s="4">
        <v>2004</v>
      </c>
      <c r="B798" s="7" t="str">
        <f>VLOOKUP($A798,SkillEnum!$A$2:$C$1020,2,FALSE)</f>
        <v>SI_SA_LE_AERO_TORNADO</v>
      </c>
      <c r="C798" s="7">
        <v>7</v>
      </c>
      <c r="D798" s="2" t="str">
        <f>VLOOKUP($C798,SkillEnum!$D$2:$E$10,2,FALSE)</f>
        <v>ST_SPECIAL_ACTIVE</v>
      </c>
      <c r="E798" s="7" t="str">
        <f>VLOOKUP($A798,SkillEnum!$A$2:$C$1020,3,FALSE)</f>
        <v>에어로 토네이도</v>
      </c>
      <c r="F798" s="7" t="str">
        <f t="shared" si="109"/>
        <v>뒤로 덤블링하며 바람의 화살을 발사, 원형의 토네이도를 만들어 범위 내의 적에게 마법공격력의 595 % 로 연속타격을 한다. (각성시 그 자리에 맴도는 마법공격력의 252 % 데미지 화살을 일정시간 생성한다.)</v>
      </c>
      <c r="G798" s="2">
        <v>7</v>
      </c>
      <c r="H798" s="2">
        <v>1.75</v>
      </c>
      <c r="I798" s="2">
        <v>30</v>
      </c>
      <c r="J798" s="2">
        <v>300</v>
      </c>
      <c r="K798" s="2">
        <v>0</v>
      </c>
      <c r="L798" s="2">
        <v>0</v>
      </c>
      <c r="M798" s="2">
        <v>0</v>
      </c>
      <c r="N798" s="2">
        <v>0</v>
      </c>
      <c r="O798" s="2">
        <v>0</v>
      </c>
      <c r="P798" s="2" t="s">
        <v>439</v>
      </c>
      <c r="Q798" s="2" t="str">
        <f t="shared" si="108"/>
        <v>SI_SA_LE_AERO_TORNADO</v>
      </c>
      <c r="R798" s="2" t="b">
        <v>0</v>
      </c>
      <c r="S798" s="2" t="b">
        <v>1</v>
      </c>
      <c r="T798" s="2">
        <v>1</v>
      </c>
    </row>
    <row r="799" spans="1:21">
      <c r="A799" s="4">
        <v>2004</v>
      </c>
      <c r="B799" s="7" t="str">
        <f>VLOOKUP($A799,SkillEnum!$A$2:$C$1020,2,FALSE)</f>
        <v>SI_SA_LE_AERO_TORNADO</v>
      </c>
      <c r="C799" s="7">
        <v>7</v>
      </c>
      <c r="D799" s="2" t="str">
        <f>VLOOKUP($C799,SkillEnum!$D$2:$E$10,2,FALSE)</f>
        <v>ST_SPECIAL_ACTIVE</v>
      </c>
      <c r="E799" s="7" t="str">
        <f>VLOOKUP($A799,SkillEnum!$A$2:$C$1020,3,FALSE)</f>
        <v>에어로 토네이도</v>
      </c>
      <c r="F799" s="7" t="str">
        <f t="shared" si="109"/>
        <v>뒤로 덤블링하며 바람의 화살을 발사, 원형의 토네이도를 만들어 범위 내의 적에게 마법공격력의 666 % 로 연속타격을 한다. (각성시 그 자리에 맴도는 마법공격력의 282 % 데미지 화살을 일정시간 생성한다.)</v>
      </c>
      <c r="G799" s="2">
        <v>8</v>
      </c>
      <c r="H799" s="2">
        <v>1.96</v>
      </c>
      <c r="I799" s="2">
        <v>30</v>
      </c>
      <c r="J799" s="2">
        <v>300</v>
      </c>
      <c r="K799" s="2">
        <v>0</v>
      </c>
      <c r="L799" s="2">
        <v>0</v>
      </c>
      <c r="M799" s="2">
        <v>0</v>
      </c>
      <c r="N799" s="2">
        <v>0</v>
      </c>
      <c r="O799" s="2">
        <v>0</v>
      </c>
      <c r="P799" s="2" t="s">
        <v>439</v>
      </c>
      <c r="Q799" s="2" t="str">
        <f t="shared" si="108"/>
        <v>SI_SA_LE_AERO_TORNADO</v>
      </c>
      <c r="R799" s="2" t="b">
        <v>0</v>
      </c>
      <c r="S799" s="2" t="b">
        <v>1</v>
      </c>
      <c r="T799" s="2">
        <v>1</v>
      </c>
    </row>
    <row r="800" spans="1:21">
      <c r="A800" s="4">
        <v>2004</v>
      </c>
      <c r="B800" s="7" t="str">
        <f>VLOOKUP($A800,SkillEnum!$A$2:$C$1020,2,FALSE)</f>
        <v>SI_SA_LE_AERO_TORNADO</v>
      </c>
      <c r="C800" s="7">
        <v>7</v>
      </c>
      <c r="D800" s="2" t="str">
        <f>VLOOKUP($C800,SkillEnum!$D$2:$E$10,2,FALSE)</f>
        <v>ST_SPECIAL_ACTIVE</v>
      </c>
      <c r="E800" s="7" t="str">
        <f>VLOOKUP($A800,SkillEnum!$A$2:$C$1020,3,FALSE)</f>
        <v>에어로 토네이도</v>
      </c>
      <c r="F800" s="7" t="str">
        <f t="shared" si="109"/>
        <v>뒤로 덤블링하며 바람의 화살을 발사, 원형의 토네이도를 만들어 범위 내의 적에게 마법공격력의 762 % 로 연속타격을 한다. (각성시 그 자리에 맴도는 마법공격력의 323 % 데미지 화살을 일정시간 생성한다.)</v>
      </c>
      <c r="G800" s="2">
        <v>9</v>
      </c>
      <c r="H800" s="2">
        <v>2.2400000000000002</v>
      </c>
      <c r="I800" s="2">
        <v>30</v>
      </c>
      <c r="J800" s="2">
        <v>300</v>
      </c>
      <c r="K800" s="2">
        <v>0</v>
      </c>
      <c r="L800" s="2">
        <v>0</v>
      </c>
      <c r="M800" s="2">
        <v>0</v>
      </c>
      <c r="N800" s="2">
        <v>0</v>
      </c>
      <c r="O800" s="2">
        <v>0</v>
      </c>
      <c r="P800" s="2" t="s">
        <v>439</v>
      </c>
      <c r="Q800" s="2" t="str">
        <f t="shared" si="108"/>
        <v>SI_SA_LE_AERO_TORNADO</v>
      </c>
      <c r="R800" s="2" t="b">
        <v>0</v>
      </c>
      <c r="S800" s="2" t="b">
        <v>1</v>
      </c>
      <c r="T800" s="2">
        <v>1</v>
      </c>
    </row>
    <row r="801" spans="1:21" s="5" customFormat="1">
      <c r="A801" s="6">
        <v>2004</v>
      </c>
      <c r="B801" s="8" t="str">
        <f>VLOOKUP($A801,SkillEnum!$A$2:$C$1020,2,FALSE)</f>
        <v>SI_SA_LE_AERO_TORNADO</v>
      </c>
      <c r="C801" s="8">
        <v>7</v>
      </c>
      <c r="D801" s="5" t="str">
        <f>VLOOKUP($C801,SkillEnum!$D$2:$E$10,2,FALSE)</f>
        <v>ST_SPECIAL_ACTIVE</v>
      </c>
      <c r="E801" s="8" t="str">
        <f>VLOOKUP($A801,SkillEnum!$A$2:$C$1020,3,FALSE)</f>
        <v>에어로 토네이도</v>
      </c>
      <c r="F801" s="8" t="str">
        <f t="shared" si="109"/>
        <v>뒤로 덤블링하며 바람의 화살을 발사, 원형의 토네이도를 만들어 범위 내의 적에게 마법공격력의 857 % 로 연속타격을 한다. (각성시 그 자리에 맴도는 마법공격력의 363 % 데미지 화살을 일정시간 생성한다.)</v>
      </c>
      <c r="G801" s="5">
        <v>10</v>
      </c>
      <c r="H801" s="5">
        <v>2.52</v>
      </c>
      <c r="I801" s="5">
        <v>30</v>
      </c>
      <c r="J801" s="5">
        <v>300</v>
      </c>
      <c r="K801" s="5">
        <v>0</v>
      </c>
      <c r="L801" s="5">
        <v>0</v>
      </c>
      <c r="M801" s="5">
        <v>0</v>
      </c>
      <c r="N801" s="5">
        <v>0</v>
      </c>
      <c r="O801" s="5">
        <v>0</v>
      </c>
      <c r="P801" s="2" t="s">
        <v>439</v>
      </c>
      <c r="Q801" s="2" t="str">
        <f t="shared" si="108"/>
        <v>SI_SA_LE_AERO_TORNADO</v>
      </c>
      <c r="R801" s="5" t="b">
        <v>0</v>
      </c>
      <c r="S801" s="2" t="b">
        <v>1</v>
      </c>
      <c r="T801" s="2">
        <v>1</v>
      </c>
      <c r="U801" s="2"/>
    </row>
    <row r="802" spans="1:21" s="10" customFormat="1">
      <c r="A802" s="9">
        <v>2005</v>
      </c>
      <c r="B802" s="11" t="str">
        <f>VLOOKUP($A802,SkillEnum!$A$2:$C$1020,2,FALSE)</f>
        <v>SI_SA_LE_PHOENIX_STRIKE</v>
      </c>
      <c r="C802" s="11">
        <v>7</v>
      </c>
      <c r="D802" s="10" t="str">
        <f>VLOOKUP($C802,SkillEnum!$D$2:$E$10,2,FALSE)</f>
        <v>ST_SPECIAL_ACTIVE</v>
      </c>
      <c r="E802" s="11" t="str">
        <f>VLOOKUP($A802,SkillEnum!$A$2:$C$1020,3,FALSE)</f>
        <v>피닉스 스트라이크</v>
      </c>
      <c r="F802" s="11" t="str">
        <f>"마법공격력의 "&amp;ROUND(10.3*1.2*H802*100,0)&amp;" % 공격력을 지닌 마수 [피닉스]를 생성하여 전방의 모든 적을 초토화 시킨다."</f>
        <v>마법공격력의 865 % 공격력을 지닌 마수 [피닉스]를 생성하여 전방의 모든 적을 초토화 시킨다.</v>
      </c>
      <c r="G802" s="10">
        <v>1</v>
      </c>
      <c r="H802" s="2">
        <v>0.7</v>
      </c>
      <c r="I802" s="2">
        <v>30</v>
      </c>
      <c r="J802" s="10">
        <v>300</v>
      </c>
      <c r="K802" s="2">
        <v>0</v>
      </c>
      <c r="L802" s="2">
        <v>0</v>
      </c>
      <c r="M802" s="2">
        <v>0</v>
      </c>
      <c r="N802" s="2">
        <v>0</v>
      </c>
      <c r="O802" s="2">
        <v>0</v>
      </c>
      <c r="P802" s="2" t="s">
        <v>439</v>
      </c>
      <c r="Q802" s="2" t="str">
        <f t="shared" si="108"/>
        <v>SI_SA_LE_PHOENIX_STRIKE</v>
      </c>
      <c r="R802" s="2" t="b">
        <v>0</v>
      </c>
      <c r="S802" s="2" t="b">
        <v>1</v>
      </c>
      <c r="T802" s="2">
        <v>1</v>
      </c>
      <c r="U802" s="2"/>
    </row>
    <row r="803" spans="1:21">
      <c r="A803" s="4">
        <v>2005</v>
      </c>
      <c r="B803" s="7" t="str">
        <f>VLOOKUP($A803,SkillEnum!$A$2:$C$1020,2,FALSE)</f>
        <v>SI_SA_LE_PHOENIX_STRIKE</v>
      </c>
      <c r="C803" s="7">
        <v>7</v>
      </c>
      <c r="D803" s="2" t="str">
        <f>VLOOKUP($C803,SkillEnum!$D$2:$E$10,2,FALSE)</f>
        <v>ST_SPECIAL_ACTIVE</v>
      </c>
      <c r="E803" s="7" t="str">
        <f>VLOOKUP($A803,SkillEnum!$A$2:$C$1020,3,FALSE)</f>
        <v>피닉스 스트라이크</v>
      </c>
      <c r="F803" s="7" t="str">
        <f t="shared" ref="F803:F811" si="110">"마법공격력의 "&amp;ROUND(10.3*1.2*H803*100,0)&amp;" % 공격력을 지닌 마수 [피닉스]를 생성하여 전방의 모든 적을 초토화 시킨다."</f>
        <v>마법공격력의 1038 % 공격력을 지닌 마수 [피닉스]를 생성하여 전방의 모든 적을 초토화 시킨다.</v>
      </c>
      <c r="G803" s="2">
        <v>2</v>
      </c>
      <c r="H803" s="2">
        <v>0.84</v>
      </c>
      <c r="I803" s="2">
        <v>30</v>
      </c>
      <c r="J803" s="2">
        <v>300</v>
      </c>
      <c r="K803" s="2">
        <v>0</v>
      </c>
      <c r="L803" s="2">
        <v>0</v>
      </c>
      <c r="M803" s="2">
        <v>0</v>
      </c>
      <c r="N803" s="2">
        <v>0</v>
      </c>
      <c r="O803" s="2">
        <v>0</v>
      </c>
      <c r="P803" s="2" t="s">
        <v>439</v>
      </c>
      <c r="Q803" s="2" t="str">
        <f t="shared" si="108"/>
        <v>SI_SA_LE_PHOENIX_STRIKE</v>
      </c>
      <c r="R803" s="2" t="b">
        <v>0</v>
      </c>
      <c r="S803" s="2" t="b">
        <v>1</v>
      </c>
      <c r="T803" s="2">
        <v>1</v>
      </c>
    </row>
    <row r="804" spans="1:21">
      <c r="A804" s="4">
        <v>2005</v>
      </c>
      <c r="B804" s="7" t="str">
        <f>VLOOKUP($A804,SkillEnum!$A$2:$C$1020,2,FALSE)</f>
        <v>SI_SA_LE_PHOENIX_STRIKE</v>
      </c>
      <c r="C804" s="7">
        <v>7</v>
      </c>
      <c r="D804" s="2" t="str">
        <f>VLOOKUP($C804,SkillEnum!$D$2:$E$10,2,FALSE)</f>
        <v>ST_SPECIAL_ACTIVE</v>
      </c>
      <c r="E804" s="7" t="str">
        <f>VLOOKUP($A804,SkillEnum!$A$2:$C$1020,3,FALSE)</f>
        <v>피닉스 스트라이크</v>
      </c>
      <c r="F804" s="7" t="str">
        <f t="shared" si="110"/>
        <v>마법공격력의 1211 % 공격력을 지닌 마수 [피닉스]를 생성하여 전방의 모든 적을 초토화 시킨다.</v>
      </c>
      <c r="G804" s="2">
        <v>3</v>
      </c>
      <c r="H804" s="2">
        <v>0.98</v>
      </c>
      <c r="I804" s="2">
        <v>30</v>
      </c>
      <c r="J804" s="2">
        <v>300</v>
      </c>
      <c r="K804" s="2">
        <v>0</v>
      </c>
      <c r="L804" s="2">
        <v>0</v>
      </c>
      <c r="M804" s="2">
        <v>0</v>
      </c>
      <c r="N804" s="2">
        <v>0</v>
      </c>
      <c r="O804" s="2">
        <v>0</v>
      </c>
      <c r="P804" s="2" t="s">
        <v>439</v>
      </c>
      <c r="Q804" s="2" t="str">
        <f t="shared" si="108"/>
        <v>SI_SA_LE_PHOENIX_STRIKE</v>
      </c>
      <c r="R804" s="2" t="b">
        <v>0</v>
      </c>
      <c r="S804" s="2" t="b">
        <v>1</v>
      </c>
      <c r="T804" s="2">
        <v>1</v>
      </c>
    </row>
    <row r="805" spans="1:21">
      <c r="A805" s="4">
        <v>2005</v>
      </c>
      <c r="B805" s="7" t="str">
        <f>VLOOKUP($A805,SkillEnum!$A$2:$C$1020,2,FALSE)</f>
        <v>SI_SA_LE_PHOENIX_STRIKE</v>
      </c>
      <c r="C805" s="7">
        <v>7</v>
      </c>
      <c r="D805" s="2" t="str">
        <f>VLOOKUP($C805,SkillEnum!$D$2:$E$10,2,FALSE)</f>
        <v>ST_SPECIAL_ACTIVE</v>
      </c>
      <c r="E805" s="7" t="str">
        <f>VLOOKUP($A805,SkillEnum!$A$2:$C$1020,3,FALSE)</f>
        <v>피닉스 스트라이크</v>
      </c>
      <c r="F805" s="7" t="str">
        <f t="shared" si="110"/>
        <v>마법공격력의 1384 % 공격력을 지닌 마수 [피닉스]를 생성하여 전방의 모든 적을 초토화 시킨다.</v>
      </c>
      <c r="G805" s="2">
        <v>4</v>
      </c>
      <c r="H805" s="2">
        <v>1.1200000000000001</v>
      </c>
      <c r="I805" s="2">
        <v>30</v>
      </c>
      <c r="J805" s="2">
        <v>300</v>
      </c>
      <c r="K805" s="2">
        <v>0</v>
      </c>
      <c r="L805" s="2">
        <v>0</v>
      </c>
      <c r="M805" s="2">
        <v>0</v>
      </c>
      <c r="N805" s="2">
        <v>0</v>
      </c>
      <c r="O805" s="2">
        <v>0</v>
      </c>
      <c r="P805" s="2" t="s">
        <v>439</v>
      </c>
      <c r="Q805" s="2" t="str">
        <f t="shared" si="108"/>
        <v>SI_SA_LE_PHOENIX_STRIKE</v>
      </c>
      <c r="R805" s="2" t="b">
        <v>0</v>
      </c>
      <c r="S805" s="2" t="b">
        <v>1</v>
      </c>
      <c r="T805" s="2">
        <v>1</v>
      </c>
    </row>
    <row r="806" spans="1:21">
      <c r="A806" s="4">
        <v>2005</v>
      </c>
      <c r="B806" s="7" t="str">
        <f>VLOOKUP($A806,SkillEnum!$A$2:$C$1020,2,FALSE)</f>
        <v>SI_SA_LE_PHOENIX_STRIKE</v>
      </c>
      <c r="C806" s="7">
        <v>7</v>
      </c>
      <c r="D806" s="2" t="str">
        <f>VLOOKUP($C806,SkillEnum!$D$2:$E$10,2,FALSE)</f>
        <v>ST_SPECIAL_ACTIVE</v>
      </c>
      <c r="E806" s="7" t="str">
        <f>VLOOKUP($A806,SkillEnum!$A$2:$C$1020,3,FALSE)</f>
        <v>피닉스 스트라이크</v>
      </c>
      <c r="F806" s="7" t="str">
        <f t="shared" si="110"/>
        <v>마법공격력의 1644 % 공격력을 지닌 마수 [피닉스]를 생성하여 전방의 모든 적을 초토화 시킨다.</v>
      </c>
      <c r="G806" s="2">
        <v>5</v>
      </c>
      <c r="H806" s="2">
        <v>1.33</v>
      </c>
      <c r="I806" s="2">
        <v>30</v>
      </c>
      <c r="J806" s="2">
        <v>300</v>
      </c>
      <c r="K806" s="2">
        <v>0</v>
      </c>
      <c r="L806" s="2">
        <v>0</v>
      </c>
      <c r="M806" s="2">
        <v>0</v>
      </c>
      <c r="N806" s="2">
        <v>0</v>
      </c>
      <c r="O806" s="2">
        <v>0</v>
      </c>
      <c r="P806" s="2" t="s">
        <v>439</v>
      </c>
      <c r="Q806" s="2" t="str">
        <f t="shared" si="108"/>
        <v>SI_SA_LE_PHOENIX_STRIKE</v>
      </c>
      <c r="R806" s="2" t="b">
        <v>0</v>
      </c>
      <c r="S806" s="2" t="b">
        <v>1</v>
      </c>
      <c r="T806" s="2">
        <v>1</v>
      </c>
    </row>
    <row r="807" spans="1:21">
      <c r="A807" s="4">
        <v>2005</v>
      </c>
      <c r="B807" s="7" t="str">
        <f>VLOOKUP($A807,SkillEnum!$A$2:$C$1020,2,FALSE)</f>
        <v>SI_SA_LE_PHOENIX_STRIKE</v>
      </c>
      <c r="C807" s="7">
        <v>7</v>
      </c>
      <c r="D807" s="2" t="str">
        <f>VLOOKUP($C807,SkillEnum!$D$2:$E$10,2,FALSE)</f>
        <v>ST_SPECIAL_ACTIVE</v>
      </c>
      <c r="E807" s="7" t="str">
        <f>VLOOKUP($A807,SkillEnum!$A$2:$C$1020,3,FALSE)</f>
        <v>피닉스 스트라이크</v>
      </c>
      <c r="F807" s="7" t="str">
        <f t="shared" si="110"/>
        <v>마법공격력의 1903 % 공격력을 지닌 마수 [피닉스]를 생성하여 전방의 모든 적을 초토화 시킨다.</v>
      </c>
      <c r="G807" s="2">
        <v>6</v>
      </c>
      <c r="H807" s="2">
        <v>1.54</v>
      </c>
      <c r="I807" s="2">
        <v>30</v>
      </c>
      <c r="J807" s="2">
        <v>300</v>
      </c>
      <c r="K807" s="2">
        <v>0</v>
      </c>
      <c r="L807" s="2">
        <v>0</v>
      </c>
      <c r="M807" s="2">
        <v>0</v>
      </c>
      <c r="N807" s="2">
        <v>0</v>
      </c>
      <c r="O807" s="2">
        <v>0</v>
      </c>
      <c r="P807" s="2" t="s">
        <v>439</v>
      </c>
      <c r="Q807" s="2" t="str">
        <f t="shared" si="108"/>
        <v>SI_SA_LE_PHOENIX_STRIKE</v>
      </c>
      <c r="R807" s="2" t="b">
        <v>0</v>
      </c>
      <c r="S807" s="2" t="b">
        <v>1</v>
      </c>
      <c r="T807" s="2">
        <v>1</v>
      </c>
    </row>
    <row r="808" spans="1:21">
      <c r="A808" s="4">
        <v>2005</v>
      </c>
      <c r="B808" s="7" t="str">
        <f>VLOOKUP($A808,SkillEnum!$A$2:$C$1020,2,FALSE)</f>
        <v>SI_SA_LE_PHOENIX_STRIKE</v>
      </c>
      <c r="C808" s="7">
        <v>7</v>
      </c>
      <c r="D808" s="2" t="str">
        <f>VLOOKUP($C808,SkillEnum!$D$2:$E$10,2,FALSE)</f>
        <v>ST_SPECIAL_ACTIVE</v>
      </c>
      <c r="E808" s="7" t="str">
        <f>VLOOKUP($A808,SkillEnum!$A$2:$C$1020,3,FALSE)</f>
        <v>피닉스 스트라이크</v>
      </c>
      <c r="F808" s="7" t="str">
        <f t="shared" si="110"/>
        <v>마법공격력의 2163 % 공격력을 지닌 마수 [피닉스]를 생성하여 전방의 모든 적을 초토화 시킨다.</v>
      </c>
      <c r="G808" s="2">
        <v>7</v>
      </c>
      <c r="H808" s="2">
        <v>1.75</v>
      </c>
      <c r="I808" s="2">
        <v>30</v>
      </c>
      <c r="J808" s="2">
        <v>300</v>
      </c>
      <c r="K808" s="2">
        <v>0</v>
      </c>
      <c r="L808" s="2">
        <v>0</v>
      </c>
      <c r="M808" s="2">
        <v>0</v>
      </c>
      <c r="N808" s="2">
        <v>0</v>
      </c>
      <c r="O808" s="2">
        <v>0</v>
      </c>
      <c r="P808" s="2" t="s">
        <v>439</v>
      </c>
      <c r="Q808" s="2" t="str">
        <f t="shared" si="108"/>
        <v>SI_SA_LE_PHOENIX_STRIKE</v>
      </c>
      <c r="R808" s="2" t="b">
        <v>0</v>
      </c>
      <c r="S808" s="2" t="b">
        <v>1</v>
      </c>
      <c r="T808" s="2">
        <v>1</v>
      </c>
    </row>
    <row r="809" spans="1:21">
      <c r="A809" s="4">
        <v>2005</v>
      </c>
      <c r="B809" s="7" t="str">
        <f>VLOOKUP($A809,SkillEnum!$A$2:$C$1020,2,FALSE)</f>
        <v>SI_SA_LE_PHOENIX_STRIKE</v>
      </c>
      <c r="C809" s="7">
        <v>7</v>
      </c>
      <c r="D809" s="2" t="str">
        <f>VLOOKUP($C809,SkillEnum!$D$2:$E$10,2,FALSE)</f>
        <v>ST_SPECIAL_ACTIVE</v>
      </c>
      <c r="E809" s="7" t="str">
        <f>VLOOKUP($A809,SkillEnum!$A$2:$C$1020,3,FALSE)</f>
        <v>피닉스 스트라이크</v>
      </c>
      <c r="F809" s="7" t="str">
        <f t="shared" si="110"/>
        <v>마법공격력의 2423 % 공격력을 지닌 마수 [피닉스]를 생성하여 전방의 모든 적을 초토화 시킨다.</v>
      </c>
      <c r="G809" s="2">
        <v>8</v>
      </c>
      <c r="H809" s="2">
        <v>1.96</v>
      </c>
      <c r="I809" s="2">
        <v>30</v>
      </c>
      <c r="J809" s="2">
        <v>300</v>
      </c>
      <c r="K809" s="2">
        <v>0</v>
      </c>
      <c r="L809" s="2">
        <v>0</v>
      </c>
      <c r="M809" s="2">
        <v>0</v>
      </c>
      <c r="N809" s="2">
        <v>0</v>
      </c>
      <c r="O809" s="2">
        <v>0</v>
      </c>
      <c r="P809" s="2" t="s">
        <v>439</v>
      </c>
      <c r="Q809" s="2" t="str">
        <f t="shared" si="108"/>
        <v>SI_SA_LE_PHOENIX_STRIKE</v>
      </c>
      <c r="R809" s="2" t="b">
        <v>0</v>
      </c>
      <c r="S809" s="2" t="b">
        <v>1</v>
      </c>
      <c r="T809" s="2">
        <v>1</v>
      </c>
    </row>
    <row r="810" spans="1:21">
      <c r="A810" s="4">
        <v>2005</v>
      </c>
      <c r="B810" s="7" t="str">
        <f>VLOOKUP($A810,SkillEnum!$A$2:$C$1020,2,FALSE)</f>
        <v>SI_SA_LE_PHOENIX_STRIKE</v>
      </c>
      <c r="C810" s="7">
        <v>7</v>
      </c>
      <c r="D810" s="2" t="str">
        <f>VLOOKUP($C810,SkillEnum!$D$2:$E$10,2,FALSE)</f>
        <v>ST_SPECIAL_ACTIVE</v>
      </c>
      <c r="E810" s="7" t="str">
        <f>VLOOKUP($A810,SkillEnum!$A$2:$C$1020,3,FALSE)</f>
        <v>피닉스 스트라이크</v>
      </c>
      <c r="F810" s="7" t="str">
        <f t="shared" si="110"/>
        <v>마법공격력의 2769 % 공격력을 지닌 마수 [피닉스]를 생성하여 전방의 모든 적을 초토화 시킨다.</v>
      </c>
      <c r="G810" s="2">
        <v>9</v>
      </c>
      <c r="H810" s="2">
        <v>2.2400000000000002</v>
      </c>
      <c r="I810" s="2">
        <v>30</v>
      </c>
      <c r="J810" s="2">
        <v>300</v>
      </c>
      <c r="K810" s="2">
        <v>0</v>
      </c>
      <c r="L810" s="2">
        <v>0</v>
      </c>
      <c r="M810" s="2">
        <v>0</v>
      </c>
      <c r="N810" s="2">
        <v>0</v>
      </c>
      <c r="O810" s="2">
        <v>0</v>
      </c>
      <c r="P810" s="2" t="s">
        <v>439</v>
      </c>
      <c r="Q810" s="2" t="str">
        <f t="shared" si="108"/>
        <v>SI_SA_LE_PHOENIX_STRIKE</v>
      </c>
      <c r="R810" s="2" t="b">
        <v>0</v>
      </c>
      <c r="S810" s="2" t="b">
        <v>1</v>
      </c>
      <c r="T810" s="2">
        <v>1</v>
      </c>
    </row>
    <row r="811" spans="1:21" s="5" customFormat="1">
      <c r="A811" s="6">
        <v>2005</v>
      </c>
      <c r="B811" s="8" t="str">
        <f>VLOOKUP($A811,SkillEnum!$A$2:$C$1020,2,FALSE)</f>
        <v>SI_SA_LE_PHOENIX_STRIKE</v>
      </c>
      <c r="C811" s="8">
        <v>7</v>
      </c>
      <c r="D811" s="5" t="str">
        <f>VLOOKUP($C811,SkillEnum!$D$2:$E$10,2,FALSE)</f>
        <v>ST_SPECIAL_ACTIVE</v>
      </c>
      <c r="E811" s="8" t="str">
        <f>VLOOKUP($A811,SkillEnum!$A$2:$C$1020,3,FALSE)</f>
        <v>피닉스 스트라이크</v>
      </c>
      <c r="F811" s="8" t="str">
        <f t="shared" si="110"/>
        <v>마법공격력의 3115 % 공격력을 지닌 마수 [피닉스]를 생성하여 전방의 모든 적을 초토화 시킨다.</v>
      </c>
      <c r="G811" s="5">
        <v>10</v>
      </c>
      <c r="H811" s="5">
        <v>2.52</v>
      </c>
      <c r="I811" s="5">
        <v>30</v>
      </c>
      <c r="J811" s="5">
        <v>300</v>
      </c>
      <c r="K811" s="5">
        <v>0</v>
      </c>
      <c r="L811" s="5">
        <v>0</v>
      </c>
      <c r="M811" s="5">
        <v>0</v>
      </c>
      <c r="N811" s="5">
        <v>0</v>
      </c>
      <c r="O811" s="5">
        <v>0</v>
      </c>
      <c r="P811" s="2" t="s">
        <v>439</v>
      </c>
      <c r="Q811" s="2" t="str">
        <f t="shared" si="108"/>
        <v>SI_SA_LE_PHOENIX_STRIKE</v>
      </c>
      <c r="R811" s="5" t="b">
        <v>0</v>
      </c>
      <c r="S811" s="2" t="b">
        <v>1</v>
      </c>
      <c r="T811" s="2">
        <v>1</v>
      </c>
      <c r="U811" s="2"/>
    </row>
    <row r="812" spans="1:21" s="10" customFormat="1">
      <c r="A812" s="9">
        <v>2006</v>
      </c>
      <c r="B812" s="11" t="str">
        <f>VLOOKUP($A812,SkillEnum!$A$2:$C$1020,2,FALSE)</f>
        <v>SI_SA_LCR_SPINNING_KICK</v>
      </c>
      <c r="C812" s="11">
        <v>7</v>
      </c>
      <c r="D812" s="10" t="str">
        <f>VLOOKUP($C812,SkillEnum!$D$2:$E$10,2,FALSE)</f>
        <v>ST_SPECIAL_ACTIVE</v>
      </c>
      <c r="E812" s="11" t="str">
        <f>VLOOKUP($A812,SkillEnum!$A$2:$C$1020,3,FALSE)</f>
        <v>스피닝 킥</v>
      </c>
      <c r="F812" s="11" t="str">
        <f>"강한 다리힘으로 몸을 회전시켜 물리공격력의 "&amp;ROUND(1.5*H812*100,0)&amp;" % 데미지로 연속타격하며 적을 꿰뚫는다."</f>
        <v>강한 다리힘으로 몸을 회전시켜 물리공격력의 105 % 데미지로 연속타격하며 적을 꿰뚫는다.</v>
      </c>
      <c r="G812" s="10">
        <v>1</v>
      </c>
      <c r="H812" s="2">
        <v>0.7</v>
      </c>
      <c r="I812" s="2">
        <v>3</v>
      </c>
      <c r="J812" s="10">
        <v>110</v>
      </c>
      <c r="K812" s="2">
        <v>0</v>
      </c>
      <c r="L812" s="2">
        <v>0</v>
      </c>
      <c r="M812" s="2">
        <v>0</v>
      </c>
      <c r="N812" s="2">
        <v>0</v>
      </c>
      <c r="O812" s="2">
        <v>0</v>
      </c>
      <c r="P812" s="2" t="s">
        <v>439</v>
      </c>
      <c r="Q812" s="2" t="str">
        <f t="shared" si="108"/>
        <v>SI_SA_LCR_SPINNING_KICK</v>
      </c>
      <c r="R812" s="2" t="b">
        <v>0</v>
      </c>
      <c r="S812" s="2" t="b">
        <v>1</v>
      </c>
      <c r="T812" s="2">
        <v>1</v>
      </c>
      <c r="U812" s="2"/>
    </row>
    <row r="813" spans="1:21">
      <c r="A813" s="4">
        <v>2006</v>
      </c>
      <c r="B813" s="7" t="str">
        <f>VLOOKUP($A813,SkillEnum!$A$2:$C$1020,2,FALSE)</f>
        <v>SI_SA_LCR_SPINNING_KICK</v>
      </c>
      <c r="C813" s="7">
        <v>7</v>
      </c>
      <c r="D813" s="2" t="str">
        <f>VLOOKUP($C813,SkillEnum!$D$2:$E$10,2,FALSE)</f>
        <v>ST_SPECIAL_ACTIVE</v>
      </c>
      <c r="E813" s="7" t="str">
        <f>VLOOKUP($A813,SkillEnum!$A$2:$C$1020,3,FALSE)</f>
        <v>스피닝 킥</v>
      </c>
      <c r="F813" s="7" t="str">
        <f t="shared" ref="F813:F821" si="111">"강한 다리힘으로 몸을 회전시켜 물리공격력의 "&amp;ROUND(1.5*H813*100,0)&amp;" % 데미지로 연속타격하며 적을 꿰뚫는다."</f>
        <v>강한 다리힘으로 몸을 회전시켜 물리공격력의 126 % 데미지로 연속타격하며 적을 꿰뚫는다.</v>
      </c>
      <c r="G813" s="2">
        <v>2</v>
      </c>
      <c r="H813" s="2">
        <v>0.84</v>
      </c>
      <c r="I813" s="2">
        <v>3</v>
      </c>
      <c r="J813" s="2">
        <v>110</v>
      </c>
      <c r="K813" s="2">
        <v>0</v>
      </c>
      <c r="L813" s="2">
        <v>0</v>
      </c>
      <c r="M813" s="2">
        <v>0</v>
      </c>
      <c r="N813" s="2">
        <v>0</v>
      </c>
      <c r="O813" s="2">
        <v>0</v>
      </c>
      <c r="P813" s="2" t="s">
        <v>439</v>
      </c>
      <c r="Q813" s="2" t="str">
        <f t="shared" si="108"/>
        <v>SI_SA_LCR_SPINNING_KICK</v>
      </c>
      <c r="R813" s="2" t="b">
        <v>0</v>
      </c>
      <c r="S813" s="2" t="b">
        <v>1</v>
      </c>
      <c r="T813" s="2">
        <v>1</v>
      </c>
    </row>
    <row r="814" spans="1:21">
      <c r="A814" s="4">
        <v>2006</v>
      </c>
      <c r="B814" s="7" t="str">
        <f>VLOOKUP($A814,SkillEnum!$A$2:$C$1020,2,FALSE)</f>
        <v>SI_SA_LCR_SPINNING_KICK</v>
      </c>
      <c r="C814" s="7">
        <v>7</v>
      </c>
      <c r="D814" s="2" t="str">
        <f>VLOOKUP($C814,SkillEnum!$D$2:$E$10,2,FALSE)</f>
        <v>ST_SPECIAL_ACTIVE</v>
      </c>
      <c r="E814" s="7" t="str">
        <f>VLOOKUP($A814,SkillEnum!$A$2:$C$1020,3,FALSE)</f>
        <v>스피닝 킥</v>
      </c>
      <c r="F814" s="7" t="str">
        <f t="shared" si="111"/>
        <v>강한 다리힘으로 몸을 회전시켜 물리공격력의 147 % 데미지로 연속타격하며 적을 꿰뚫는다.</v>
      </c>
      <c r="G814" s="2">
        <v>3</v>
      </c>
      <c r="H814" s="2">
        <v>0.98</v>
      </c>
      <c r="I814" s="2">
        <v>3</v>
      </c>
      <c r="J814" s="2">
        <v>110</v>
      </c>
      <c r="K814" s="2">
        <v>0</v>
      </c>
      <c r="L814" s="2">
        <v>0</v>
      </c>
      <c r="M814" s="2">
        <v>0</v>
      </c>
      <c r="N814" s="2">
        <v>0</v>
      </c>
      <c r="O814" s="2">
        <v>0</v>
      </c>
      <c r="P814" s="2" t="s">
        <v>439</v>
      </c>
      <c r="Q814" s="2" t="str">
        <f t="shared" si="108"/>
        <v>SI_SA_LCR_SPINNING_KICK</v>
      </c>
      <c r="R814" s="2" t="b">
        <v>0</v>
      </c>
      <c r="S814" s="2" t="b">
        <v>1</v>
      </c>
      <c r="T814" s="2">
        <v>1</v>
      </c>
    </row>
    <row r="815" spans="1:21">
      <c r="A815" s="4">
        <v>2006</v>
      </c>
      <c r="B815" s="7" t="str">
        <f>VLOOKUP($A815,SkillEnum!$A$2:$C$1020,2,FALSE)</f>
        <v>SI_SA_LCR_SPINNING_KICK</v>
      </c>
      <c r="C815" s="7">
        <v>7</v>
      </c>
      <c r="D815" s="2" t="str">
        <f>VLOOKUP($C815,SkillEnum!$D$2:$E$10,2,FALSE)</f>
        <v>ST_SPECIAL_ACTIVE</v>
      </c>
      <c r="E815" s="7" t="str">
        <f>VLOOKUP($A815,SkillEnum!$A$2:$C$1020,3,FALSE)</f>
        <v>스피닝 킥</v>
      </c>
      <c r="F815" s="7" t="str">
        <f t="shared" si="111"/>
        <v>강한 다리힘으로 몸을 회전시켜 물리공격력의 168 % 데미지로 연속타격하며 적을 꿰뚫는다.</v>
      </c>
      <c r="G815" s="2">
        <v>4</v>
      </c>
      <c r="H815" s="2">
        <v>1.1200000000000001</v>
      </c>
      <c r="I815" s="2">
        <v>3</v>
      </c>
      <c r="J815" s="2">
        <v>110</v>
      </c>
      <c r="K815" s="2">
        <v>0</v>
      </c>
      <c r="L815" s="2">
        <v>0</v>
      </c>
      <c r="M815" s="2">
        <v>0</v>
      </c>
      <c r="N815" s="2">
        <v>0</v>
      </c>
      <c r="O815" s="2">
        <v>0</v>
      </c>
      <c r="P815" s="2" t="s">
        <v>439</v>
      </c>
      <c r="Q815" s="2" t="str">
        <f t="shared" si="108"/>
        <v>SI_SA_LCR_SPINNING_KICK</v>
      </c>
      <c r="R815" s="2" t="b">
        <v>0</v>
      </c>
      <c r="S815" s="2" t="b">
        <v>1</v>
      </c>
      <c r="T815" s="2">
        <v>1</v>
      </c>
    </row>
    <row r="816" spans="1:21">
      <c r="A816" s="4">
        <v>2006</v>
      </c>
      <c r="B816" s="7" t="str">
        <f>VLOOKUP($A816,SkillEnum!$A$2:$C$1020,2,FALSE)</f>
        <v>SI_SA_LCR_SPINNING_KICK</v>
      </c>
      <c r="C816" s="7">
        <v>7</v>
      </c>
      <c r="D816" s="2" t="str">
        <f>VLOOKUP($C816,SkillEnum!$D$2:$E$10,2,FALSE)</f>
        <v>ST_SPECIAL_ACTIVE</v>
      </c>
      <c r="E816" s="7" t="str">
        <f>VLOOKUP($A816,SkillEnum!$A$2:$C$1020,3,FALSE)</f>
        <v>스피닝 킥</v>
      </c>
      <c r="F816" s="7" t="str">
        <f t="shared" si="111"/>
        <v>강한 다리힘으로 몸을 회전시켜 물리공격력의 200 % 데미지로 연속타격하며 적을 꿰뚫는다.</v>
      </c>
      <c r="G816" s="2">
        <v>5</v>
      </c>
      <c r="H816" s="2">
        <v>1.33</v>
      </c>
      <c r="I816" s="2">
        <v>3</v>
      </c>
      <c r="J816" s="2">
        <v>110</v>
      </c>
      <c r="K816" s="2">
        <v>0</v>
      </c>
      <c r="L816" s="2">
        <v>0</v>
      </c>
      <c r="M816" s="2">
        <v>0</v>
      </c>
      <c r="N816" s="2">
        <v>0</v>
      </c>
      <c r="O816" s="2">
        <v>0</v>
      </c>
      <c r="P816" s="2" t="s">
        <v>439</v>
      </c>
      <c r="Q816" s="2" t="str">
        <f t="shared" si="108"/>
        <v>SI_SA_LCR_SPINNING_KICK</v>
      </c>
      <c r="R816" s="2" t="b">
        <v>0</v>
      </c>
      <c r="S816" s="2" t="b">
        <v>1</v>
      </c>
      <c r="T816" s="2">
        <v>1</v>
      </c>
    </row>
    <row r="817" spans="1:21">
      <c r="A817" s="4">
        <v>2006</v>
      </c>
      <c r="B817" s="7" t="str">
        <f>VLOOKUP($A817,SkillEnum!$A$2:$C$1020,2,FALSE)</f>
        <v>SI_SA_LCR_SPINNING_KICK</v>
      </c>
      <c r="C817" s="7">
        <v>7</v>
      </c>
      <c r="D817" s="2" t="str">
        <f>VLOOKUP($C817,SkillEnum!$D$2:$E$10,2,FALSE)</f>
        <v>ST_SPECIAL_ACTIVE</v>
      </c>
      <c r="E817" s="7" t="str">
        <f>VLOOKUP($A817,SkillEnum!$A$2:$C$1020,3,FALSE)</f>
        <v>스피닝 킥</v>
      </c>
      <c r="F817" s="7" t="str">
        <f t="shared" si="111"/>
        <v>강한 다리힘으로 몸을 회전시켜 물리공격력의 231 % 데미지로 연속타격하며 적을 꿰뚫는다.</v>
      </c>
      <c r="G817" s="2">
        <v>6</v>
      </c>
      <c r="H817" s="2">
        <v>1.54</v>
      </c>
      <c r="I817" s="2">
        <v>3</v>
      </c>
      <c r="J817" s="2">
        <v>110</v>
      </c>
      <c r="K817" s="2">
        <v>0</v>
      </c>
      <c r="L817" s="2">
        <v>0</v>
      </c>
      <c r="M817" s="2">
        <v>0</v>
      </c>
      <c r="N817" s="2">
        <v>0</v>
      </c>
      <c r="O817" s="2">
        <v>0</v>
      </c>
      <c r="P817" s="2" t="s">
        <v>439</v>
      </c>
      <c r="Q817" s="2" t="str">
        <f t="shared" si="108"/>
        <v>SI_SA_LCR_SPINNING_KICK</v>
      </c>
      <c r="R817" s="2" t="b">
        <v>0</v>
      </c>
      <c r="S817" s="2" t="b">
        <v>1</v>
      </c>
      <c r="T817" s="2">
        <v>1</v>
      </c>
    </row>
    <row r="818" spans="1:21">
      <c r="A818" s="4">
        <v>2006</v>
      </c>
      <c r="B818" s="7" t="str">
        <f>VLOOKUP($A818,SkillEnum!$A$2:$C$1020,2,FALSE)</f>
        <v>SI_SA_LCR_SPINNING_KICK</v>
      </c>
      <c r="C818" s="7">
        <v>7</v>
      </c>
      <c r="D818" s="2" t="str">
        <f>VLOOKUP($C818,SkillEnum!$D$2:$E$10,2,FALSE)</f>
        <v>ST_SPECIAL_ACTIVE</v>
      </c>
      <c r="E818" s="7" t="str">
        <f>VLOOKUP($A818,SkillEnum!$A$2:$C$1020,3,FALSE)</f>
        <v>스피닝 킥</v>
      </c>
      <c r="F818" s="7" t="str">
        <f t="shared" si="111"/>
        <v>강한 다리힘으로 몸을 회전시켜 물리공격력의 263 % 데미지로 연속타격하며 적을 꿰뚫는다.</v>
      </c>
      <c r="G818" s="2">
        <v>7</v>
      </c>
      <c r="H818" s="2">
        <v>1.75</v>
      </c>
      <c r="I818" s="2">
        <v>3</v>
      </c>
      <c r="J818" s="2">
        <v>110</v>
      </c>
      <c r="K818" s="2">
        <v>0</v>
      </c>
      <c r="L818" s="2">
        <v>0</v>
      </c>
      <c r="M818" s="2">
        <v>0</v>
      </c>
      <c r="N818" s="2">
        <v>0</v>
      </c>
      <c r="O818" s="2">
        <v>0</v>
      </c>
      <c r="P818" s="2" t="s">
        <v>439</v>
      </c>
      <c r="Q818" s="2" t="str">
        <f t="shared" si="108"/>
        <v>SI_SA_LCR_SPINNING_KICK</v>
      </c>
      <c r="R818" s="2" t="b">
        <v>0</v>
      </c>
      <c r="S818" s="2" t="b">
        <v>1</v>
      </c>
      <c r="T818" s="2">
        <v>1</v>
      </c>
    </row>
    <row r="819" spans="1:21">
      <c r="A819" s="4">
        <v>2006</v>
      </c>
      <c r="B819" s="7" t="str">
        <f>VLOOKUP($A819,SkillEnum!$A$2:$C$1020,2,FALSE)</f>
        <v>SI_SA_LCR_SPINNING_KICK</v>
      </c>
      <c r="C819" s="7">
        <v>7</v>
      </c>
      <c r="D819" s="2" t="str">
        <f>VLOOKUP($C819,SkillEnum!$D$2:$E$10,2,FALSE)</f>
        <v>ST_SPECIAL_ACTIVE</v>
      </c>
      <c r="E819" s="7" t="str">
        <f>VLOOKUP($A819,SkillEnum!$A$2:$C$1020,3,FALSE)</f>
        <v>스피닝 킥</v>
      </c>
      <c r="F819" s="7" t="str">
        <f t="shared" si="111"/>
        <v>강한 다리힘으로 몸을 회전시켜 물리공격력의 294 % 데미지로 연속타격하며 적을 꿰뚫는다.</v>
      </c>
      <c r="G819" s="2">
        <v>8</v>
      </c>
      <c r="H819" s="2">
        <v>1.96</v>
      </c>
      <c r="I819" s="2">
        <v>3</v>
      </c>
      <c r="J819" s="2">
        <v>110</v>
      </c>
      <c r="K819" s="2">
        <v>0</v>
      </c>
      <c r="L819" s="2">
        <v>0</v>
      </c>
      <c r="M819" s="2">
        <v>0</v>
      </c>
      <c r="N819" s="2">
        <v>0</v>
      </c>
      <c r="O819" s="2">
        <v>0</v>
      </c>
      <c r="P819" s="2" t="s">
        <v>439</v>
      </c>
      <c r="Q819" s="2" t="str">
        <f t="shared" si="108"/>
        <v>SI_SA_LCR_SPINNING_KICK</v>
      </c>
      <c r="R819" s="2" t="b">
        <v>0</v>
      </c>
      <c r="S819" s="2" t="b">
        <v>1</v>
      </c>
      <c r="T819" s="2">
        <v>1</v>
      </c>
    </row>
    <row r="820" spans="1:21">
      <c r="A820" s="4">
        <v>2006</v>
      </c>
      <c r="B820" s="7" t="str">
        <f>VLOOKUP($A820,SkillEnum!$A$2:$C$1020,2,FALSE)</f>
        <v>SI_SA_LCR_SPINNING_KICK</v>
      </c>
      <c r="C820" s="7">
        <v>7</v>
      </c>
      <c r="D820" s="2" t="str">
        <f>VLOOKUP($C820,SkillEnum!$D$2:$E$10,2,FALSE)</f>
        <v>ST_SPECIAL_ACTIVE</v>
      </c>
      <c r="E820" s="7" t="str">
        <f>VLOOKUP($A820,SkillEnum!$A$2:$C$1020,3,FALSE)</f>
        <v>스피닝 킥</v>
      </c>
      <c r="F820" s="7" t="str">
        <f t="shared" si="111"/>
        <v>강한 다리힘으로 몸을 회전시켜 물리공격력의 336 % 데미지로 연속타격하며 적을 꿰뚫는다.</v>
      </c>
      <c r="G820" s="2">
        <v>9</v>
      </c>
      <c r="H820" s="2">
        <v>2.2400000000000002</v>
      </c>
      <c r="I820" s="2">
        <v>3</v>
      </c>
      <c r="J820" s="2">
        <v>110</v>
      </c>
      <c r="K820" s="2">
        <v>0</v>
      </c>
      <c r="L820" s="2">
        <v>0</v>
      </c>
      <c r="M820" s="2">
        <v>0</v>
      </c>
      <c r="N820" s="2">
        <v>0</v>
      </c>
      <c r="O820" s="2">
        <v>0</v>
      </c>
      <c r="P820" s="2" t="s">
        <v>439</v>
      </c>
      <c r="Q820" s="2" t="str">
        <f t="shared" si="108"/>
        <v>SI_SA_LCR_SPINNING_KICK</v>
      </c>
      <c r="R820" s="2" t="b">
        <v>0</v>
      </c>
      <c r="S820" s="2" t="b">
        <v>1</v>
      </c>
      <c r="T820" s="2">
        <v>1</v>
      </c>
    </row>
    <row r="821" spans="1:21" s="5" customFormat="1">
      <c r="A821" s="6">
        <v>2006</v>
      </c>
      <c r="B821" s="8" t="str">
        <f>VLOOKUP($A821,SkillEnum!$A$2:$C$1020,2,FALSE)</f>
        <v>SI_SA_LCR_SPINNING_KICK</v>
      </c>
      <c r="C821" s="8">
        <v>7</v>
      </c>
      <c r="D821" s="5" t="str">
        <f>VLOOKUP($C821,SkillEnum!$D$2:$E$10,2,FALSE)</f>
        <v>ST_SPECIAL_ACTIVE</v>
      </c>
      <c r="E821" s="8" t="str">
        <f>VLOOKUP($A821,SkillEnum!$A$2:$C$1020,3,FALSE)</f>
        <v>스피닝 킥</v>
      </c>
      <c r="F821" s="8" t="str">
        <f t="shared" si="111"/>
        <v>강한 다리힘으로 몸을 회전시켜 물리공격력의 378 % 데미지로 연속타격하며 적을 꿰뚫는다.</v>
      </c>
      <c r="G821" s="5">
        <v>10</v>
      </c>
      <c r="H821" s="5">
        <v>2.52</v>
      </c>
      <c r="I821" s="5">
        <v>3</v>
      </c>
      <c r="J821" s="5">
        <v>110</v>
      </c>
      <c r="K821" s="5">
        <v>0</v>
      </c>
      <c r="L821" s="5">
        <v>0</v>
      </c>
      <c r="M821" s="5">
        <v>0</v>
      </c>
      <c r="N821" s="5">
        <v>0</v>
      </c>
      <c r="O821" s="5">
        <v>0</v>
      </c>
      <c r="P821" s="2" t="s">
        <v>439</v>
      </c>
      <c r="Q821" s="2" t="str">
        <f t="shared" si="108"/>
        <v>SI_SA_LCR_SPINNING_KICK</v>
      </c>
      <c r="R821" s="5" t="b">
        <v>0</v>
      </c>
      <c r="S821" s="2" t="b">
        <v>1</v>
      </c>
      <c r="T821" s="2">
        <v>1</v>
      </c>
      <c r="U821" s="2"/>
    </row>
    <row r="822" spans="1:21" s="10" customFormat="1">
      <c r="A822" s="9">
        <v>2007</v>
      </c>
      <c r="B822" s="11" t="str">
        <f>VLOOKUP($A822,SkillEnum!$A$2:$C$1020,2,FALSE)</f>
        <v>SI_SA_LCR_CRESCENT_KICK</v>
      </c>
      <c r="C822" s="11">
        <v>7</v>
      </c>
      <c r="D822" s="10" t="str">
        <f>VLOOKUP($C822,SkillEnum!$D$2:$E$10,2,FALSE)</f>
        <v>ST_SPECIAL_ACTIVE</v>
      </c>
      <c r="E822" s="11" t="str">
        <f>VLOOKUP($A822,SkillEnum!$A$2:$C$1020,3,FALSE)</f>
        <v>크레센트 킥</v>
      </c>
      <c r="F822" s="11" t="str">
        <f>"바람을 가르는 3번의 발차기의 풍압으로 마법공격력의 "&amp;ROUND(4*H822*100,0)&amp;" % , "&amp;ROUND(4*H822*100,0)&amp;" % , "&amp;ROUND(5*H822*100,0)&amp;" % 데미지를 준다. (각성시 "&amp;ROUND(4*1.2*H822*100,0)&amp;" % , "&amp;ROUND(4*1.2*H822*100,0)&amp;" % , "&amp;ROUND(6*1.2*H822*100,0)&amp;" %)"</f>
        <v>바람을 가르는 3번의 발차기의 풍압으로 마법공격력의 280 % , 280 % , 350 % 데미지를 준다. (각성시 336 % , 336 % , 504 %)</v>
      </c>
      <c r="G822" s="10">
        <v>1</v>
      </c>
      <c r="H822" s="2">
        <v>0.7</v>
      </c>
      <c r="I822" s="2">
        <v>8</v>
      </c>
      <c r="J822" s="10">
        <v>170</v>
      </c>
      <c r="K822" s="2">
        <v>0</v>
      </c>
      <c r="L822" s="2">
        <v>0</v>
      </c>
      <c r="M822" s="2">
        <v>0</v>
      </c>
      <c r="N822" s="2">
        <v>0</v>
      </c>
      <c r="O822" s="2">
        <v>0</v>
      </c>
      <c r="P822" s="2" t="s">
        <v>439</v>
      </c>
      <c r="Q822" s="2" t="str">
        <f t="shared" si="108"/>
        <v>SI_SA_LCR_CRESCENT_KICK</v>
      </c>
      <c r="R822" s="2" t="b">
        <v>0</v>
      </c>
      <c r="S822" s="2" t="b">
        <v>1</v>
      </c>
      <c r="T822" s="2">
        <v>1</v>
      </c>
      <c r="U822" s="2"/>
    </row>
    <row r="823" spans="1:21">
      <c r="A823" s="4">
        <v>2007</v>
      </c>
      <c r="B823" s="7" t="str">
        <f>VLOOKUP($A823,SkillEnum!$A$2:$C$1020,2,FALSE)</f>
        <v>SI_SA_LCR_CRESCENT_KICK</v>
      </c>
      <c r="C823" s="7">
        <v>7</v>
      </c>
      <c r="D823" s="2" t="str">
        <f>VLOOKUP($C823,SkillEnum!$D$2:$E$10,2,FALSE)</f>
        <v>ST_SPECIAL_ACTIVE</v>
      </c>
      <c r="E823" s="7" t="str">
        <f>VLOOKUP($A823,SkillEnum!$A$2:$C$1020,3,FALSE)</f>
        <v>크레센트 킥</v>
      </c>
      <c r="F823" s="7" t="str">
        <f t="shared" ref="F823:F831" si="112">"바람을 가르는 3번의 발차기의 풍압으로 마법공격력의 "&amp;ROUND(4*H823*100,0)&amp;" % , "&amp;ROUND(4*H823*100,0)&amp;" % , "&amp;ROUND(5*H823*100,0)&amp;" % 데미지를 준다. (각성시 "&amp;ROUND(4*1.2*H823*100,0)&amp;" % , "&amp;ROUND(4*1.2*H823*100,0)&amp;" % , "&amp;ROUND(6*1.2*H823*100,0)&amp;" %)"</f>
        <v>바람을 가르는 3번의 발차기의 풍압으로 마법공격력의 336 % , 336 % , 420 % 데미지를 준다. (각성시 403 % , 403 % , 605 %)</v>
      </c>
      <c r="G823" s="2">
        <v>2</v>
      </c>
      <c r="H823" s="2">
        <v>0.84</v>
      </c>
      <c r="I823" s="2">
        <v>8</v>
      </c>
      <c r="J823" s="2">
        <v>170</v>
      </c>
      <c r="K823" s="2">
        <v>0</v>
      </c>
      <c r="L823" s="2">
        <v>0</v>
      </c>
      <c r="M823" s="2">
        <v>0</v>
      </c>
      <c r="N823" s="2">
        <v>0</v>
      </c>
      <c r="O823" s="2">
        <v>0</v>
      </c>
      <c r="P823" s="2" t="s">
        <v>439</v>
      </c>
      <c r="Q823" s="2" t="str">
        <f t="shared" si="108"/>
        <v>SI_SA_LCR_CRESCENT_KICK</v>
      </c>
      <c r="R823" s="2" t="b">
        <v>0</v>
      </c>
      <c r="S823" s="2" t="b">
        <v>1</v>
      </c>
      <c r="T823" s="2">
        <v>1</v>
      </c>
    </row>
    <row r="824" spans="1:21">
      <c r="A824" s="4">
        <v>2007</v>
      </c>
      <c r="B824" s="7" t="str">
        <f>VLOOKUP($A824,SkillEnum!$A$2:$C$1020,2,FALSE)</f>
        <v>SI_SA_LCR_CRESCENT_KICK</v>
      </c>
      <c r="C824" s="7">
        <v>7</v>
      </c>
      <c r="D824" s="2" t="str">
        <f>VLOOKUP($C824,SkillEnum!$D$2:$E$10,2,FALSE)</f>
        <v>ST_SPECIAL_ACTIVE</v>
      </c>
      <c r="E824" s="7" t="str">
        <f>VLOOKUP($A824,SkillEnum!$A$2:$C$1020,3,FALSE)</f>
        <v>크레센트 킥</v>
      </c>
      <c r="F824" s="7" t="str">
        <f t="shared" si="112"/>
        <v>바람을 가르는 3번의 발차기의 풍압으로 마법공격력의 392 % , 392 % , 490 % 데미지를 준다. (각성시 470 % , 470 % , 706 %)</v>
      </c>
      <c r="G824" s="2">
        <v>3</v>
      </c>
      <c r="H824" s="2">
        <v>0.98</v>
      </c>
      <c r="I824" s="2">
        <v>8</v>
      </c>
      <c r="J824" s="2">
        <v>170</v>
      </c>
      <c r="K824" s="2">
        <v>0</v>
      </c>
      <c r="L824" s="2">
        <v>0</v>
      </c>
      <c r="M824" s="2">
        <v>0</v>
      </c>
      <c r="N824" s="2">
        <v>0</v>
      </c>
      <c r="O824" s="2">
        <v>0</v>
      </c>
      <c r="P824" s="2" t="s">
        <v>439</v>
      </c>
      <c r="Q824" s="2" t="str">
        <f t="shared" si="108"/>
        <v>SI_SA_LCR_CRESCENT_KICK</v>
      </c>
      <c r="R824" s="2" t="b">
        <v>0</v>
      </c>
      <c r="S824" s="2" t="b">
        <v>1</v>
      </c>
      <c r="T824" s="2">
        <v>1</v>
      </c>
    </row>
    <row r="825" spans="1:21">
      <c r="A825" s="4">
        <v>2007</v>
      </c>
      <c r="B825" s="7" t="str">
        <f>VLOOKUP($A825,SkillEnum!$A$2:$C$1020,2,FALSE)</f>
        <v>SI_SA_LCR_CRESCENT_KICK</v>
      </c>
      <c r="C825" s="7">
        <v>7</v>
      </c>
      <c r="D825" s="2" t="str">
        <f>VLOOKUP($C825,SkillEnum!$D$2:$E$10,2,FALSE)</f>
        <v>ST_SPECIAL_ACTIVE</v>
      </c>
      <c r="E825" s="7" t="str">
        <f>VLOOKUP($A825,SkillEnum!$A$2:$C$1020,3,FALSE)</f>
        <v>크레센트 킥</v>
      </c>
      <c r="F825" s="7" t="str">
        <f t="shared" si="112"/>
        <v>바람을 가르는 3번의 발차기의 풍압으로 마법공격력의 448 % , 448 % , 560 % 데미지를 준다. (각성시 538 % , 538 % , 806 %)</v>
      </c>
      <c r="G825" s="2">
        <v>4</v>
      </c>
      <c r="H825" s="2">
        <v>1.1200000000000001</v>
      </c>
      <c r="I825" s="2">
        <v>8</v>
      </c>
      <c r="J825" s="2">
        <v>170</v>
      </c>
      <c r="K825" s="2">
        <v>0</v>
      </c>
      <c r="L825" s="2">
        <v>0</v>
      </c>
      <c r="M825" s="2">
        <v>0</v>
      </c>
      <c r="N825" s="2">
        <v>0</v>
      </c>
      <c r="O825" s="2">
        <v>0</v>
      </c>
      <c r="P825" s="2" t="s">
        <v>439</v>
      </c>
      <c r="Q825" s="2" t="str">
        <f t="shared" si="108"/>
        <v>SI_SA_LCR_CRESCENT_KICK</v>
      </c>
      <c r="R825" s="2" t="b">
        <v>0</v>
      </c>
      <c r="S825" s="2" t="b">
        <v>1</v>
      </c>
      <c r="T825" s="2">
        <v>1</v>
      </c>
    </row>
    <row r="826" spans="1:21">
      <c r="A826" s="4">
        <v>2007</v>
      </c>
      <c r="B826" s="7" t="str">
        <f>VLOOKUP($A826,SkillEnum!$A$2:$C$1020,2,FALSE)</f>
        <v>SI_SA_LCR_CRESCENT_KICK</v>
      </c>
      <c r="C826" s="7">
        <v>7</v>
      </c>
      <c r="D826" s="2" t="str">
        <f>VLOOKUP($C826,SkillEnum!$D$2:$E$10,2,FALSE)</f>
        <v>ST_SPECIAL_ACTIVE</v>
      </c>
      <c r="E826" s="7" t="str">
        <f>VLOOKUP($A826,SkillEnum!$A$2:$C$1020,3,FALSE)</f>
        <v>크레센트 킥</v>
      </c>
      <c r="F826" s="7" t="str">
        <f t="shared" si="112"/>
        <v>바람을 가르는 3번의 발차기의 풍압으로 마법공격력의 532 % , 532 % , 665 % 데미지를 준다. (각성시 638 % , 638 % , 958 %)</v>
      </c>
      <c r="G826" s="2">
        <v>5</v>
      </c>
      <c r="H826" s="2">
        <v>1.33</v>
      </c>
      <c r="I826" s="2">
        <v>8</v>
      </c>
      <c r="J826" s="2">
        <v>170</v>
      </c>
      <c r="K826" s="2">
        <v>0</v>
      </c>
      <c r="L826" s="2">
        <v>0</v>
      </c>
      <c r="M826" s="2">
        <v>0</v>
      </c>
      <c r="N826" s="2">
        <v>0</v>
      </c>
      <c r="O826" s="2">
        <v>0</v>
      </c>
      <c r="P826" s="2" t="s">
        <v>439</v>
      </c>
      <c r="Q826" s="2" t="str">
        <f t="shared" si="108"/>
        <v>SI_SA_LCR_CRESCENT_KICK</v>
      </c>
      <c r="R826" s="2" t="b">
        <v>0</v>
      </c>
      <c r="S826" s="2" t="b">
        <v>1</v>
      </c>
      <c r="T826" s="2">
        <v>1</v>
      </c>
    </row>
    <row r="827" spans="1:21">
      <c r="A827" s="4">
        <v>2007</v>
      </c>
      <c r="B827" s="7" t="str">
        <f>VLOOKUP($A827,SkillEnum!$A$2:$C$1020,2,FALSE)</f>
        <v>SI_SA_LCR_CRESCENT_KICK</v>
      </c>
      <c r="C827" s="7">
        <v>7</v>
      </c>
      <c r="D827" s="2" t="str">
        <f>VLOOKUP($C827,SkillEnum!$D$2:$E$10,2,FALSE)</f>
        <v>ST_SPECIAL_ACTIVE</v>
      </c>
      <c r="E827" s="7" t="str">
        <f>VLOOKUP($A827,SkillEnum!$A$2:$C$1020,3,FALSE)</f>
        <v>크레센트 킥</v>
      </c>
      <c r="F827" s="7" t="str">
        <f t="shared" si="112"/>
        <v>바람을 가르는 3번의 발차기의 풍압으로 마법공격력의 616 % , 616 % , 770 % 데미지를 준다. (각성시 739 % , 739 % , 1109 %)</v>
      </c>
      <c r="G827" s="2">
        <v>6</v>
      </c>
      <c r="H827" s="2">
        <v>1.54</v>
      </c>
      <c r="I827" s="2">
        <v>8</v>
      </c>
      <c r="J827" s="2">
        <v>170</v>
      </c>
      <c r="K827" s="2">
        <v>0</v>
      </c>
      <c r="L827" s="2">
        <v>0</v>
      </c>
      <c r="M827" s="2">
        <v>0</v>
      </c>
      <c r="N827" s="2">
        <v>0</v>
      </c>
      <c r="O827" s="2">
        <v>0</v>
      </c>
      <c r="P827" s="2" t="s">
        <v>439</v>
      </c>
      <c r="Q827" s="2" t="str">
        <f t="shared" si="108"/>
        <v>SI_SA_LCR_CRESCENT_KICK</v>
      </c>
      <c r="R827" s="2" t="b">
        <v>0</v>
      </c>
      <c r="S827" s="2" t="b">
        <v>1</v>
      </c>
      <c r="T827" s="2">
        <v>1</v>
      </c>
    </row>
    <row r="828" spans="1:21">
      <c r="A828" s="4">
        <v>2007</v>
      </c>
      <c r="B828" s="7" t="str">
        <f>VLOOKUP($A828,SkillEnum!$A$2:$C$1020,2,FALSE)</f>
        <v>SI_SA_LCR_CRESCENT_KICK</v>
      </c>
      <c r="C828" s="7">
        <v>7</v>
      </c>
      <c r="D828" s="2" t="str">
        <f>VLOOKUP($C828,SkillEnum!$D$2:$E$10,2,FALSE)</f>
        <v>ST_SPECIAL_ACTIVE</v>
      </c>
      <c r="E828" s="7" t="str">
        <f>VLOOKUP($A828,SkillEnum!$A$2:$C$1020,3,FALSE)</f>
        <v>크레센트 킥</v>
      </c>
      <c r="F828" s="7" t="str">
        <f t="shared" si="112"/>
        <v>바람을 가르는 3번의 발차기의 풍압으로 마법공격력의 700 % , 700 % , 875 % 데미지를 준다. (각성시 840 % , 840 % , 1260 %)</v>
      </c>
      <c r="G828" s="2">
        <v>7</v>
      </c>
      <c r="H828" s="2">
        <v>1.75</v>
      </c>
      <c r="I828" s="2">
        <v>8</v>
      </c>
      <c r="J828" s="2">
        <v>170</v>
      </c>
      <c r="K828" s="2">
        <v>0</v>
      </c>
      <c r="L828" s="2">
        <v>0</v>
      </c>
      <c r="M828" s="2">
        <v>0</v>
      </c>
      <c r="N828" s="2">
        <v>0</v>
      </c>
      <c r="O828" s="2">
        <v>0</v>
      </c>
      <c r="P828" s="2" t="s">
        <v>439</v>
      </c>
      <c r="Q828" s="2" t="str">
        <f t="shared" si="108"/>
        <v>SI_SA_LCR_CRESCENT_KICK</v>
      </c>
      <c r="R828" s="2" t="b">
        <v>0</v>
      </c>
      <c r="S828" s="2" t="b">
        <v>1</v>
      </c>
      <c r="T828" s="2">
        <v>1</v>
      </c>
    </row>
    <row r="829" spans="1:21">
      <c r="A829" s="4">
        <v>2007</v>
      </c>
      <c r="B829" s="7" t="str">
        <f>VLOOKUP($A829,SkillEnum!$A$2:$C$1020,2,FALSE)</f>
        <v>SI_SA_LCR_CRESCENT_KICK</v>
      </c>
      <c r="C829" s="7">
        <v>7</v>
      </c>
      <c r="D829" s="2" t="str">
        <f>VLOOKUP($C829,SkillEnum!$D$2:$E$10,2,FALSE)</f>
        <v>ST_SPECIAL_ACTIVE</v>
      </c>
      <c r="E829" s="7" t="str">
        <f>VLOOKUP($A829,SkillEnum!$A$2:$C$1020,3,FALSE)</f>
        <v>크레센트 킥</v>
      </c>
      <c r="F829" s="7" t="str">
        <f t="shared" si="112"/>
        <v>바람을 가르는 3번의 발차기의 풍압으로 마법공격력의 784 % , 784 % , 980 % 데미지를 준다. (각성시 941 % , 941 % , 1411 %)</v>
      </c>
      <c r="G829" s="2">
        <v>8</v>
      </c>
      <c r="H829" s="2">
        <v>1.96</v>
      </c>
      <c r="I829" s="2">
        <v>8</v>
      </c>
      <c r="J829" s="2">
        <v>170</v>
      </c>
      <c r="K829" s="2">
        <v>0</v>
      </c>
      <c r="L829" s="2">
        <v>0</v>
      </c>
      <c r="M829" s="2">
        <v>0</v>
      </c>
      <c r="N829" s="2">
        <v>0</v>
      </c>
      <c r="O829" s="2">
        <v>0</v>
      </c>
      <c r="P829" s="2" t="s">
        <v>439</v>
      </c>
      <c r="Q829" s="2" t="str">
        <f t="shared" si="108"/>
        <v>SI_SA_LCR_CRESCENT_KICK</v>
      </c>
      <c r="R829" s="2" t="b">
        <v>0</v>
      </c>
      <c r="S829" s="2" t="b">
        <v>1</v>
      </c>
      <c r="T829" s="2">
        <v>1</v>
      </c>
    </row>
    <row r="830" spans="1:21">
      <c r="A830" s="4">
        <v>2007</v>
      </c>
      <c r="B830" s="7" t="str">
        <f>VLOOKUP($A830,SkillEnum!$A$2:$C$1020,2,FALSE)</f>
        <v>SI_SA_LCR_CRESCENT_KICK</v>
      </c>
      <c r="C830" s="7">
        <v>7</v>
      </c>
      <c r="D830" s="2" t="str">
        <f>VLOOKUP($C830,SkillEnum!$D$2:$E$10,2,FALSE)</f>
        <v>ST_SPECIAL_ACTIVE</v>
      </c>
      <c r="E830" s="7" t="str">
        <f>VLOOKUP($A830,SkillEnum!$A$2:$C$1020,3,FALSE)</f>
        <v>크레센트 킥</v>
      </c>
      <c r="F830" s="7" t="str">
        <f t="shared" si="112"/>
        <v>바람을 가르는 3번의 발차기의 풍압으로 마법공격력의 896 % , 896 % , 1120 % 데미지를 준다. (각성시 1075 % , 1075 % , 1613 %)</v>
      </c>
      <c r="G830" s="2">
        <v>9</v>
      </c>
      <c r="H830" s="2">
        <v>2.2400000000000002</v>
      </c>
      <c r="I830" s="2">
        <v>8</v>
      </c>
      <c r="J830" s="2">
        <v>170</v>
      </c>
      <c r="K830" s="2">
        <v>0</v>
      </c>
      <c r="L830" s="2">
        <v>0</v>
      </c>
      <c r="M830" s="2">
        <v>0</v>
      </c>
      <c r="N830" s="2">
        <v>0</v>
      </c>
      <c r="O830" s="2">
        <v>0</v>
      </c>
      <c r="P830" s="2" t="s">
        <v>439</v>
      </c>
      <c r="Q830" s="2" t="str">
        <f t="shared" si="108"/>
        <v>SI_SA_LCR_CRESCENT_KICK</v>
      </c>
      <c r="R830" s="2" t="b">
        <v>0</v>
      </c>
      <c r="S830" s="2" t="b">
        <v>1</v>
      </c>
      <c r="T830" s="2">
        <v>1</v>
      </c>
    </row>
    <row r="831" spans="1:21" s="5" customFormat="1">
      <c r="A831" s="6">
        <v>2007</v>
      </c>
      <c r="B831" s="8" t="str">
        <f>VLOOKUP($A831,SkillEnum!$A$2:$C$1020,2,FALSE)</f>
        <v>SI_SA_LCR_CRESCENT_KICK</v>
      </c>
      <c r="C831" s="8">
        <v>7</v>
      </c>
      <c r="D831" s="5" t="str">
        <f>VLOOKUP($C831,SkillEnum!$D$2:$E$10,2,FALSE)</f>
        <v>ST_SPECIAL_ACTIVE</v>
      </c>
      <c r="E831" s="8" t="str">
        <f>VLOOKUP($A831,SkillEnum!$A$2:$C$1020,3,FALSE)</f>
        <v>크레센트 킥</v>
      </c>
      <c r="F831" s="8" t="str">
        <f t="shared" si="112"/>
        <v>바람을 가르는 3번의 발차기의 풍압으로 마법공격력의 1008 % , 1008 % , 1260 % 데미지를 준다. (각성시 1210 % , 1210 % , 1814 %)</v>
      </c>
      <c r="G831" s="5">
        <v>10</v>
      </c>
      <c r="H831" s="5">
        <v>2.52</v>
      </c>
      <c r="I831" s="5">
        <v>8</v>
      </c>
      <c r="J831" s="5">
        <v>170</v>
      </c>
      <c r="K831" s="5">
        <v>0</v>
      </c>
      <c r="L831" s="5">
        <v>0</v>
      </c>
      <c r="M831" s="5">
        <v>0</v>
      </c>
      <c r="N831" s="5">
        <v>0</v>
      </c>
      <c r="O831" s="5">
        <v>0</v>
      </c>
      <c r="P831" s="2" t="s">
        <v>439</v>
      </c>
      <c r="Q831" s="2" t="str">
        <f t="shared" si="108"/>
        <v>SI_SA_LCR_CRESCENT_KICK</v>
      </c>
      <c r="R831" s="5" t="b">
        <v>0</v>
      </c>
      <c r="S831" s="2" t="b">
        <v>1</v>
      </c>
      <c r="T831" s="2">
        <v>1</v>
      </c>
      <c r="U831" s="2"/>
    </row>
    <row r="832" spans="1:21" s="10" customFormat="1">
      <c r="A832" s="9">
        <v>2008</v>
      </c>
      <c r="B832" s="11" t="str">
        <f>VLOOKUP($A832,SkillEnum!$A$2:$C$1020,2,FALSE)</f>
        <v>SI_SA_LCR_DIVE_KICK_BOMBING</v>
      </c>
      <c r="C832" s="11">
        <v>7</v>
      </c>
      <c r="D832" s="10" t="str">
        <f>VLOOKUP($C832,SkillEnum!$D$2:$E$10,2,FALSE)</f>
        <v>ST_SPECIAL_ACTIVE</v>
      </c>
      <c r="E832" s="11" t="str">
        <f>VLOOKUP($A832,SkillEnum!$A$2:$C$1020,3,FALSE)</f>
        <v>다이브킥 봄잉</v>
      </c>
      <c r="F832" s="11" t="str">
        <f>"빠른 속도로 끊임없이 내지르는 물리공격력의 "&amp;ROUND(2.45*H832*100,0)&amp;" % 발차기로 연속적으로 타격해 적을 제압한다. (각성시 발차기가 끝난 후 바람을 일으켜, 마법공격력의 "&amp;ROUND(1.5*1.2*H832*100,0)&amp;" % 로 추가 연속타격을 한다.)"</f>
        <v>빠른 속도로 끊임없이 내지르는 물리공격력의 172 % 발차기로 연속적으로 타격해 적을 제압한다. (각성시 발차기가 끝난 후 바람을 일으켜, 마법공격력의 126 % 로 추가 연속타격을 한다.)</v>
      </c>
      <c r="G832" s="10">
        <v>1</v>
      </c>
      <c r="H832" s="2">
        <v>0.7</v>
      </c>
      <c r="I832" s="2">
        <v>23</v>
      </c>
      <c r="J832" s="10">
        <v>250</v>
      </c>
      <c r="K832" s="2">
        <v>0</v>
      </c>
      <c r="L832" s="2">
        <v>0</v>
      </c>
      <c r="M832" s="2">
        <v>0</v>
      </c>
      <c r="N832" s="2">
        <v>0</v>
      </c>
      <c r="O832" s="2">
        <v>0</v>
      </c>
      <c r="P832" s="2" t="s">
        <v>439</v>
      </c>
      <c r="Q832" s="2" t="str">
        <f t="shared" si="108"/>
        <v>SI_SA_LCR_DIVE_KICK_BOMBING</v>
      </c>
      <c r="R832" s="2" t="b">
        <v>0</v>
      </c>
      <c r="S832" s="2" t="b">
        <v>1</v>
      </c>
      <c r="T832" s="2">
        <v>1</v>
      </c>
      <c r="U832" s="2"/>
    </row>
    <row r="833" spans="1:21">
      <c r="A833" s="4">
        <v>2008</v>
      </c>
      <c r="B833" s="7" t="str">
        <f>VLOOKUP($A833,SkillEnum!$A$2:$C$1020,2,FALSE)</f>
        <v>SI_SA_LCR_DIVE_KICK_BOMBING</v>
      </c>
      <c r="C833" s="7">
        <v>7</v>
      </c>
      <c r="D833" s="2" t="str">
        <f>VLOOKUP($C833,SkillEnum!$D$2:$E$10,2,FALSE)</f>
        <v>ST_SPECIAL_ACTIVE</v>
      </c>
      <c r="E833" s="7" t="str">
        <f>VLOOKUP($A833,SkillEnum!$A$2:$C$1020,3,FALSE)</f>
        <v>다이브킥 봄잉</v>
      </c>
      <c r="F833" s="7" t="str">
        <f t="shared" ref="F833:F841" si="113">"빠른 속도로 끊임없이 내지르는 물리공격력의 "&amp;ROUND(2.45*H833*100,0)&amp;" % 발차기로 연속적으로 타격해 적을 제압한다. (각성시 발차기가 끝난 후 바람을 일으켜, 마법공격력의 "&amp;ROUND(1.5*1.2*H833*100,0)&amp;" % 로 추가 연속타격을 한다.)"</f>
        <v>빠른 속도로 끊임없이 내지르는 물리공격력의 206 % 발차기로 연속적으로 타격해 적을 제압한다. (각성시 발차기가 끝난 후 바람을 일으켜, 마법공격력의 151 % 로 추가 연속타격을 한다.)</v>
      </c>
      <c r="G833" s="2">
        <v>2</v>
      </c>
      <c r="H833" s="2">
        <v>0.84</v>
      </c>
      <c r="I833" s="2">
        <v>23</v>
      </c>
      <c r="J833" s="2">
        <v>250</v>
      </c>
      <c r="K833" s="2">
        <v>0</v>
      </c>
      <c r="L833" s="2">
        <v>0</v>
      </c>
      <c r="M833" s="2">
        <v>0</v>
      </c>
      <c r="N833" s="2">
        <v>0</v>
      </c>
      <c r="O833" s="2">
        <v>0</v>
      </c>
      <c r="P833" s="2" t="s">
        <v>439</v>
      </c>
      <c r="Q833" s="2" t="str">
        <f t="shared" si="108"/>
        <v>SI_SA_LCR_DIVE_KICK_BOMBING</v>
      </c>
      <c r="R833" s="2" t="b">
        <v>0</v>
      </c>
      <c r="S833" s="2" t="b">
        <v>1</v>
      </c>
      <c r="T833" s="2">
        <v>1</v>
      </c>
    </row>
    <row r="834" spans="1:21">
      <c r="A834" s="4">
        <v>2008</v>
      </c>
      <c r="B834" s="7" t="str">
        <f>VLOOKUP($A834,SkillEnum!$A$2:$C$1020,2,FALSE)</f>
        <v>SI_SA_LCR_DIVE_KICK_BOMBING</v>
      </c>
      <c r="C834" s="7">
        <v>7</v>
      </c>
      <c r="D834" s="2" t="str">
        <f>VLOOKUP($C834,SkillEnum!$D$2:$E$10,2,FALSE)</f>
        <v>ST_SPECIAL_ACTIVE</v>
      </c>
      <c r="E834" s="7" t="str">
        <f>VLOOKUP($A834,SkillEnum!$A$2:$C$1020,3,FALSE)</f>
        <v>다이브킥 봄잉</v>
      </c>
      <c r="F834" s="7" t="str">
        <f t="shared" si="113"/>
        <v>빠른 속도로 끊임없이 내지르는 물리공격력의 240 % 발차기로 연속적으로 타격해 적을 제압한다. (각성시 발차기가 끝난 후 바람을 일으켜, 마법공격력의 176 % 로 추가 연속타격을 한다.)</v>
      </c>
      <c r="G834" s="2">
        <v>3</v>
      </c>
      <c r="H834" s="2">
        <v>0.98</v>
      </c>
      <c r="I834" s="2">
        <v>23</v>
      </c>
      <c r="J834" s="2">
        <v>250</v>
      </c>
      <c r="K834" s="2">
        <v>0</v>
      </c>
      <c r="L834" s="2">
        <v>0</v>
      </c>
      <c r="M834" s="2">
        <v>0</v>
      </c>
      <c r="N834" s="2">
        <v>0</v>
      </c>
      <c r="O834" s="2">
        <v>0</v>
      </c>
      <c r="P834" s="2" t="s">
        <v>439</v>
      </c>
      <c r="Q834" s="2" t="str">
        <f t="shared" si="108"/>
        <v>SI_SA_LCR_DIVE_KICK_BOMBING</v>
      </c>
      <c r="R834" s="2" t="b">
        <v>0</v>
      </c>
      <c r="S834" s="2" t="b">
        <v>1</v>
      </c>
      <c r="T834" s="2">
        <v>1</v>
      </c>
    </row>
    <row r="835" spans="1:21">
      <c r="A835" s="4">
        <v>2008</v>
      </c>
      <c r="B835" s="7" t="str">
        <f>VLOOKUP($A835,SkillEnum!$A$2:$C$1020,2,FALSE)</f>
        <v>SI_SA_LCR_DIVE_KICK_BOMBING</v>
      </c>
      <c r="C835" s="7">
        <v>7</v>
      </c>
      <c r="D835" s="2" t="str">
        <f>VLOOKUP($C835,SkillEnum!$D$2:$E$10,2,FALSE)</f>
        <v>ST_SPECIAL_ACTIVE</v>
      </c>
      <c r="E835" s="7" t="str">
        <f>VLOOKUP($A835,SkillEnum!$A$2:$C$1020,3,FALSE)</f>
        <v>다이브킥 봄잉</v>
      </c>
      <c r="F835" s="7" t="str">
        <f t="shared" si="113"/>
        <v>빠른 속도로 끊임없이 내지르는 물리공격력의 274 % 발차기로 연속적으로 타격해 적을 제압한다. (각성시 발차기가 끝난 후 바람을 일으켜, 마법공격력의 202 % 로 추가 연속타격을 한다.)</v>
      </c>
      <c r="G835" s="2">
        <v>4</v>
      </c>
      <c r="H835" s="2">
        <v>1.1200000000000001</v>
      </c>
      <c r="I835" s="2">
        <v>23</v>
      </c>
      <c r="J835" s="2">
        <v>250</v>
      </c>
      <c r="K835" s="2">
        <v>0</v>
      </c>
      <c r="L835" s="2">
        <v>0</v>
      </c>
      <c r="M835" s="2">
        <v>0</v>
      </c>
      <c r="N835" s="2">
        <v>0</v>
      </c>
      <c r="O835" s="2">
        <v>0</v>
      </c>
      <c r="P835" s="2" t="s">
        <v>439</v>
      </c>
      <c r="Q835" s="2" t="str">
        <f t="shared" si="108"/>
        <v>SI_SA_LCR_DIVE_KICK_BOMBING</v>
      </c>
      <c r="R835" s="2" t="b">
        <v>0</v>
      </c>
      <c r="S835" s="2" t="b">
        <v>1</v>
      </c>
      <c r="T835" s="2">
        <v>1</v>
      </c>
    </row>
    <row r="836" spans="1:21">
      <c r="A836" s="4">
        <v>2008</v>
      </c>
      <c r="B836" s="7" t="str">
        <f>VLOOKUP($A836,SkillEnum!$A$2:$C$1020,2,FALSE)</f>
        <v>SI_SA_LCR_DIVE_KICK_BOMBING</v>
      </c>
      <c r="C836" s="7">
        <v>7</v>
      </c>
      <c r="D836" s="2" t="str">
        <f>VLOOKUP($C836,SkillEnum!$D$2:$E$10,2,FALSE)</f>
        <v>ST_SPECIAL_ACTIVE</v>
      </c>
      <c r="E836" s="7" t="str">
        <f>VLOOKUP($A836,SkillEnum!$A$2:$C$1020,3,FALSE)</f>
        <v>다이브킥 봄잉</v>
      </c>
      <c r="F836" s="7" t="str">
        <f t="shared" si="113"/>
        <v>빠른 속도로 끊임없이 내지르는 물리공격력의 326 % 발차기로 연속적으로 타격해 적을 제압한다. (각성시 발차기가 끝난 후 바람을 일으켜, 마법공격력의 239 % 로 추가 연속타격을 한다.)</v>
      </c>
      <c r="G836" s="2">
        <v>5</v>
      </c>
      <c r="H836" s="2">
        <v>1.33</v>
      </c>
      <c r="I836" s="2">
        <v>23</v>
      </c>
      <c r="J836" s="2">
        <v>250</v>
      </c>
      <c r="K836" s="2">
        <v>0</v>
      </c>
      <c r="L836" s="2">
        <v>0</v>
      </c>
      <c r="M836" s="2">
        <v>0</v>
      </c>
      <c r="N836" s="2">
        <v>0</v>
      </c>
      <c r="O836" s="2">
        <v>0</v>
      </c>
      <c r="P836" s="2" t="s">
        <v>439</v>
      </c>
      <c r="Q836" s="2" t="str">
        <f t="shared" si="108"/>
        <v>SI_SA_LCR_DIVE_KICK_BOMBING</v>
      </c>
      <c r="R836" s="2" t="b">
        <v>0</v>
      </c>
      <c r="S836" s="2" t="b">
        <v>1</v>
      </c>
      <c r="T836" s="2">
        <v>1</v>
      </c>
    </row>
    <row r="837" spans="1:21">
      <c r="A837" s="4">
        <v>2008</v>
      </c>
      <c r="B837" s="7" t="str">
        <f>VLOOKUP($A837,SkillEnum!$A$2:$C$1020,2,FALSE)</f>
        <v>SI_SA_LCR_DIVE_KICK_BOMBING</v>
      </c>
      <c r="C837" s="7">
        <v>7</v>
      </c>
      <c r="D837" s="2" t="str">
        <f>VLOOKUP($C837,SkillEnum!$D$2:$E$10,2,FALSE)</f>
        <v>ST_SPECIAL_ACTIVE</v>
      </c>
      <c r="E837" s="7" t="str">
        <f>VLOOKUP($A837,SkillEnum!$A$2:$C$1020,3,FALSE)</f>
        <v>다이브킥 봄잉</v>
      </c>
      <c r="F837" s="7" t="str">
        <f t="shared" si="113"/>
        <v>빠른 속도로 끊임없이 내지르는 물리공격력의 377 % 발차기로 연속적으로 타격해 적을 제압한다. (각성시 발차기가 끝난 후 바람을 일으켜, 마법공격력의 277 % 로 추가 연속타격을 한다.)</v>
      </c>
      <c r="G837" s="2">
        <v>6</v>
      </c>
      <c r="H837" s="2">
        <v>1.54</v>
      </c>
      <c r="I837" s="2">
        <v>23</v>
      </c>
      <c r="J837" s="2">
        <v>250</v>
      </c>
      <c r="K837" s="2">
        <v>0</v>
      </c>
      <c r="L837" s="2">
        <v>0</v>
      </c>
      <c r="M837" s="2">
        <v>0</v>
      </c>
      <c r="N837" s="2">
        <v>0</v>
      </c>
      <c r="O837" s="2">
        <v>0</v>
      </c>
      <c r="P837" s="2" t="s">
        <v>439</v>
      </c>
      <c r="Q837" s="2" t="str">
        <f t="shared" si="108"/>
        <v>SI_SA_LCR_DIVE_KICK_BOMBING</v>
      </c>
      <c r="R837" s="2" t="b">
        <v>0</v>
      </c>
      <c r="S837" s="2" t="b">
        <v>1</v>
      </c>
      <c r="T837" s="2">
        <v>1</v>
      </c>
    </row>
    <row r="838" spans="1:21">
      <c r="A838" s="4">
        <v>2008</v>
      </c>
      <c r="B838" s="7" t="str">
        <f>VLOOKUP($A838,SkillEnum!$A$2:$C$1020,2,FALSE)</f>
        <v>SI_SA_LCR_DIVE_KICK_BOMBING</v>
      </c>
      <c r="C838" s="7">
        <v>7</v>
      </c>
      <c r="D838" s="2" t="str">
        <f>VLOOKUP($C838,SkillEnum!$D$2:$E$10,2,FALSE)</f>
        <v>ST_SPECIAL_ACTIVE</v>
      </c>
      <c r="E838" s="7" t="str">
        <f>VLOOKUP($A838,SkillEnum!$A$2:$C$1020,3,FALSE)</f>
        <v>다이브킥 봄잉</v>
      </c>
      <c r="F838" s="7" t="str">
        <f t="shared" si="113"/>
        <v>빠른 속도로 끊임없이 내지르는 물리공격력의 429 % 발차기로 연속적으로 타격해 적을 제압한다. (각성시 발차기가 끝난 후 바람을 일으켜, 마법공격력의 315 % 로 추가 연속타격을 한다.)</v>
      </c>
      <c r="G838" s="2">
        <v>7</v>
      </c>
      <c r="H838" s="2">
        <v>1.75</v>
      </c>
      <c r="I838" s="2">
        <v>23</v>
      </c>
      <c r="J838" s="2">
        <v>250</v>
      </c>
      <c r="K838" s="2">
        <v>0</v>
      </c>
      <c r="L838" s="2">
        <v>0</v>
      </c>
      <c r="M838" s="2">
        <v>0</v>
      </c>
      <c r="N838" s="2">
        <v>0</v>
      </c>
      <c r="O838" s="2">
        <v>0</v>
      </c>
      <c r="P838" s="2" t="s">
        <v>439</v>
      </c>
      <c r="Q838" s="2" t="str">
        <f t="shared" si="108"/>
        <v>SI_SA_LCR_DIVE_KICK_BOMBING</v>
      </c>
      <c r="R838" s="2" t="b">
        <v>0</v>
      </c>
      <c r="S838" s="2" t="b">
        <v>1</v>
      </c>
      <c r="T838" s="2">
        <v>1</v>
      </c>
    </row>
    <row r="839" spans="1:21">
      <c r="A839" s="4">
        <v>2008</v>
      </c>
      <c r="B839" s="7" t="str">
        <f>VLOOKUP($A839,SkillEnum!$A$2:$C$1020,2,FALSE)</f>
        <v>SI_SA_LCR_DIVE_KICK_BOMBING</v>
      </c>
      <c r="C839" s="7">
        <v>7</v>
      </c>
      <c r="D839" s="2" t="str">
        <f>VLOOKUP($C839,SkillEnum!$D$2:$E$10,2,FALSE)</f>
        <v>ST_SPECIAL_ACTIVE</v>
      </c>
      <c r="E839" s="7" t="str">
        <f>VLOOKUP($A839,SkillEnum!$A$2:$C$1020,3,FALSE)</f>
        <v>다이브킥 봄잉</v>
      </c>
      <c r="F839" s="7" t="str">
        <f t="shared" si="113"/>
        <v>빠른 속도로 끊임없이 내지르는 물리공격력의 480 % 발차기로 연속적으로 타격해 적을 제압한다. (각성시 발차기가 끝난 후 바람을 일으켜, 마법공격력의 353 % 로 추가 연속타격을 한다.)</v>
      </c>
      <c r="G839" s="2">
        <v>8</v>
      </c>
      <c r="H839" s="2">
        <v>1.96</v>
      </c>
      <c r="I839" s="2">
        <v>23</v>
      </c>
      <c r="J839" s="2">
        <v>250</v>
      </c>
      <c r="K839" s="2">
        <v>0</v>
      </c>
      <c r="L839" s="2">
        <v>0</v>
      </c>
      <c r="M839" s="2">
        <v>0</v>
      </c>
      <c r="N839" s="2">
        <v>0</v>
      </c>
      <c r="O839" s="2">
        <v>0</v>
      </c>
      <c r="P839" s="2" t="s">
        <v>439</v>
      </c>
      <c r="Q839" s="2" t="str">
        <f t="shared" si="108"/>
        <v>SI_SA_LCR_DIVE_KICK_BOMBING</v>
      </c>
      <c r="R839" s="2" t="b">
        <v>0</v>
      </c>
      <c r="S839" s="2" t="b">
        <v>1</v>
      </c>
      <c r="T839" s="2">
        <v>1</v>
      </c>
    </row>
    <row r="840" spans="1:21">
      <c r="A840" s="4">
        <v>2008</v>
      </c>
      <c r="B840" s="7" t="str">
        <f>VLOOKUP($A840,SkillEnum!$A$2:$C$1020,2,FALSE)</f>
        <v>SI_SA_LCR_DIVE_KICK_BOMBING</v>
      </c>
      <c r="C840" s="7">
        <v>7</v>
      </c>
      <c r="D840" s="2" t="str">
        <f>VLOOKUP($C840,SkillEnum!$D$2:$E$10,2,FALSE)</f>
        <v>ST_SPECIAL_ACTIVE</v>
      </c>
      <c r="E840" s="7" t="str">
        <f>VLOOKUP($A840,SkillEnum!$A$2:$C$1020,3,FALSE)</f>
        <v>다이브킥 봄잉</v>
      </c>
      <c r="F840" s="7" t="str">
        <f t="shared" si="113"/>
        <v>빠른 속도로 끊임없이 내지르는 물리공격력의 549 % 발차기로 연속적으로 타격해 적을 제압한다. (각성시 발차기가 끝난 후 바람을 일으켜, 마법공격력의 403 % 로 추가 연속타격을 한다.)</v>
      </c>
      <c r="G840" s="2">
        <v>9</v>
      </c>
      <c r="H840" s="2">
        <v>2.2400000000000002</v>
      </c>
      <c r="I840" s="2">
        <v>23</v>
      </c>
      <c r="J840" s="2">
        <v>250</v>
      </c>
      <c r="K840" s="2">
        <v>0</v>
      </c>
      <c r="L840" s="2">
        <v>0</v>
      </c>
      <c r="M840" s="2">
        <v>0</v>
      </c>
      <c r="N840" s="2">
        <v>0</v>
      </c>
      <c r="O840" s="2">
        <v>0</v>
      </c>
      <c r="P840" s="2" t="s">
        <v>439</v>
      </c>
      <c r="Q840" s="2" t="str">
        <f t="shared" si="108"/>
        <v>SI_SA_LCR_DIVE_KICK_BOMBING</v>
      </c>
      <c r="R840" s="2" t="b">
        <v>0</v>
      </c>
      <c r="S840" s="2" t="b">
        <v>1</v>
      </c>
      <c r="T840" s="2">
        <v>1</v>
      </c>
    </row>
    <row r="841" spans="1:21" s="5" customFormat="1">
      <c r="A841" s="6">
        <v>2008</v>
      </c>
      <c r="B841" s="8" t="str">
        <f>VLOOKUP($A841,SkillEnum!$A$2:$C$1020,2,FALSE)</f>
        <v>SI_SA_LCR_DIVE_KICK_BOMBING</v>
      </c>
      <c r="C841" s="8">
        <v>7</v>
      </c>
      <c r="D841" s="5" t="str">
        <f>VLOOKUP($C841,SkillEnum!$D$2:$E$10,2,FALSE)</f>
        <v>ST_SPECIAL_ACTIVE</v>
      </c>
      <c r="E841" s="8" t="str">
        <f>VLOOKUP($A841,SkillEnum!$A$2:$C$1020,3,FALSE)</f>
        <v>다이브킥 봄잉</v>
      </c>
      <c r="F841" s="8" t="str">
        <f t="shared" si="113"/>
        <v>빠른 속도로 끊임없이 내지르는 물리공격력의 617 % 발차기로 연속적으로 타격해 적을 제압한다. (각성시 발차기가 끝난 후 바람을 일으켜, 마법공격력의 454 % 로 추가 연속타격을 한다.)</v>
      </c>
      <c r="G841" s="5">
        <v>10</v>
      </c>
      <c r="H841" s="5">
        <v>2.52</v>
      </c>
      <c r="I841" s="5">
        <v>23</v>
      </c>
      <c r="J841" s="5">
        <v>250</v>
      </c>
      <c r="K841" s="5">
        <v>0</v>
      </c>
      <c r="L841" s="5">
        <v>0</v>
      </c>
      <c r="M841" s="5">
        <v>0</v>
      </c>
      <c r="N841" s="5">
        <v>0</v>
      </c>
      <c r="O841" s="5">
        <v>0</v>
      </c>
      <c r="P841" s="2" t="s">
        <v>439</v>
      </c>
      <c r="Q841" s="2" t="str">
        <f t="shared" si="108"/>
        <v>SI_SA_LCR_DIVE_KICK_BOMBING</v>
      </c>
      <c r="R841" s="5" t="b">
        <v>0</v>
      </c>
      <c r="S841" s="2" t="b">
        <v>1</v>
      </c>
      <c r="T841" s="2">
        <v>1</v>
      </c>
      <c r="U841" s="2"/>
    </row>
    <row r="842" spans="1:21" s="10" customFormat="1">
      <c r="A842" s="9">
        <v>2009</v>
      </c>
      <c r="B842" s="11" t="str">
        <f>VLOOKUP($A842,SkillEnum!$A$2:$C$1020,2,FALSE)</f>
        <v>SI_SA_LSR_HUMMING_WIND</v>
      </c>
      <c r="C842" s="11">
        <v>7</v>
      </c>
      <c r="D842" s="10" t="str">
        <f>VLOOKUP($C842,SkillEnum!$D$2:$E$10,2,FALSE)</f>
        <v>ST_SPECIAL_ACTIVE</v>
      </c>
      <c r="E842" s="11" t="str">
        <f>VLOOKUP($A842,SkillEnum!$A$2:$C$1020,3,FALSE)</f>
        <v>허밍 윈드</v>
      </c>
      <c r="F842" s="11" t="str">
        <f>"마법으로 압축된 공기를 폭발시켜 마법공격력의 "&amp;ROUND(4.6*H842*100,0)&amp;" % 데미지를 주고, 주위의 모든 적을 날려버린다."</f>
        <v>마법으로 압축된 공기를 폭발시켜 마법공격력의 322 % 데미지를 주고, 주위의 모든 적을 날려버린다.</v>
      </c>
      <c r="G842" s="10">
        <v>1</v>
      </c>
      <c r="H842" s="2">
        <v>0.7</v>
      </c>
      <c r="I842" s="2">
        <v>3</v>
      </c>
      <c r="J842" s="10">
        <v>100</v>
      </c>
      <c r="K842" s="2">
        <v>0</v>
      </c>
      <c r="L842" s="2">
        <v>0</v>
      </c>
      <c r="M842" s="2">
        <v>0</v>
      </c>
      <c r="N842" s="2">
        <v>0</v>
      </c>
      <c r="O842" s="2">
        <v>0</v>
      </c>
      <c r="P842" s="2" t="s">
        <v>439</v>
      </c>
      <c r="Q842" s="2" t="str">
        <f t="shared" si="108"/>
        <v>SI_SA_LSR_HUMMING_WIND</v>
      </c>
      <c r="R842" s="2" t="b">
        <v>0</v>
      </c>
      <c r="S842" s="2" t="b">
        <v>1</v>
      </c>
      <c r="T842" s="2">
        <v>1</v>
      </c>
      <c r="U842" s="2"/>
    </row>
    <row r="843" spans="1:21">
      <c r="A843" s="4">
        <v>2009</v>
      </c>
      <c r="B843" s="7" t="str">
        <f>VLOOKUP($A843,SkillEnum!$A$2:$C$1020,2,FALSE)</f>
        <v>SI_SA_LSR_HUMMING_WIND</v>
      </c>
      <c r="C843" s="7">
        <v>7</v>
      </c>
      <c r="D843" s="2" t="str">
        <f>VLOOKUP($C843,SkillEnum!$D$2:$E$10,2,FALSE)</f>
        <v>ST_SPECIAL_ACTIVE</v>
      </c>
      <c r="E843" s="7" t="str">
        <f>VLOOKUP($A843,SkillEnum!$A$2:$C$1020,3,FALSE)</f>
        <v>허밍 윈드</v>
      </c>
      <c r="F843" s="7" t="str">
        <f t="shared" ref="F843:F851" si="114">"마법으로 압축된 공기를 폭발시켜 마법공격력의 "&amp;ROUND(4.6*H843*100,0)&amp;" % 데미지를 주고, 주위의 모든 적을 날려버린다."</f>
        <v>마법으로 압축된 공기를 폭발시켜 마법공격력의 386 % 데미지를 주고, 주위의 모든 적을 날려버린다.</v>
      </c>
      <c r="G843" s="2">
        <v>2</v>
      </c>
      <c r="H843" s="2">
        <v>0.84</v>
      </c>
      <c r="I843" s="2">
        <v>3</v>
      </c>
      <c r="J843" s="2">
        <v>100</v>
      </c>
      <c r="K843" s="2">
        <v>0</v>
      </c>
      <c r="L843" s="2">
        <v>0</v>
      </c>
      <c r="M843" s="2">
        <v>0</v>
      </c>
      <c r="N843" s="2">
        <v>0</v>
      </c>
      <c r="O843" s="2">
        <v>0</v>
      </c>
      <c r="P843" s="2" t="s">
        <v>439</v>
      </c>
      <c r="Q843" s="2" t="str">
        <f t="shared" si="108"/>
        <v>SI_SA_LSR_HUMMING_WIND</v>
      </c>
      <c r="R843" s="2" t="b">
        <v>0</v>
      </c>
      <c r="S843" s="2" t="b">
        <v>1</v>
      </c>
      <c r="T843" s="2">
        <v>1</v>
      </c>
    </row>
    <row r="844" spans="1:21">
      <c r="A844" s="4">
        <v>2009</v>
      </c>
      <c r="B844" s="7" t="str">
        <f>VLOOKUP($A844,SkillEnum!$A$2:$C$1020,2,FALSE)</f>
        <v>SI_SA_LSR_HUMMING_WIND</v>
      </c>
      <c r="C844" s="7">
        <v>7</v>
      </c>
      <c r="D844" s="2" t="str">
        <f>VLOOKUP($C844,SkillEnum!$D$2:$E$10,2,FALSE)</f>
        <v>ST_SPECIAL_ACTIVE</v>
      </c>
      <c r="E844" s="7" t="str">
        <f>VLOOKUP($A844,SkillEnum!$A$2:$C$1020,3,FALSE)</f>
        <v>허밍 윈드</v>
      </c>
      <c r="F844" s="7" t="str">
        <f t="shared" si="114"/>
        <v>마법으로 압축된 공기를 폭발시켜 마법공격력의 451 % 데미지를 주고, 주위의 모든 적을 날려버린다.</v>
      </c>
      <c r="G844" s="2">
        <v>3</v>
      </c>
      <c r="H844" s="2">
        <v>0.98</v>
      </c>
      <c r="I844" s="2">
        <v>3</v>
      </c>
      <c r="J844" s="2">
        <v>100</v>
      </c>
      <c r="K844" s="2">
        <v>0</v>
      </c>
      <c r="L844" s="2">
        <v>0</v>
      </c>
      <c r="M844" s="2">
        <v>0</v>
      </c>
      <c r="N844" s="2">
        <v>0</v>
      </c>
      <c r="O844" s="2">
        <v>0</v>
      </c>
      <c r="P844" s="2" t="s">
        <v>439</v>
      </c>
      <c r="Q844" s="2" t="str">
        <f t="shared" si="108"/>
        <v>SI_SA_LSR_HUMMING_WIND</v>
      </c>
      <c r="R844" s="2" t="b">
        <v>0</v>
      </c>
      <c r="S844" s="2" t="b">
        <v>1</v>
      </c>
      <c r="T844" s="2">
        <v>1</v>
      </c>
    </row>
    <row r="845" spans="1:21">
      <c r="A845" s="4">
        <v>2009</v>
      </c>
      <c r="B845" s="7" t="str">
        <f>VLOOKUP($A845,SkillEnum!$A$2:$C$1020,2,FALSE)</f>
        <v>SI_SA_LSR_HUMMING_WIND</v>
      </c>
      <c r="C845" s="7">
        <v>7</v>
      </c>
      <c r="D845" s="2" t="str">
        <f>VLOOKUP($C845,SkillEnum!$D$2:$E$10,2,FALSE)</f>
        <v>ST_SPECIAL_ACTIVE</v>
      </c>
      <c r="E845" s="7" t="str">
        <f>VLOOKUP($A845,SkillEnum!$A$2:$C$1020,3,FALSE)</f>
        <v>허밍 윈드</v>
      </c>
      <c r="F845" s="7" t="str">
        <f t="shared" si="114"/>
        <v>마법으로 압축된 공기를 폭발시켜 마법공격력의 515 % 데미지를 주고, 주위의 모든 적을 날려버린다.</v>
      </c>
      <c r="G845" s="2">
        <v>4</v>
      </c>
      <c r="H845" s="2">
        <v>1.1200000000000001</v>
      </c>
      <c r="I845" s="2">
        <v>3</v>
      </c>
      <c r="J845" s="2">
        <v>100</v>
      </c>
      <c r="K845" s="2">
        <v>0</v>
      </c>
      <c r="L845" s="2">
        <v>0</v>
      </c>
      <c r="M845" s="2">
        <v>0</v>
      </c>
      <c r="N845" s="2">
        <v>0</v>
      </c>
      <c r="O845" s="2">
        <v>0</v>
      </c>
      <c r="P845" s="2" t="s">
        <v>439</v>
      </c>
      <c r="Q845" s="2" t="str">
        <f t="shared" si="108"/>
        <v>SI_SA_LSR_HUMMING_WIND</v>
      </c>
      <c r="R845" s="2" t="b">
        <v>0</v>
      </c>
      <c r="S845" s="2" t="b">
        <v>1</v>
      </c>
      <c r="T845" s="2">
        <v>1</v>
      </c>
    </row>
    <row r="846" spans="1:21">
      <c r="A846" s="4">
        <v>2009</v>
      </c>
      <c r="B846" s="7" t="str">
        <f>VLOOKUP($A846,SkillEnum!$A$2:$C$1020,2,FALSE)</f>
        <v>SI_SA_LSR_HUMMING_WIND</v>
      </c>
      <c r="C846" s="7">
        <v>7</v>
      </c>
      <c r="D846" s="2" t="str">
        <f>VLOOKUP($C846,SkillEnum!$D$2:$E$10,2,FALSE)</f>
        <v>ST_SPECIAL_ACTIVE</v>
      </c>
      <c r="E846" s="7" t="str">
        <f>VLOOKUP($A846,SkillEnum!$A$2:$C$1020,3,FALSE)</f>
        <v>허밍 윈드</v>
      </c>
      <c r="F846" s="7" t="str">
        <f t="shared" si="114"/>
        <v>마법으로 압축된 공기를 폭발시켜 마법공격력의 612 % 데미지를 주고, 주위의 모든 적을 날려버린다.</v>
      </c>
      <c r="G846" s="2">
        <v>5</v>
      </c>
      <c r="H846" s="2">
        <v>1.33</v>
      </c>
      <c r="I846" s="2">
        <v>3</v>
      </c>
      <c r="J846" s="2">
        <v>100</v>
      </c>
      <c r="K846" s="2">
        <v>0</v>
      </c>
      <c r="L846" s="2">
        <v>0</v>
      </c>
      <c r="M846" s="2">
        <v>0</v>
      </c>
      <c r="N846" s="2">
        <v>0</v>
      </c>
      <c r="O846" s="2">
        <v>0</v>
      </c>
      <c r="P846" s="2" t="s">
        <v>439</v>
      </c>
      <c r="Q846" s="2" t="str">
        <f t="shared" si="108"/>
        <v>SI_SA_LSR_HUMMING_WIND</v>
      </c>
      <c r="R846" s="2" t="b">
        <v>0</v>
      </c>
      <c r="S846" s="2" t="b">
        <v>1</v>
      </c>
      <c r="T846" s="2">
        <v>1</v>
      </c>
    </row>
    <row r="847" spans="1:21">
      <c r="A847" s="4">
        <v>2009</v>
      </c>
      <c r="B847" s="7" t="str">
        <f>VLOOKUP($A847,SkillEnum!$A$2:$C$1020,2,FALSE)</f>
        <v>SI_SA_LSR_HUMMING_WIND</v>
      </c>
      <c r="C847" s="7">
        <v>7</v>
      </c>
      <c r="D847" s="2" t="str">
        <f>VLOOKUP($C847,SkillEnum!$D$2:$E$10,2,FALSE)</f>
        <v>ST_SPECIAL_ACTIVE</v>
      </c>
      <c r="E847" s="7" t="str">
        <f>VLOOKUP($A847,SkillEnum!$A$2:$C$1020,3,FALSE)</f>
        <v>허밍 윈드</v>
      </c>
      <c r="F847" s="7" t="str">
        <f t="shared" si="114"/>
        <v>마법으로 압축된 공기를 폭발시켜 마법공격력의 708 % 데미지를 주고, 주위의 모든 적을 날려버린다.</v>
      </c>
      <c r="G847" s="2">
        <v>6</v>
      </c>
      <c r="H847" s="2">
        <v>1.54</v>
      </c>
      <c r="I847" s="2">
        <v>3</v>
      </c>
      <c r="J847" s="2">
        <v>100</v>
      </c>
      <c r="K847" s="2">
        <v>0</v>
      </c>
      <c r="L847" s="2">
        <v>0</v>
      </c>
      <c r="M847" s="2">
        <v>0</v>
      </c>
      <c r="N847" s="2">
        <v>0</v>
      </c>
      <c r="O847" s="2">
        <v>0</v>
      </c>
      <c r="P847" s="2" t="s">
        <v>439</v>
      </c>
      <c r="Q847" s="2" t="str">
        <f t="shared" si="108"/>
        <v>SI_SA_LSR_HUMMING_WIND</v>
      </c>
      <c r="R847" s="2" t="b">
        <v>0</v>
      </c>
      <c r="S847" s="2" t="b">
        <v>1</v>
      </c>
      <c r="T847" s="2">
        <v>1</v>
      </c>
    </row>
    <row r="848" spans="1:21">
      <c r="A848" s="4">
        <v>2009</v>
      </c>
      <c r="B848" s="7" t="str">
        <f>VLOOKUP($A848,SkillEnum!$A$2:$C$1020,2,FALSE)</f>
        <v>SI_SA_LSR_HUMMING_WIND</v>
      </c>
      <c r="C848" s="7">
        <v>7</v>
      </c>
      <c r="D848" s="2" t="str">
        <f>VLOOKUP($C848,SkillEnum!$D$2:$E$10,2,FALSE)</f>
        <v>ST_SPECIAL_ACTIVE</v>
      </c>
      <c r="E848" s="7" t="str">
        <f>VLOOKUP($A848,SkillEnum!$A$2:$C$1020,3,FALSE)</f>
        <v>허밍 윈드</v>
      </c>
      <c r="F848" s="7" t="str">
        <f t="shared" si="114"/>
        <v>마법으로 압축된 공기를 폭발시켜 마법공격력의 805 % 데미지를 주고, 주위의 모든 적을 날려버린다.</v>
      </c>
      <c r="G848" s="2">
        <v>7</v>
      </c>
      <c r="H848" s="2">
        <v>1.75</v>
      </c>
      <c r="I848" s="2">
        <v>3</v>
      </c>
      <c r="J848" s="2">
        <v>100</v>
      </c>
      <c r="K848" s="2">
        <v>0</v>
      </c>
      <c r="L848" s="2">
        <v>0</v>
      </c>
      <c r="M848" s="2">
        <v>0</v>
      </c>
      <c r="N848" s="2">
        <v>0</v>
      </c>
      <c r="O848" s="2">
        <v>0</v>
      </c>
      <c r="P848" s="2" t="s">
        <v>439</v>
      </c>
      <c r="Q848" s="2" t="str">
        <f t="shared" si="108"/>
        <v>SI_SA_LSR_HUMMING_WIND</v>
      </c>
      <c r="R848" s="2" t="b">
        <v>0</v>
      </c>
      <c r="S848" s="2" t="b">
        <v>1</v>
      </c>
      <c r="T848" s="2">
        <v>1</v>
      </c>
    </row>
    <row r="849" spans="1:21">
      <c r="A849" s="4">
        <v>2009</v>
      </c>
      <c r="B849" s="7" t="str">
        <f>VLOOKUP($A849,SkillEnum!$A$2:$C$1020,2,FALSE)</f>
        <v>SI_SA_LSR_HUMMING_WIND</v>
      </c>
      <c r="C849" s="7">
        <v>7</v>
      </c>
      <c r="D849" s="2" t="str">
        <f>VLOOKUP($C849,SkillEnum!$D$2:$E$10,2,FALSE)</f>
        <v>ST_SPECIAL_ACTIVE</v>
      </c>
      <c r="E849" s="7" t="str">
        <f>VLOOKUP($A849,SkillEnum!$A$2:$C$1020,3,FALSE)</f>
        <v>허밍 윈드</v>
      </c>
      <c r="F849" s="7" t="str">
        <f t="shared" si="114"/>
        <v>마법으로 압축된 공기를 폭발시켜 마법공격력의 902 % 데미지를 주고, 주위의 모든 적을 날려버린다.</v>
      </c>
      <c r="G849" s="2">
        <v>8</v>
      </c>
      <c r="H849" s="2">
        <v>1.96</v>
      </c>
      <c r="I849" s="2">
        <v>3</v>
      </c>
      <c r="J849" s="2">
        <v>100</v>
      </c>
      <c r="K849" s="2">
        <v>0</v>
      </c>
      <c r="L849" s="2">
        <v>0</v>
      </c>
      <c r="M849" s="2">
        <v>0</v>
      </c>
      <c r="N849" s="2">
        <v>0</v>
      </c>
      <c r="O849" s="2">
        <v>0</v>
      </c>
      <c r="P849" s="2" t="s">
        <v>439</v>
      </c>
      <c r="Q849" s="2" t="str">
        <f t="shared" si="108"/>
        <v>SI_SA_LSR_HUMMING_WIND</v>
      </c>
      <c r="R849" s="2" t="b">
        <v>0</v>
      </c>
      <c r="S849" s="2" t="b">
        <v>1</v>
      </c>
      <c r="T849" s="2">
        <v>1</v>
      </c>
    </row>
    <row r="850" spans="1:21">
      <c r="A850" s="4">
        <v>2009</v>
      </c>
      <c r="B850" s="7" t="str">
        <f>VLOOKUP($A850,SkillEnum!$A$2:$C$1020,2,FALSE)</f>
        <v>SI_SA_LSR_HUMMING_WIND</v>
      </c>
      <c r="C850" s="7">
        <v>7</v>
      </c>
      <c r="D850" s="2" t="str">
        <f>VLOOKUP($C850,SkillEnum!$D$2:$E$10,2,FALSE)</f>
        <v>ST_SPECIAL_ACTIVE</v>
      </c>
      <c r="E850" s="7" t="str">
        <f>VLOOKUP($A850,SkillEnum!$A$2:$C$1020,3,FALSE)</f>
        <v>허밍 윈드</v>
      </c>
      <c r="F850" s="7" t="str">
        <f t="shared" si="114"/>
        <v>마법으로 압축된 공기를 폭발시켜 마법공격력의 1030 % 데미지를 주고, 주위의 모든 적을 날려버린다.</v>
      </c>
      <c r="G850" s="2">
        <v>9</v>
      </c>
      <c r="H850" s="2">
        <v>2.2400000000000002</v>
      </c>
      <c r="I850" s="2">
        <v>3</v>
      </c>
      <c r="J850" s="2">
        <v>100</v>
      </c>
      <c r="K850" s="2">
        <v>0</v>
      </c>
      <c r="L850" s="2">
        <v>0</v>
      </c>
      <c r="M850" s="2">
        <v>0</v>
      </c>
      <c r="N850" s="2">
        <v>0</v>
      </c>
      <c r="O850" s="2">
        <v>0</v>
      </c>
      <c r="P850" s="2" t="s">
        <v>439</v>
      </c>
      <c r="Q850" s="2" t="str">
        <f t="shared" si="108"/>
        <v>SI_SA_LSR_HUMMING_WIND</v>
      </c>
      <c r="R850" s="2" t="b">
        <v>0</v>
      </c>
      <c r="S850" s="2" t="b">
        <v>1</v>
      </c>
      <c r="T850" s="2">
        <v>1</v>
      </c>
    </row>
    <row r="851" spans="1:21" s="5" customFormat="1">
      <c r="A851" s="6">
        <v>2009</v>
      </c>
      <c r="B851" s="8" t="str">
        <f>VLOOKUP($A851,SkillEnum!$A$2:$C$1020,2,FALSE)</f>
        <v>SI_SA_LSR_HUMMING_WIND</v>
      </c>
      <c r="C851" s="8">
        <v>7</v>
      </c>
      <c r="D851" s="5" t="str">
        <f>VLOOKUP($C851,SkillEnum!$D$2:$E$10,2,FALSE)</f>
        <v>ST_SPECIAL_ACTIVE</v>
      </c>
      <c r="E851" s="8" t="str">
        <f>VLOOKUP($A851,SkillEnum!$A$2:$C$1020,3,FALSE)</f>
        <v>허밍 윈드</v>
      </c>
      <c r="F851" s="8" t="str">
        <f t="shared" si="114"/>
        <v>마법으로 압축된 공기를 폭발시켜 마법공격력의 1159 % 데미지를 주고, 주위의 모든 적을 날려버린다.</v>
      </c>
      <c r="G851" s="5">
        <v>10</v>
      </c>
      <c r="H851" s="5">
        <v>2.52</v>
      </c>
      <c r="I851" s="5">
        <v>3</v>
      </c>
      <c r="J851" s="5">
        <v>100</v>
      </c>
      <c r="K851" s="5">
        <v>0</v>
      </c>
      <c r="L851" s="5">
        <v>0</v>
      </c>
      <c r="M851" s="5">
        <v>0</v>
      </c>
      <c r="N851" s="5">
        <v>0</v>
      </c>
      <c r="O851" s="5">
        <v>0</v>
      </c>
      <c r="P851" s="2" t="s">
        <v>439</v>
      </c>
      <c r="Q851" s="2" t="str">
        <f t="shared" ref="Q851:Q954" si="115">B851</f>
        <v>SI_SA_LSR_HUMMING_WIND</v>
      </c>
      <c r="R851" s="5" t="b">
        <v>0</v>
      </c>
      <c r="S851" s="2" t="b">
        <v>1</v>
      </c>
      <c r="T851" s="2">
        <v>1</v>
      </c>
      <c r="U851" s="2"/>
    </row>
    <row r="852" spans="1:21" s="10" customFormat="1">
      <c r="A852" s="9">
        <v>2010</v>
      </c>
      <c r="B852" s="11" t="str">
        <f>VLOOKUP($A852,SkillEnum!$A$2:$C$1020,2,FALSE)</f>
        <v>SI_SA_LSR_GUIDED_ARROW</v>
      </c>
      <c r="C852" s="11">
        <v>7</v>
      </c>
      <c r="D852" s="10" t="str">
        <f>VLOOKUP($C852,SkillEnum!$D$2:$E$10,2,FALSE)</f>
        <v>ST_SPECIAL_ACTIVE</v>
      </c>
      <c r="E852" s="11" t="str">
        <f>VLOOKUP($A852,SkillEnum!$A$2:$C$1020,3,FALSE)</f>
        <v>가이드 애로우</v>
      </c>
      <c r="F852" s="11" t="str">
        <f>"한번 노린 적은 끝까지 쫓아가는 마법공격력의 "&amp;ROUND(3.3*H852*100,0)&amp;" % 데미지를 가진 마법의 화살을 발사한다. (각성시 공격력은 "&amp;ROUND(2*1.2*H852*100,0)&amp;" % 로 줄어들지만 대상을 1회 관통한다.)"</f>
        <v>한번 노린 적은 끝까지 쫓아가는 마법공격력의 231 % 데미지를 가진 마법의 화살을 발사한다. (각성시 공격력은 168 % 로 줄어들지만 대상을 1회 관통한다.)</v>
      </c>
      <c r="G852" s="10">
        <v>1</v>
      </c>
      <c r="H852" s="2">
        <v>0.7</v>
      </c>
      <c r="I852" s="2">
        <v>10</v>
      </c>
      <c r="J852" s="10">
        <v>200</v>
      </c>
      <c r="K852" s="2">
        <v>0</v>
      </c>
      <c r="L852" s="2">
        <v>0</v>
      </c>
      <c r="M852" s="2">
        <v>0</v>
      </c>
      <c r="N852" s="2">
        <v>0</v>
      </c>
      <c r="O852" s="2">
        <v>0</v>
      </c>
      <c r="P852" s="2" t="s">
        <v>439</v>
      </c>
      <c r="Q852" s="2" t="str">
        <f t="shared" si="115"/>
        <v>SI_SA_LSR_GUIDED_ARROW</v>
      </c>
      <c r="R852" s="2" t="b">
        <v>0</v>
      </c>
      <c r="S852" s="2" t="b">
        <v>1</v>
      </c>
      <c r="T852" s="2">
        <v>1</v>
      </c>
      <c r="U852" s="2"/>
    </row>
    <row r="853" spans="1:21">
      <c r="A853" s="4">
        <v>2010</v>
      </c>
      <c r="B853" s="7" t="str">
        <f>VLOOKUP($A853,SkillEnum!$A$2:$C$1020,2,FALSE)</f>
        <v>SI_SA_LSR_GUIDED_ARROW</v>
      </c>
      <c r="C853" s="7">
        <v>7</v>
      </c>
      <c r="D853" s="2" t="str">
        <f>VLOOKUP($C853,SkillEnum!$D$2:$E$10,2,FALSE)</f>
        <v>ST_SPECIAL_ACTIVE</v>
      </c>
      <c r="E853" s="7" t="str">
        <f>VLOOKUP($A853,SkillEnum!$A$2:$C$1020,3,FALSE)</f>
        <v>가이드 애로우</v>
      </c>
      <c r="F853" s="7" t="str">
        <f t="shared" ref="F853:F861" si="116">"한번 노린 적은 끝까지 쫓아가는 마법공격력의 "&amp;ROUND(3.3*H853*100,0)&amp;" % 데미지를 가진 마법의 화살을 발사한다. (각성시 공격력은 "&amp;ROUND(2*1.2*H853*100,0)&amp;" % 로 줄어들지만 대상을 1회 관통한다.)"</f>
        <v>한번 노린 적은 끝까지 쫓아가는 마법공격력의 277 % 데미지를 가진 마법의 화살을 발사한다. (각성시 공격력은 202 % 로 줄어들지만 대상을 1회 관통한다.)</v>
      </c>
      <c r="G853" s="2">
        <v>2</v>
      </c>
      <c r="H853" s="2">
        <v>0.84</v>
      </c>
      <c r="I853" s="2">
        <v>10</v>
      </c>
      <c r="J853" s="2">
        <v>200</v>
      </c>
      <c r="K853" s="2">
        <v>0</v>
      </c>
      <c r="L853" s="2">
        <v>0</v>
      </c>
      <c r="M853" s="2">
        <v>0</v>
      </c>
      <c r="N853" s="2">
        <v>0</v>
      </c>
      <c r="O853" s="2">
        <v>0</v>
      </c>
      <c r="P853" s="2" t="s">
        <v>439</v>
      </c>
      <c r="Q853" s="2" t="str">
        <f t="shared" si="115"/>
        <v>SI_SA_LSR_GUIDED_ARROW</v>
      </c>
      <c r="R853" s="2" t="b">
        <v>0</v>
      </c>
      <c r="S853" s="2" t="b">
        <v>1</v>
      </c>
      <c r="T853" s="2">
        <v>1</v>
      </c>
    </row>
    <row r="854" spans="1:21">
      <c r="A854" s="4">
        <v>2010</v>
      </c>
      <c r="B854" s="7" t="str">
        <f>VLOOKUP($A854,SkillEnum!$A$2:$C$1020,2,FALSE)</f>
        <v>SI_SA_LSR_GUIDED_ARROW</v>
      </c>
      <c r="C854" s="7">
        <v>7</v>
      </c>
      <c r="D854" s="2" t="str">
        <f>VLOOKUP($C854,SkillEnum!$D$2:$E$10,2,FALSE)</f>
        <v>ST_SPECIAL_ACTIVE</v>
      </c>
      <c r="E854" s="7" t="str">
        <f>VLOOKUP($A854,SkillEnum!$A$2:$C$1020,3,FALSE)</f>
        <v>가이드 애로우</v>
      </c>
      <c r="F854" s="7" t="str">
        <f t="shared" si="116"/>
        <v>한번 노린 적은 끝까지 쫓아가는 마법공격력의 323 % 데미지를 가진 마법의 화살을 발사한다. (각성시 공격력은 235 % 로 줄어들지만 대상을 1회 관통한다.)</v>
      </c>
      <c r="G854" s="2">
        <v>3</v>
      </c>
      <c r="H854" s="2">
        <v>0.98</v>
      </c>
      <c r="I854" s="2">
        <v>10</v>
      </c>
      <c r="J854" s="2">
        <v>200</v>
      </c>
      <c r="K854" s="2">
        <v>0</v>
      </c>
      <c r="L854" s="2">
        <v>0</v>
      </c>
      <c r="M854" s="2">
        <v>0</v>
      </c>
      <c r="N854" s="2">
        <v>0</v>
      </c>
      <c r="O854" s="2">
        <v>0</v>
      </c>
      <c r="P854" s="2" t="s">
        <v>439</v>
      </c>
      <c r="Q854" s="2" t="str">
        <f t="shared" si="115"/>
        <v>SI_SA_LSR_GUIDED_ARROW</v>
      </c>
      <c r="R854" s="2" t="b">
        <v>0</v>
      </c>
      <c r="S854" s="2" t="b">
        <v>1</v>
      </c>
      <c r="T854" s="2">
        <v>1</v>
      </c>
    </row>
    <row r="855" spans="1:21">
      <c r="A855" s="4">
        <v>2010</v>
      </c>
      <c r="B855" s="7" t="str">
        <f>VLOOKUP($A855,SkillEnum!$A$2:$C$1020,2,FALSE)</f>
        <v>SI_SA_LSR_GUIDED_ARROW</v>
      </c>
      <c r="C855" s="7">
        <v>7</v>
      </c>
      <c r="D855" s="2" t="str">
        <f>VLOOKUP($C855,SkillEnum!$D$2:$E$10,2,FALSE)</f>
        <v>ST_SPECIAL_ACTIVE</v>
      </c>
      <c r="E855" s="7" t="str">
        <f>VLOOKUP($A855,SkillEnum!$A$2:$C$1020,3,FALSE)</f>
        <v>가이드 애로우</v>
      </c>
      <c r="F855" s="7" t="str">
        <f t="shared" si="116"/>
        <v>한번 노린 적은 끝까지 쫓아가는 마법공격력의 370 % 데미지를 가진 마법의 화살을 발사한다. (각성시 공격력은 269 % 로 줄어들지만 대상을 1회 관통한다.)</v>
      </c>
      <c r="G855" s="2">
        <v>4</v>
      </c>
      <c r="H855" s="2">
        <v>1.1200000000000001</v>
      </c>
      <c r="I855" s="2">
        <v>10</v>
      </c>
      <c r="J855" s="2">
        <v>200</v>
      </c>
      <c r="K855" s="2">
        <v>0</v>
      </c>
      <c r="L855" s="2">
        <v>0</v>
      </c>
      <c r="M855" s="2">
        <v>0</v>
      </c>
      <c r="N855" s="2">
        <v>0</v>
      </c>
      <c r="O855" s="2">
        <v>0</v>
      </c>
      <c r="P855" s="2" t="s">
        <v>439</v>
      </c>
      <c r="Q855" s="2" t="str">
        <f t="shared" si="115"/>
        <v>SI_SA_LSR_GUIDED_ARROW</v>
      </c>
      <c r="R855" s="2" t="b">
        <v>0</v>
      </c>
      <c r="S855" s="2" t="b">
        <v>1</v>
      </c>
      <c r="T855" s="2">
        <v>1</v>
      </c>
    </row>
    <row r="856" spans="1:21">
      <c r="A856" s="4">
        <v>2010</v>
      </c>
      <c r="B856" s="7" t="str">
        <f>VLOOKUP($A856,SkillEnum!$A$2:$C$1020,2,FALSE)</f>
        <v>SI_SA_LSR_GUIDED_ARROW</v>
      </c>
      <c r="C856" s="7">
        <v>7</v>
      </c>
      <c r="D856" s="2" t="str">
        <f>VLOOKUP($C856,SkillEnum!$D$2:$E$10,2,FALSE)</f>
        <v>ST_SPECIAL_ACTIVE</v>
      </c>
      <c r="E856" s="7" t="str">
        <f>VLOOKUP($A856,SkillEnum!$A$2:$C$1020,3,FALSE)</f>
        <v>가이드 애로우</v>
      </c>
      <c r="F856" s="7" t="str">
        <f t="shared" si="116"/>
        <v>한번 노린 적은 끝까지 쫓아가는 마법공격력의 439 % 데미지를 가진 마법의 화살을 발사한다. (각성시 공격력은 319 % 로 줄어들지만 대상을 1회 관통한다.)</v>
      </c>
      <c r="G856" s="2">
        <v>5</v>
      </c>
      <c r="H856" s="2">
        <v>1.33</v>
      </c>
      <c r="I856" s="2">
        <v>10</v>
      </c>
      <c r="J856" s="2">
        <v>200</v>
      </c>
      <c r="K856" s="2">
        <v>0</v>
      </c>
      <c r="L856" s="2">
        <v>0</v>
      </c>
      <c r="M856" s="2">
        <v>0</v>
      </c>
      <c r="N856" s="2">
        <v>0</v>
      </c>
      <c r="O856" s="2">
        <v>0</v>
      </c>
      <c r="P856" s="2" t="s">
        <v>439</v>
      </c>
      <c r="Q856" s="2" t="str">
        <f t="shared" si="115"/>
        <v>SI_SA_LSR_GUIDED_ARROW</v>
      </c>
      <c r="R856" s="2" t="b">
        <v>0</v>
      </c>
      <c r="S856" s="2" t="b">
        <v>1</v>
      </c>
      <c r="T856" s="2">
        <v>1</v>
      </c>
    </row>
    <row r="857" spans="1:21">
      <c r="A857" s="4">
        <v>2010</v>
      </c>
      <c r="B857" s="7" t="str">
        <f>VLOOKUP($A857,SkillEnum!$A$2:$C$1020,2,FALSE)</f>
        <v>SI_SA_LSR_GUIDED_ARROW</v>
      </c>
      <c r="C857" s="7">
        <v>7</v>
      </c>
      <c r="D857" s="2" t="str">
        <f>VLOOKUP($C857,SkillEnum!$D$2:$E$10,2,FALSE)</f>
        <v>ST_SPECIAL_ACTIVE</v>
      </c>
      <c r="E857" s="7" t="str">
        <f>VLOOKUP($A857,SkillEnum!$A$2:$C$1020,3,FALSE)</f>
        <v>가이드 애로우</v>
      </c>
      <c r="F857" s="7" t="str">
        <f t="shared" si="116"/>
        <v>한번 노린 적은 끝까지 쫓아가는 마법공격력의 508 % 데미지를 가진 마법의 화살을 발사한다. (각성시 공격력은 370 % 로 줄어들지만 대상을 1회 관통한다.)</v>
      </c>
      <c r="G857" s="2">
        <v>6</v>
      </c>
      <c r="H857" s="2">
        <v>1.54</v>
      </c>
      <c r="I857" s="2">
        <v>10</v>
      </c>
      <c r="J857" s="2">
        <v>200</v>
      </c>
      <c r="K857" s="2">
        <v>0</v>
      </c>
      <c r="L857" s="2">
        <v>0</v>
      </c>
      <c r="M857" s="2">
        <v>0</v>
      </c>
      <c r="N857" s="2">
        <v>0</v>
      </c>
      <c r="O857" s="2">
        <v>0</v>
      </c>
      <c r="P857" s="2" t="s">
        <v>439</v>
      </c>
      <c r="Q857" s="2" t="str">
        <f t="shared" si="115"/>
        <v>SI_SA_LSR_GUIDED_ARROW</v>
      </c>
      <c r="R857" s="2" t="b">
        <v>0</v>
      </c>
      <c r="S857" s="2" t="b">
        <v>1</v>
      </c>
      <c r="T857" s="2">
        <v>1</v>
      </c>
    </row>
    <row r="858" spans="1:21">
      <c r="A858" s="4">
        <v>2010</v>
      </c>
      <c r="B858" s="7" t="str">
        <f>VLOOKUP($A858,SkillEnum!$A$2:$C$1020,2,FALSE)</f>
        <v>SI_SA_LSR_GUIDED_ARROW</v>
      </c>
      <c r="C858" s="7">
        <v>7</v>
      </c>
      <c r="D858" s="2" t="str">
        <f>VLOOKUP($C858,SkillEnum!$D$2:$E$10,2,FALSE)</f>
        <v>ST_SPECIAL_ACTIVE</v>
      </c>
      <c r="E858" s="7" t="str">
        <f>VLOOKUP($A858,SkillEnum!$A$2:$C$1020,3,FALSE)</f>
        <v>가이드 애로우</v>
      </c>
      <c r="F858" s="7" t="str">
        <f t="shared" si="116"/>
        <v>한번 노린 적은 끝까지 쫓아가는 마법공격력의 578 % 데미지를 가진 마법의 화살을 발사한다. (각성시 공격력은 420 % 로 줄어들지만 대상을 1회 관통한다.)</v>
      </c>
      <c r="G858" s="2">
        <v>7</v>
      </c>
      <c r="H858" s="2">
        <v>1.75</v>
      </c>
      <c r="I858" s="2">
        <v>10</v>
      </c>
      <c r="J858" s="2">
        <v>200</v>
      </c>
      <c r="K858" s="2">
        <v>0</v>
      </c>
      <c r="L858" s="2">
        <v>0</v>
      </c>
      <c r="M858" s="2">
        <v>0</v>
      </c>
      <c r="N858" s="2">
        <v>0</v>
      </c>
      <c r="O858" s="2">
        <v>0</v>
      </c>
      <c r="P858" s="2" t="s">
        <v>439</v>
      </c>
      <c r="Q858" s="2" t="str">
        <f t="shared" si="115"/>
        <v>SI_SA_LSR_GUIDED_ARROW</v>
      </c>
      <c r="R858" s="2" t="b">
        <v>0</v>
      </c>
      <c r="S858" s="2" t="b">
        <v>1</v>
      </c>
      <c r="T858" s="2">
        <v>1</v>
      </c>
    </row>
    <row r="859" spans="1:21">
      <c r="A859" s="4">
        <v>2010</v>
      </c>
      <c r="B859" s="7" t="str">
        <f>VLOOKUP($A859,SkillEnum!$A$2:$C$1020,2,FALSE)</f>
        <v>SI_SA_LSR_GUIDED_ARROW</v>
      </c>
      <c r="C859" s="7">
        <v>7</v>
      </c>
      <c r="D859" s="2" t="str">
        <f>VLOOKUP($C859,SkillEnum!$D$2:$E$10,2,FALSE)</f>
        <v>ST_SPECIAL_ACTIVE</v>
      </c>
      <c r="E859" s="7" t="str">
        <f>VLOOKUP($A859,SkillEnum!$A$2:$C$1020,3,FALSE)</f>
        <v>가이드 애로우</v>
      </c>
      <c r="F859" s="7" t="str">
        <f t="shared" si="116"/>
        <v>한번 노린 적은 끝까지 쫓아가는 마법공격력의 647 % 데미지를 가진 마법의 화살을 발사한다. (각성시 공격력은 470 % 로 줄어들지만 대상을 1회 관통한다.)</v>
      </c>
      <c r="G859" s="2">
        <v>8</v>
      </c>
      <c r="H859" s="2">
        <v>1.96</v>
      </c>
      <c r="I859" s="2">
        <v>10</v>
      </c>
      <c r="J859" s="2">
        <v>200</v>
      </c>
      <c r="K859" s="2">
        <v>0</v>
      </c>
      <c r="L859" s="2">
        <v>0</v>
      </c>
      <c r="M859" s="2">
        <v>0</v>
      </c>
      <c r="N859" s="2">
        <v>0</v>
      </c>
      <c r="O859" s="2">
        <v>0</v>
      </c>
      <c r="P859" s="2" t="s">
        <v>439</v>
      </c>
      <c r="Q859" s="2" t="str">
        <f t="shared" si="115"/>
        <v>SI_SA_LSR_GUIDED_ARROW</v>
      </c>
      <c r="R859" s="2" t="b">
        <v>0</v>
      </c>
      <c r="S859" s="2" t="b">
        <v>1</v>
      </c>
      <c r="T859" s="2">
        <v>1</v>
      </c>
    </row>
    <row r="860" spans="1:21">
      <c r="A860" s="4">
        <v>2010</v>
      </c>
      <c r="B860" s="7" t="str">
        <f>VLOOKUP($A860,SkillEnum!$A$2:$C$1020,2,FALSE)</f>
        <v>SI_SA_LSR_GUIDED_ARROW</v>
      </c>
      <c r="C860" s="7">
        <v>7</v>
      </c>
      <c r="D860" s="2" t="str">
        <f>VLOOKUP($C860,SkillEnum!$D$2:$E$10,2,FALSE)</f>
        <v>ST_SPECIAL_ACTIVE</v>
      </c>
      <c r="E860" s="7" t="str">
        <f>VLOOKUP($A860,SkillEnum!$A$2:$C$1020,3,FALSE)</f>
        <v>가이드 애로우</v>
      </c>
      <c r="F860" s="7" t="str">
        <f t="shared" si="116"/>
        <v>한번 노린 적은 끝까지 쫓아가는 마법공격력의 739 % 데미지를 가진 마법의 화살을 발사한다. (각성시 공격력은 538 % 로 줄어들지만 대상을 1회 관통한다.)</v>
      </c>
      <c r="G860" s="2">
        <v>9</v>
      </c>
      <c r="H860" s="2">
        <v>2.2400000000000002</v>
      </c>
      <c r="I860" s="2">
        <v>10</v>
      </c>
      <c r="J860" s="2">
        <v>200</v>
      </c>
      <c r="K860" s="2">
        <v>0</v>
      </c>
      <c r="L860" s="2">
        <v>0</v>
      </c>
      <c r="M860" s="2">
        <v>0</v>
      </c>
      <c r="N860" s="2">
        <v>0</v>
      </c>
      <c r="O860" s="2">
        <v>0</v>
      </c>
      <c r="P860" s="2" t="s">
        <v>439</v>
      </c>
      <c r="Q860" s="2" t="str">
        <f t="shared" si="115"/>
        <v>SI_SA_LSR_GUIDED_ARROW</v>
      </c>
      <c r="R860" s="2" t="b">
        <v>0</v>
      </c>
      <c r="S860" s="2" t="b">
        <v>1</v>
      </c>
      <c r="T860" s="2">
        <v>1</v>
      </c>
    </row>
    <row r="861" spans="1:21" s="5" customFormat="1">
      <c r="A861" s="6">
        <v>2010</v>
      </c>
      <c r="B861" s="8" t="str">
        <f>VLOOKUP($A861,SkillEnum!$A$2:$C$1020,2,FALSE)</f>
        <v>SI_SA_LSR_GUIDED_ARROW</v>
      </c>
      <c r="C861" s="8">
        <v>7</v>
      </c>
      <c r="D861" s="5" t="str">
        <f>VLOOKUP($C861,SkillEnum!$D$2:$E$10,2,FALSE)</f>
        <v>ST_SPECIAL_ACTIVE</v>
      </c>
      <c r="E861" s="8" t="str">
        <f>VLOOKUP($A861,SkillEnum!$A$2:$C$1020,3,FALSE)</f>
        <v>가이드 애로우</v>
      </c>
      <c r="F861" s="8" t="str">
        <f t="shared" si="116"/>
        <v>한번 노린 적은 끝까지 쫓아가는 마법공격력의 832 % 데미지를 가진 마법의 화살을 발사한다. (각성시 공격력은 605 % 로 줄어들지만 대상을 1회 관통한다.)</v>
      </c>
      <c r="G861" s="5">
        <v>10</v>
      </c>
      <c r="H861" s="5">
        <v>2.52</v>
      </c>
      <c r="I861" s="5">
        <v>10</v>
      </c>
      <c r="J861" s="5">
        <v>200</v>
      </c>
      <c r="K861" s="5">
        <v>0</v>
      </c>
      <c r="L861" s="5">
        <v>0</v>
      </c>
      <c r="M861" s="5">
        <v>0</v>
      </c>
      <c r="N861" s="5">
        <v>0</v>
      </c>
      <c r="O861" s="5">
        <v>0</v>
      </c>
      <c r="P861" s="2" t="s">
        <v>439</v>
      </c>
      <c r="Q861" s="2" t="str">
        <f t="shared" si="115"/>
        <v>SI_SA_LSR_GUIDED_ARROW</v>
      </c>
      <c r="R861" s="5" t="b">
        <v>0</v>
      </c>
      <c r="S861" s="2" t="b">
        <v>1</v>
      </c>
      <c r="T861" s="2">
        <v>1</v>
      </c>
      <c r="U861" s="2"/>
    </row>
    <row r="862" spans="1:21" s="10" customFormat="1">
      <c r="A862" s="9">
        <v>2011</v>
      </c>
      <c r="B862" s="11" t="str">
        <f>VLOOKUP($A862,SkillEnum!$A$2:$C$1020,2,FALSE)</f>
        <v>SI_SA_LSR_CRAZY_SHOT</v>
      </c>
      <c r="C862" s="11">
        <v>7</v>
      </c>
      <c r="D862" s="10" t="str">
        <f>VLOOKUP($C862,SkillEnum!$D$2:$E$10,2,FALSE)</f>
        <v>ST_SPECIAL_ACTIVE</v>
      </c>
      <c r="E862" s="11" t="str">
        <f>VLOOKUP($A862,SkillEnum!$A$2:$C$1020,3,FALSE)</f>
        <v>크레이지 샷</v>
      </c>
      <c r="F862" s="11" t="str">
        <f>"구 형태로 압축된 마력의 화살을 전방으로 발사해 폭발시켜 마법데미지의 "&amp;ROUND(2.2*H862*100,0)&amp;" % 로 빠른 연속타격을 한다."</f>
        <v>구 형태로 압축된 마력의 화살을 전방으로 발사해 폭발시켜 마법데미지의 154 % 로 빠른 연속타격을 한다.</v>
      </c>
      <c r="G862" s="10">
        <v>1</v>
      </c>
      <c r="H862" s="2">
        <v>0.7</v>
      </c>
      <c r="I862" s="2">
        <v>30</v>
      </c>
      <c r="J862" s="10">
        <v>300</v>
      </c>
      <c r="K862" s="2">
        <v>0</v>
      </c>
      <c r="L862" s="2">
        <v>0</v>
      </c>
      <c r="M862" s="2">
        <v>0</v>
      </c>
      <c r="N862" s="2">
        <v>0</v>
      </c>
      <c r="O862" s="2">
        <v>0</v>
      </c>
      <c r="P862" s="2" t="s">
        <v>439</v>
      </c>
      <c r="Q862" s="2" t="str">
        <f t="shared" si="115"/>
        <v>SI_SA_LSR_CRAZY_SHOT</v>
      </c>
      <c r="R862" s="2" t="b">
        <v>0</v>
      </c>
      <c r="S862" s="2" t="b">
        <v>1</v>
      </c>
      <c r="T862" s="2">
        <v>1</v>
      </c>
      <c r="U862" s="2"/>
    </row>
    <row r="863" spans="1:21">
      <c r="A863" s="4">
        <v>2011</v>
      </c>
      <c r="B863" s="7" t="str">
        <f>VLOOKUP($A863,SkillEnum!$A$2:$C$1020,2,FALSE)</f>
        <v>SI_SA_LSR_CRAZY_SHOT</v>
      </c>
      <c r="C863" s="7">
        <v>7</v>
      </c>
      <c r="D863" s="2" t="str">
        <f>VLOOKUP($C863,SkillEnum!$D$2:$E$10,2,FALSE)</f>
        <v>ST_SPECIAL_ACTIVE</v>
      </c>
      <c r="E863" s="7" t="str">
        <f>VLOOKUP($A863,SkillEnum!$A$2:$C$1020,3,FALSE)</f>
        <v>크레이지 샷</v>
      </c>
      <c r="F863" s="7" t="str">
        <f t="shared" ref="F863:F871" si="117">"구 형태로 압축된 마력의 화살을 전방으로 발사해 폭발시켜 마법데미지의 "&amp;ROUND(2.2*H863*100,0)&amp;" % 로 빠른 연속타격을 한다."</f>
        <v>구 형태로 압축된 마력의 화살을 전방으로 발사해 폭발시켜 마법데미지의 185 % 로 빠른 연속타격을 한다.</v>
      </c>
      <c r="G863" s="2">
        <v>2</v>
      </c>
      <c r="H863" s="2">
        <v>0.84</v>
      </c>
      <c r="I863" s="2">
        <v>30</v>
      </c>
      <c r="J863" s="2">
        <v>300</v>
      </c>
      <c r="K863" s="2">
        <v>0</v>
      </c>
      <c r="L863" s="2">
        <v>0</v>
      </c>
      <c r="M863" s="2">
        <v>0</v>
      </c>
      <c r="N863" s="2">
        <v>0</v>
      </c>
      <c r="O863" s="2">
        <v>0</v>
      </c>
      <c r="P863" s="2" t="s">
        <v>439</v>
      </c>
      <c r="Q863" s="2" t="str">
        <f t="shared" si="115"/>
        <v>SI_SA_LSR_CRAZY_SHOT</v>
      </c>
      <c r="R863" s="2" t="b">
        <v>0</v>
      </c>
      <c r="S863" s="2" t="b">
        <v>1</v>
      </c>
      <c r="T863" s="2">
        <v>1</v>
      </c>
    </row>
    <row r="864" spans="1:21">
      <c r="A864" s="4">
        <v>2011</v>
      </c>
      <c r="B864" s="7" t="str">
        <f>VLOOKUP($A864,SkillEnum!$A$2:$C$1020,2,FALSE)</f>
        <v>SI_SA_LSR_CRAZY_SHOT</v>
      </c>
      <c r="C864" s="7">
        <v>7</v>
      </c>
      <c r="D864" s="2" t="str">
        <f>VLOOKUP($C864,SkillEnum!$D$2:$E$10,2,FALSE)</f>
        <v>ST_SPECIAL_ACTIVE</v>
      </c>
      <c r="E864" s="7" t="str">
        <f>VLOOKUP($A864,SkillEnum!$A$2:$C$1020,3,FALSE)</f>
        <v>크레이지 샷</v>
      </c>
      <c r="F864" s="7" t="str">
        <f t="shared" si="117"/>
        <v>구 형태로 압축된 마력의 화살을 전방으로 발사해 폭발시켜 마법데미지의 216 % 로 빠른 연속타격을 한다.</v>
      </c>
      <c r="G864" s="2">
        <v>3</v>
      </c>
      <c r="H864" s="2">
        <v>0.98</v>
      </c>
      <c r="I864" s="2">
        <v>30</v>
      </c>
      <c r="J864" s="2">
        <v>300</v>
      </c>
      <c r="K864" s="2">
        <v>0</v>
      </c>
      <c r="L864" s="2">
        <v>0</v>
      </c>
      <c r="M864" s="2">
        <v>0</v>
      </c>
      <c r="N864" s="2">
        <v>0</v>
      </c>
      <c r="O864" s="2">
        <v>0</v>
      </c>
      <c r="P864" s="2" t="s">
        <v>439</v>
      </c>
      <c r="Q864" s="2" t="str">
        <f t="shared" si="115"/>
        <v>SI_SA_LSR_CRAZY_SHOT</v>
      </c>
      <c r="R864" s="2" t="b">
        <v>0</v>
      </c>
      <c r="S864" s="2" t="b">
        <v>1</v>
      </c>
      <c r="T864" s="2">
        <v>1</v>
      </c>
    </row>
    <row r="865" spans="1:21">
      <c r="A865" s="4">
        <v>2011</v>
      </c>
      <c r="B865" s="7" t="str">
        <f>VLOOKUP($A865,SkillEnum!$A$2:$C$1020,2,FALSE)</f>
        <v>SI_SA_LSR_CRAZY_SHOT</v>
      </c>
      <c r="C865" s="7">
        <v>7</v>
      </c>
      <c r="D865" s="2" t="str">
        <f>VLOOKUP($C865,SkillEnum!$D$2:$E$10,2,FALSE)</f>
        <v>ST_SPECIAL_ACTIVE</v>
      </c>
      <c r="E865" s="7" t="str">
        <f>VLOOKUP($A865,SkillEnum!$A$2:$C$1020,3,FALSE)</f>
        <v>크레이지 샷</v>
      </c>
      <c r="F865" s="7" t="str">
        <f t="shared" si="117"/>
        <v>구 형태로 압축된 마력의 화살을 전방으로 발사해 폭발시켜 마법데미지의 246 % 로 빠른 연속타격을 한다.</v>
      </c>
      <c r="G865" s="2">
        <v>4</v>
      </c>
      <c r="H865" s="2">
        <v>1.1200000000000001</v>
      </c>
      <c r="I865" s="2">
        <v>30</v>
      </c>
      <c r="J865" s="2">
        <v>300</v>
      </c>
      <c r="K865" s="2">
        <v>0</v>
      </c>
      <c r="L865" s="2">
        <v>0</v>
      </c>
      <c r="M865" s="2">
        <v>0</v>
      </c>
      <c r="N865" s="2">
        <v>0</v>
      </c>
      <c r="O865" s="2">
        <v>0</v>
      </c>
      <c r="P865" s="2" t="s">
        <v>439</v>
      </c>
      <c r="Q865" s="2" t="str">
        <f t="shared" si="115"/>
        <v>SI_SA_LSR_CRAZY_SHOT</v>
      </c>
      <c r="R865" s="2" t="b">
        <v>0</v>
      </c>
      <c r="S865" s="2" t="b">
        <v>1</v>
      </c>
      <c r="T865" s="2">
        <v>1</v>
      </c>
    </row>
    <row r="866" spans="1:21">
      <c r="A866" s="4">
        <v>2011</v>
      </c>
      <c r="B866" s="7" t="str">
        <f>VLOOKUP($A866,SkillEnum!$A$2:$C$1020,2,FALSE)</f>
        <v>SI_SA_LSR_CRAZY_SHOT</v>
      </c>
      <c r="C866" s="7">
        <v>7</v>
      </c>
      <c r="D866" s="2" t="str">
        <f>VLOOKUP($C866,SkillEnum!$D$2:$E$10,2,FALSE)</f>
        <v>ST_SPECIAL_ACTIVE</v>
      </c>
      <c r="E866" s="7" t="str">
        <f>VLOOKUP($A866,SkillEnum!$A$2:$C$1020,3,FALSE)</f>
        <v>크레이지 샷</v>
      </c>
      <c r="F866" s="7" t="str">
        <f t="shared" si="117"/>
        <v>구 형태로 압축된 마력의 화살을 전방으로 발사해 폭발시켜 마법데미지의 293 % 로 빠른 연속타격을 한다.</v>
      </c>
      <c r="G866" s="2">
        <v>5</v>
      </c>
      <c r="H866" s="2">
        <v>1.33</v>
      </c>
      <c r="I866" s="2">
        <v>30</v>
      </c>
      <c r="J866" s="2">
        <v>300</v>
      </c>
      <c r="K866" s="2">
        <v>0</v>
      </c>
      <c r="L866" s="2">
        <v>0</v>
      </c>
      <c r="M866" s="2">
        <v>0</v>
      </c>
      <c r="N866" s="2">
        <v>0</v>
      </c>
      <c r="O866" s="2">
        <v>0</v>
      </c>
      <c r="P866" s="2" t="s">
        <v>439</v>
      </c>
      <c r="Q866" s="2" t="str">
        <f t="shared" si="115"/>
        <v>SI_SA_LSR_CRAZY_SHOT</v>
      </c>
      <c r="R866" s="2" t="b">
        <v>0</v>
      </c>
      <c r="S866" s="2" t="b">
        <v>1</v>
      </c>
      <c r="T866" s="2">
        <v>1</v>
      </c>
    </row>
    <row r="867" spans="1:21">
      <c r="A867" s="4">
        <v>2011</v>
      </c>
      <c r="B867" s="7" t="str">
        <f>VLOOKUP($A867,SkillEnum!$A$2:$C$1020,2,FALSE)</f>
        <v>SI_SA_LSR_CRAZY_SHOT</v>
      </c>
      <c r="C867" s="7">
        <v>7</v>
      </c>
      <c r="D867" s="2" t="str">
        <f>VLOOKUP($C867,SkillEnum!$D$2:$E$10,2,FALSE)</f>
        <v>ST_SPECIAL_ACTIVE</v>
      </c>
      <c r="E867" s="7" t="str">
        <f>VLOOKUP($A867,SkillEnum!$A$2:$C$1020,3,FALSE)</f>
        <v>크레이지 샷</v>
      </c>
      <c r="F867" s="7" t="str">
        <f t="shared" si="117"/>
        <v>구 형태로 압축된 마력의 화살을 전방으로 발사해 폭발시켜 마법데미지의 339 % 로 빠른 연속타격을 한다.</v>
      </c>
      <c r="G867" s="2">
        <v>6</v>
      </c>
      <c r="H867" s="2">
        <v>1.54</v>
      </c>
      <c r="I867" s="2">
        <v>30</v>
      </c>
      <c r="J867" s="2">
        <v>300</v>
      </c>
      <c r="K867" s="2">
        <v>0</v>
      </c>
      <c r="L867" s="2">
        <v>0</v>
      </c>
      <c r="M867" s="2">
        <v>0</v>
      </c>
      <c r="N867" s="2">
        <v>0</v>
      </c>
      <c r="O867" s="2">
        <v>0</v>
      </c>
      <c r="P867" s="2" t="s">
        <v>439</v>
      </c>
      <c r="Q867" s="2" t="str">
        <f t="shared" si="115"/>
        <v>SI_SA_LSR_CRAZY_SHOT</v>
      </c>
      <c r="R867" s="2" t="b">
        <v>0</v>
      </c>
      <c r="S867" s="2" t="b">
        <v>1</v>
      </c>
      <c r="T867" s="2">
        <v>1</v>
      </c>
    </row>
    <row r="868" spans="1:21">
      <c r="A868" s="4">
        <v>2011</v>
      </c>
      <c r="B868" s="7" t="str">
        <f>VLOOKUP($A868,SkillEnum!$A$2:$C$1020,2,FALSE)</f>
        <v>SI_SA_LSR_CRAZY_SHOT</v>
      </c>
      <c r="C868" s="7">
        <v>7</v>
      </c>
      <c r="D868" s="2" t="str">
        <f>VLOOKUP($C868,SkillEnum!$D$2:$E$10,2,FALSE)</f>
        <v>ST_SPECIAL_ACTIVE</v>
      </c>
      <c r="E868" s="7" t="str">
        <f>VLOOKUP($A868,SkillEnum!$A$2:$C$1020,3,FALSE)</f>
        <v>크레이지 샷</v>
      </c>
      <c r="F868" s="7" t="str">
        <f t="shared" si="117"/>
        <v>구 형태로 압축된 마력의 화살을 전방으로 발사해 폭발시켜 마법데미지의 385 % 로 빠른 연속타격을 한다.</v>
      </c>
      <c r="G868" s="2">
        <v>7</v>
      </c>
      <c r="H868" s="2">
        <v>1.75</v>
      </c>
      <c r="I868" s="2">
        <v>30</v>
      </c>
      <c r="J868" s="2">
        <v>300</v>
      </c>
      <c r="K868" s="2">
        <v>0</v>
      </c>
      <c r="L868" s="2">
        <v>0</v>
      </c>
      <c r="M868" s="2">
        <v>0</v>
      </c>
      <c r="N868" s="2">
        <v>0</v>
      </c>
      <c r="O868" s="2">
        <v>0</v>
      </c>
      <c r="P868" s="2" t="s">
        <v>439</v>
      </c>
      <c r="Q868" s="2" t="str">
        <f t="shared" si="115"/>
        <v>SI_SA_LSR_CRAZY_SHOT</v>
      </c>
      <c r="R868" s="2" t="b">
        <v>0</v>
      </c>
      <c r="S868" s="2" t="b">
        <v>1</v>
      </c>
      <c r="T868" s="2">
        <v>1</v>
      </c>
    </row>
    <row r="869" spans="1:21">
      <c r="A869" s="4">
        <v>2011</v>
      </c>
      <c r="B869" s="7" t="str">
        <f>VLOOKUP($A869,SkillEnum!$A$2:$C$1020,2,FALSE)</f>
        <v>SI_SA_LSR_CRAZY_SHOT</v>
      </c>
      <c r="C869" s="7">
        <v>7</v>
      </c>
      <c r="D869" s="2" t="str">
        <f>VLOOKUP($C869,SkillEnum!$D$2:$E$10,2,FALSE)</f>
        <v>ST_SPECIAL_ACTIVE</v>
      </c>
      <c r="E869" s="7" t="str">
        <f>VLOOKUP($A869,SkillEnum!$A$2:$C$1020,3,FALSE)</f>
        <v>크레이지 샷</v>
      </c>
      <c r="F869" s="7" t="str">
        <f t="shared" si="117"/>
        <v>구 형태로 압축된 마력의 화살을 전방으로 발사해 폭발시켜 마법데미지의 431 % 로 빠른 연속타격을 한다.</v>
      </c>
      <c r="G869" s="2">
        <v>8</v>
      </c>
      <c r="H869" s="2">
        <v>1.96</v>
      </c>
      <c r="I869" s="2">
        <v>30</v>
      </c>
      <c r="J869" s="2">
        <v>300</v>
      </c>
      <c r="K869" s="2">
        <v>0</v>
      </c>
      <c r="L869" s="2">
        <v>0</v>
      </c>
      <c r="M869" s="2">
        <v>0</v>
      </c>
      <c r="N869" s="2">
        <v>0</v>
      </c>
      <c r="O869" s="2">
        <v>0</v>
      </c>
      <c r="P869" s="2" t="s">
        <v>439</v>
      </c>
      <c r="Q869" s="2" t="str">
        <f t="shared" si="115"/>
        <v>SI_SA_LSR_CRAZY_SHOT</v>
      </c>
      <c r="R869" s="2" t="b">
        <v>0</v>
      </c>
      <c r="S869" s="2" t="b">
        <v>1</v>
      </c>
      <c r="T869" s="2">
        <v>1</v>
      </c>
    </row>
    <row r="870" spans="1:21">
      <c r="A870" s="4">
        <v>2011</v>
      </c>
      <c r="B870" s="7" t="str">
        <f>VLOOKUP($A870,SkillEnum!$A$2:$C$1020,2,FALSE)</f>
        <v>SI_SA_LSR_CRAZY_SHOT</v>
      </c>
      <c r="C870" s="7">
        <v>7</v>
      </c>
      <c r="D870" s="2" t="str">
        <f>VLOOKUP($C870,SkillEnum!$D$2:$E$10,2,FALSE)</f>
        <v>ST_SPECIAL_ACTIVE</v>
      </c>
      <c r="E870" s="7" t="str">
        <f>VLOOKUP($A870,SkillEnum!$A$2:$C$1020,3,FALSE)</f>
        <v>크레이지 샷</v>
      </c>
      <c r="F870" s="7" t="str">
        <f t="shared" si="117"/>
        <v>구 형태로 압축된 마력의 화살을 전방으로 발사해 폭발시켜 마법데미지의 493 % 로 빠른 연속타격을 한다.</v>
      </c>
      <c r="G870" s="2">
        <v>9</v>
      </c>
      <c r="H870" s="2">
        <v>2.2400000000000002</v>
      </c>
      <c r="I870" s="2">
        <v>30</v>
      </c>
      <c r="J870" s="2">
        <v>300</v>
      </c>
      <c r="K870" s="2">
        <v>0</v>
      </c>
      <c r="L870" s="2">
        <v>0</v>
      </c>
      <c r="M870" s="2">
        <v>0</v>
      </c>
      <c r="N870" s="2">
        <v>0</v>
      </c>
      <c r="O870" s="2">
        <v>0</v>
      </c>
      <c r="P870" s="2" t="s">
        <v>439</v>
      </c>
      <c r="Q870" s="2" t="str">
        <f t="shared" si="115"/>
        <v>SI_SA_LSR_CRAZY_SHOT</v>
      </c>
      <c r="R870" s="2" t="b">
        <v>0</v>
      </c>
      <c r="S870" s="2" t="b">
        <v>1</v>
      </c>
      <c r="T870" s="2">
        <v>1</v>
      </c>
    </row>
    <row r="871" spans="1:21" s="5" customFormat="1">
      <c r="A871" s="6">
        <v>2011</v>
      </c>
      <c r="B871" s="8" t="str">
        <f>VLOOKUP($A871,SkillEnum!$A$2:$C$1020,2,FALSE)</f>
        <v>SI_SA_LSR_CRAZY_SHOT</v>
      </c>
      <c r="C871" s="8">
        <v>7</v>
      </c>
      <c r="D871" s="5" t="str">
        <f>VLOOKUP($C871,SkillEnum!$D$2:$E$10,2,FALSE)</f>
        <v>ST_SPECIAL_ACTIVE</v>
      </c>
      <c r="E871" s="8" t="str">
        <f>VLOOKUP($A871,SkillEnum!$A$2:$C$1020,3,FALSE)</f>
        <v>크레이지 샷</v>
      </c>
      <c r="F871" s="8" t="str">
        <f t="shared" si="117"/>
        <v>구 형태로 압축된 마력의 화살을 전방으로 발사해 폭발시켜 마법데미지의 554 % 로 빠른 연속타격을 한다.</v>
      </c>
      <c r="G871" s="5">
        <v>10</v>
      </c>
      <c r="H871" s="5">
        <v>2.52</v>
      </c>
      <c r="I871" s="5">
        <v>30</v>
      </c>
      <c r="J871" s="5">
        <v>300</v>
      </c>
      <c r="K871" s="5">
        <v>0</v>
      </c>
      <c r="L871" s="5">
        <v>0</v>
      </c>
      <c r="M871" s="5">
        <v>0</v>
      </c>
      <c r="N871" s="5">
        <v>0</v>
      </c>
      <c r="O871" s="5">
        <v>0</v>
      </c>
      <c r="P871" s="2" t="s">
        <v>439</v>
      </c>
      <c r="Q871" s="2" t="str">
        <f t="shared" si="115"/>
        <v>SI_SA_LSR_CRAZY_SHOT</v>
      </c>
      <c r="R871" s="5" t="b">
        <v>0</v>
      </c>
      <c r="S871" s="2" t="b">
        <v>1</v>
      </c>
      <c r="T871" s="2">
        <v>1</v>
      </c>
      <c r="U871" s="2"/>
    </row>
    <row r="872" spans="1:21" s="10" customFormat="1">
      <c r="A872" s="9">
        <v>2012</v>
      </c>
      <c r="B872" s="11" t="str">
        <f>VLOOKUP($A872,SkillEnum!$A$2:$C$1020,2,FALSE)</f>
        <v>SI_SA_LCR_SHARPFALL</v>
      </c>
      <c r="C872" s="11">
        <v>7</v>
      </c>
      <c r="D872" s="10" t="str">
        <f>VLOOKUP($C872,SkillEnum!$D$2:$E$10,2,FALSE)</f>
        <v>ST_SPECIAL_ACTIVE</v>
      </c>
      <c r="E872" s="11" t="str">
        <f>VLOOKUP($A872,SkillEnum!$A$2:$C$1020,3,FALSE)</f>
        <v>샤프 폴</v>
      </c>
      <c r="F872" s="11" t="str">
        <f>"발끝에 기운을 집중 시켜, 지면을 밟아 땅을 굴러 반경 3M구간에 있는 적들에게 물리공격력의 "&amp;ROUND(8*H872*100,0)&amp;" % 로 데미지를 주고 2초간 스턴상태로 만든다."</f>
        <v>발끝에 기운을 집중 시켜, 지면을 밟아 땅을 굴러 반경 3M구간에 있는 적들에게 물리공격력의 560 % 로 데미지를 주고 2초간 스턴상태로 만든다.</v>
      </c>
      <c r="G872" s="10">
        <v>1</v>
      </c>
      <c r="H872" s="2">
        <v>0.7</v>
      </c>
      <c r="I872" s="2">
        <v>10</v>
      </c>
      <c r="J872" s="10">
        <v>200</v>
      </c>
      <c r="K872" s="2">
        <v>0</v>
      </c>
      <c r="L872" s="2">
        <v>0</v>
      </c>
      <c r="M872" s="2">
        <v>0</v>
      </c>
      <c r="N872" s="2">
        <v>0</v>
      </c>
      <c r="O872" s="2">
        <v>0</v>
      </c>
      <c r="P872" s="2" t="s">
        <v>439</v>
      </c>
      <c r="Q872" s="2" t="str">
        <f t="shared" ref="Q872:Q881" si="118">B872</f>
        <v>SI_SA_LCR_SHARPFALL</v>
      </c>
      <c r="R872" s="2" t="b">
        <v>0</v>
      </c>
      <c r="S872" s="2" t="b">
        <v>1</v>
      </c>
      <c r="T872" s="2">
        <v>4</v>
      </c>
      <c r="U872" s="2" t="b">
        <v>1</v>
      </c>
    </row>
    <row r="873" spans="1:21">
      <c r="A873" s="4">
        <v>2012</v>
      </c>
      <c r="B873" s="7" t="str">
        <f>VLOOKUP($A873,SkillEnum!$A$2:$C$1020,2,FALSE)</f>
        <v>SI_SA_LCR_SHARPFALL</v>
      </c>
      <c r="C873" s="7">
        <v>7</v>
      </c>
      <c r="D873" s="2" t="str">
        <f>VLOOKUP($C873,SkillEnum!$D$2:$E$10,2,FALSE)</f>
        <v>ST_SPECIAL_ACTIVE</v>
      </c>
      <c r="E873" s="7" t="str">
        <f>VLOOKUP($A873,SkillEnum!$A$2:$C$1020,3,FALSE)</f>
        <v>샤프 폴</v>
      </c>
      <c r="F873" s="7" t="str">
        <f t="shared" ref="F873:F881" si="119">"발끝에 기운을 집중 시켜, 지면을 밟아 땅을 굴러 반경 3M구간에 있는 적들에게 물리공격력의 "&amp;ROUND(8*H873*100,0)&amp;" % 로 데미지를 주고 2초간 스턴상태로 만든다."</f>
        <v>발끝에 기운을 집중 시켜, 지면을 밟아 땅을 굴러 반경 3M구간에 있는 적들에게 물리공격력의 672 % 로 데미지를 주고 2초간 스턴상태로 만든다.</v>
      </c>
      <c r="G873" s="2">
        <v>2</v>
      </c>
      <c r="H873" s="2">
        <v>0.84</v>
      </c>
      <c r="I873" s="2">
        <v>10</v>
      </c>
      <c r="J873" s="2">
        <v>200</v>
      </c>
      <c r="K873" s="2">
        <v>0</v>
      </c>
      <c r="L873" s="2">
        <v>0</v>
      </c>
      <c r="M873" s="2">
        <v>0</v>
      </c>
      <c r="N873" s="2">
        <v>0</v>
      </c>
      <c r="O873" s="2">
        <v>0</v>
      </c>
      <c r="P873" s="2" t="s">
        <v>439</v>
      </c>
      <c r="Q873" s="2" t="str">
        <f t="shared" si="118"/>
        <v>SI_SA_LCR_SHARPFALL</v>
      </c>
      <c r="R873" s="2" t="b">
        <v>0</v>
      </c>
      <c r="S873" s="2" t="b">
        <v>1</v>
      </c>
      <c r="T873" s="2">
        <v>4</v>
      </c>
      <c r="U873" s="2" t="b">
        <v>1</v>
      </c>
    </row>
    <row r="874" spans="1:21">
      <c r="A874" s="4">
        <v>2012</v>
      </c>
      <c r="B874" s="7" t="str">
        <f>VLOOKUP($A874,SkillEnum!$A$2:$C$1020,2,FALSE)</f>
        <v>SI_SA_LCR_SHARPFALL</v>
      </c>
      <c r="C874" s="7">
        <v>7</v>
      </c>
      <c r="D874" s="2" t="str">
        <f>VLOOKUP($C874,SkillEnum!$D$2:$E$10,2,FALSE)</f>
        <v>ST_SPECIAL_ACTIVE</v>
      </c>
      <c r="E874" s="7" t="str">
        <f>VLOOKUP($A874,SkillEnum!$A$2:$C$1020,3,FALSE)</f>
        <v>샤프 폴</v>
      </c>
      <c r="F874" s="7" t="str">
        <f t="shared" si="119"/>
        <v>발끝에 기운을 집중 시켜, 지면을 밟아 땅을 굴러 반경 3M구간에 있는 적들에게 물리공격력의 784 % 로 데미지를 주고 2초간 스턴상태로 만든다.</v>
      </c>
      <c r="G874" s="2">
        <v>3</v>
      </c>
      <c r="H874" s="2">
        <v>0.98</v>
      </c>
      <c r="I874" s="2">
        <v>10</v>
      </c>
      <c r="J874" s="2">
        <v>200</v>
      </c>
      <c r="K874" s="2">
        <v>0</v>
      </c>
      <c r="L874" s="2">
        <v>0</v>
      </c>
      <c r="M874" s="2">
        <v>0</v>
      </c>
      <c r="N874" s="2">
        <v>0</v>
      </c>
      <c r="O874" s="2">
        <v>0</v>
      </c>
      <c r="P874" s="2" t="s">
        <v>439</v>
      </c>
      <c r="Q874" s="2" t="str">
        <f t="shared" si="118"/>
        <v>SI_SA_LCR_SHARPFALL</v>
      </c>
      <c r="R874" s="2" t="b">
        <v>0</v>
      </c>
      <c r="S874" s="2" t="b">
        <v>1</v>
      </c>
      <c r="T874" s="2">
        <v>4</v>
      </c>
      <c r="U874" s="2" t="b">
        <v>1</v>
      </c>
    </row>
    <row r="875" spans="1:21">
      <c r="A875" s="4">
        <v>2012</v>
      </c>
      <c r="B875" s="7" t="str">
        <f>VLOOKUP($A875,SkillEnum!$A$2:$C$1020,2,FALSE)</f>
        <v>SI_SA_LCR_SHARPFALL</v>
      </c>
      <c r="C875" s="7">
        <v>7</v>
      </c>
      <c r="D875" s="2" t="str">
        <f>VLOOKUP($C875,SkillEnum!$D$2:$E$10,2,FALSE)</f>
        <v>ST_SPECIAL_ACTIVE</v>
      </c>
      <c r="E875" s="7" t="str">
        <f>VLOOKUP($A875,SkillEnum!$A$2:$C$1020,3,FALSE)</f>
        <v>샤프 폴</v>
      </c>
      <c r="F875" s="7" t="str">
        <f t="shared" si="119"/>
        <v>발끝에 기운을 집중 시켜, 지면을 밟아 땅을 굴러 반경 3M구간에 있는 적들에게 물리공격력의 896 % 로 데미지를 주고 2초간 스턴상태로 만든다.</v>
      </c>
      <c r="G875" s="2">
        <v>4</v>
      </c>
      <c r="H875" s="2">
        <v>1.1200000000000001</v>
      </c>
      <c r="I875" s="2">
        <v>10</v>
      </c>
      <c r="J875" s="2">
        <v>200</v>
      </c>
      <c r="K875" s="2">
        <v>0</v>
      </c>
      <c r="L875" s="2">
        <v>0</v>
      </c>
      <c r="M875" s="2">
        <v>0</v>
      </c>
      <c r="N875" s="2">
        <v>0</v>
      </c>
      <c r="O875" s="2">
        <v>0</v>
      </c>
      <c r="P875" s="2" t="s">
        <v>439</v>
      </c>
      <c r="Q875" s="2" t="str">
        <f t="shared" si="118"/>
        <v>SI_SA_LCR_SHARPFALL</v>
      </c>
      <c r="R875" s="2" t="b">
        <v>0</v>
      </c>
      <c r="S875" s="2" t="b">
        <v>1</v>
      </c>
      <c r="T875" s="2">
        <v>4</v>
      </c>
      <c r="U875" s="2" t="b">
        <v>1</v>
      </c>
    </row>
    <row r="876" spans="1:21">
      <c r="A876" s="4">
        <v>2012</v>
      </c>
      <c r="B876" s="7" t="str">
        <f>VLOOKUP($A876,SkillEnum!$A$2:$C$1020,2,FALSE)</f>
        <v>SI_SA_LCR_SHARPFALL</v>
      </c>
      <c r="C876" s="7">
        <v>7</v>
      </c>
      <c r="D876" s="2" t="str">
        <f>VLOOKUP($C876,SkillEnum!$D$2:$E$10,2,FALSE)</f>
        <v>ST_SPECIAL_ACTIVE</v>
      </c>
      <c r="E876" s="7" t="str">
        <f>VLOOKUP($A876,SkillEnum!$A$2:$C$1020,3,FALSE)</f>
        <v>샤프 폴</v>
      </c>
      <c r="F876" s="7" t="str">
        <f t="shared" si="119"/>
        <v>발끝에 기운을 집중 시켜, 지면을 밟아 땅을 굴러 반경 3M구간에 있는 적들에게 물리공격력의 1064 % 로 데미지를 주고 2초간 스턴상태로 만든다.</v>
      </c>
      <c r="G876" s="2">
        <v>5</v>
      </c>
      <c r="H876" s="2">
        <v>1.33</v>
      </c>
      <c r="I876" s="2">
        <v>10</v>
      </c>
      <c r="J876" s="2">
        <v>200</v>
      </c>
      <c r="K876" s="2">
        <v>0</v>
      </c>
      <c r="L876" s="2">
        <v>0</v>
      </c>
      <c r="M876" s="2">
        <v>0</v>
      </c>
      <c r="N876" s="2">
        <v>0</v>
      </c>
      <c r="O876" s="2">
        <v>0</v>
      </c>
      <c r="P876" s="2" t="s">
        <v>439</v>
      </c>
      <c r="Q876" s="2" t="str">
        <f t="shared" si="118"/>
        <v>SI_SA_LCR_SHARPFALL</v>
      </c>
      <c r="R876" s="2" t="b">
        <v>0</v>
      </c>
      <c r="S876" s="2" t="b">
        <v>1</v>
      </c>
      <c r="T876" s="2">
        <v>4</v>
      </c>
      <c r="U876" s="2" t="b">
        <v>1</v>
      </c>
    </row>
    <row r="877" spans="1:21">
      <c r="A877" s="4">
        <v>2012</v>
      </c>
      <c r="B877" s="7" t="str">
        <f>VLOOKUP($A877,SkillEnum!$A$2:$C$1020,2,FALSE)</f>
        <v>SI_SA_LCR_SHARPFALL</v>
      </c>
      <c r="C877" s="7">
        <v>7</v>
      </c>
      <c r="D877" s="2" t="str">
        <f>VLOOKUP($C877,SkillEnum!$D$2:$E$10,2,FALSE)</f>
        <v>ST_SPECIAL_ACTIVE</v>
      </c>
      <c r="E877" s="7" t="str">
        <f>VLOOKUP($A877,SkillEnum!$A$2:$C$1020,3,FALSE)</f>
        <v>샤프 폴</v>
      </c>
      <c r="F877" s="7" t="str">
        <f t="shared" si="119"/>
        <v>발끝에 기운을 집중 시켜, 지면을 밟아 땅을 굴러 반경 3M구간에 있는 적들에게 물리공격력의 1232 % 로 데미지를 주고 2초간 스턴상태로 만든다.</v>
      </c>
      <c r="G877" s="2">
        <v>6</v>
      </c>
      <c r="H877" s="2">
        <v>1.54</v>
      </c>
      <c r="I877" s="2">
        <v>10</v>
      </c>
      <c r="J877" s="2">
        <v>200</v>
      </c>
      <c r="K877" s="2">
        <v>0</v>
      </c>
      <c r="L877" s="2">
        <v>0</v>
      </c>
      <c r="M877" s="2">
        <v>0</v>
      </c>
      <c r="N877" s="2">
        <v>0</v>
      </c>
      <c r="O877" s="2">
        <v>0</v>
      </c>
      <c r="P877" s="2" t="s">
        <v>439</v>
      </c>
      <c r="Q877" s="2" t="str">
        <f t="shared" si="118"/>
        <v>SI_SA_LCR_SHARPFALL</v>
      </c>
      <c r="R877" s="2" t="b">
        <v>0</v>
      </c>
      <c r="S877" s="2" t="b">
        <v>1</v>
      </c>
      <c r="T877" s="2">
        <v>4</v>
      </c>
      <c r="U877" s="2" t="b">
        <v>1</v>
      </c>
    </row>
    <row r="878" spans="1:21">
      <c r="A878" s="4">
        <v>2012</v>
      </c>
      <c r="B878" s="7" t="str">
        <f>VLOOKUP($A878,SkillEnum!$A$2:$C$1020,2,FALSE)</f>
        <v>SI_SA_LCR_SHARPFALL</v>
      </c>
      <c r="C878" s="7">
        <v>7</v>
      </c>
      <c r="D878" s="2" t="str">
        <f>VLOOKUP($C878,SkillEnum!$D$2:$E$10,2,FALSE)</f>
        <v>ST_SPECIAL_ACTIVE</v>
      </c>
      <c r="E878" s="7" t="str">
        <f>VLOOKUP($A878,SkillEnum!$A$2:$C$1020,3,FALSE)</f>
        <v>샤프 폴</v>
      </c>
      <c r="F878" s="7" t="str">
        <f t="shared" si="119"/>
        <v>발끝에 기운을 집중 시켜, 지면을 밟아 땅을 굴러 반경 3M구간에 있는 적들에게 물리공격력의 1400 % 로 데미지를 주고 2초간 스턴상태로 만든다.</v>
      </c>
      <c r="G878" s="2">
        <v>7</v>
      </c>
      <c r="H878" s="2">
        <v>1.75</v>
      </c>
      <c r="I878" s="2">
        <v>10</v>
      </c>
      <c r="J878" s="2">
        <v>200</v>
      </c>
      <c r="K878" s="2">
        <v>0</v>
      </c>
      <c r="L878" s="2">
        <v>0</v>
      </c>
      <c r="M878" s="2">
        <v>0</v>
      </c>
      <c r="N878" s="2">
        <v>0</v>
      </c>
      <c r="O878" s="2">
        <v>0</v>
      </c>
      <c r="P878" s="2" t="s">
        <v>439</v>
      </c>
      <c r="Q878" s="2" t="str">
        <f t="shared" si="118"/>
        <v>SI_SA_LCR_SHARPFALL</v>
      </c>
      <c r="R878" s="2" t="b">
        <v>0</v>
      </c>
      <c r="S878" s="2" t="b">
        <v>1</v>
      </c>
      <c r="T878" s="2">
        <v>4</v>
      </c>
      <c r="U878" s="2" t="b">
        <v>1</v>
      </c>
    </row>
    <row r="879" spans="1:21">
      <c r="A879" s="4">
        <v>2012</v>
      </c>
      <c r="B879" s="7" t="str">
        <f>VLOOKUP($A879,SkillEnum!$A$2:$C$1020,2,FALSE)</f>
        <v>SI_SA_LCR_SHARPFALL</v>
      </c>
      <c r="C879" s="7">
        <v>7</v>
      </c>
      <c r="D879" s="2" t="str">
        <f>VLOOKUP($C879,SkillEnum!$D$2:$E$10,2,FALSE)</f>
        <v>ST_SPECIAL_ACTIVE</v>
      </c>
      <c r="E879" s="7" t="str">
        <f>VLOOKUP($A879,SkillEnum!$A$2:$C$1020,3,FALSE)</f>
        <v>샤프 폴</v>
      </c>
      <c r="F879" s="7" t="str">
        <f t="shared" si="119"/>
        <v>발끝에 기운을 집중 시켜, 지면을 밟아 땅을 굴러 반경 3M구간에 있는 적들에게 물리공격력의 1568 % 로 데미지를 주고 2초간 스턴상태로 만든다.</v>
      </c>
      <c r="G879" s="2">
        <v>8</v>
      </c>
      <c r="H879" s="2">
        <v>1.96</v>
      </c>
      <c r="I879" s="2">
        <v>10</v>
      </c>
      <c r="J879" s="2">
        <v>200</v>
      </c>
      <c r="K879" s="2">
        <v>0</v>
      </c>
      <c r="L879" s="2">
        <v>0</v>
      </c>
      <c r="M879" s="2">
        <v>0</v>
      </c>
      <c r="N879" s="2">
        <v>0</v>
      </c>
      <c r="O879" s="2">
        <v>0</v>
      </c>
      <c r="P879" s="2" t="s">
        <v>439</v>
      </c>
      <c r="Q879" s="2" t="str">
        <f t="shared" si="118"/>
        <v>SI_SA_LCR_SHARPFALL</v>
      </c>
      <c r="R879" s="2" t="b">
        <v>0</v>
      </c>
      <c r="S879" s="2" t="b">
        <v>1</v>
      </c>
      <c r="T879" s="2">
        <v>4</v>
      </c>
      <c r="U879" s="2" t="b">
        <v>1</v>
      </c>
    </row>
    <row r="880" spans="1:21">
      <c r="A880" s="4">
        <v>2012</v>
      </c>
      <c r="B880" s="7" t="str">
        <f>VLOOKUP($A880,SkillEnum!$A$2:$C$1020,2,FALSE)</f>
        <v>SI_SA_LCR_SHARPFALL</v>
      </c>
      <c r="C880" s="7">
        <v>7</v>
      </c>
      <c r="D880" s="2" t="str">
        <f>VLOOKUP($C880,SkillEnum!$D$2:$E$10,2,FALSE)</f>
        <v>ST_SPECIAL_ACTIVE</v>
      </c>
      <c r="E880" s="7" t="str">
        <f>VLOOKUP($A880,SkillEnum!$A$2:$C$1020,3,FALSE)</f>
        <v>샤프 폴</v>
      </c>
      <c r="F880" s="7" t="str">
        <f t="shared" si="119"/>
        <v>발끝에 기운을 집중 시켜, 지면을 밟아 땅을 굴러 반경 3M구간에 있는 적들에게 물리공격력의 1792 % 로 데미지를 주고 2초간 스턴상태로 만든다.</v>
      </c>
      <c r="G880" s="2">
        <v>9</v>
      </c>
      <c r="H880" s="2">
        <v>2.2400000000000002</v>
      </c>
      <c r="I880" s="2">
        <v>10</v>
      </c>
      <c r="J880" s="2">
        <v>200</v>
      </c>
      <c r="K880" s="2">
        <v>0</v>
      </c>
      <c r="L880" s="2">
        <v>0</v>
      </c>
      <c r="M880" s="2">
        <v>0</v>
      </c>
      <c r="N880" s="2">
        <v>0</v>
      </c>
      <c r="O880" s="2">
        <v>0</v>
      </c>
      <c r="P880" s="2" t="s">
        <v>439</v>
      </c>
      <c r="Q880" s="2" t="str">
        <f t="shared" si="118"/>
        <v>SI_SA_LCR_SHARPFALL</v>
      </c>
      <c r="R880" s="2" t="b">
        <v>0</v>
      </c>
      <c r="S880" s="2" t="b">
        <v>1</v>
      </c>
      <c r="T880" s="2">
        <v>4</v>
      </c>
      <c r="U880" s="2" t="b">
        <v>1</v>
      </c>
    </row>
    <row r="881" spans="1:25" s="5" customFormat="1">
      <c r="A881" s="6">
        <v>2012</v>
      </c>
      <c r="B881" s="8" t="str">
        <f>VLOOKUP($A881,SkillEnum!$A$2:$C$1020,2,FALSE)</f>
        <v>SI_SA_LCR_SHARPFALL</v>
      </c>
      <c r="C881" s="8">
        <v>7</v>
      </c>
      <c r="D881" s="5" t="str">
        <f>VLOOKUP($C881,SkillEnum!$D$2:$E$10,2,FALSE)</f>
        <v>ST_SPECIAL_ACTIVE</v>
      </c>
      <c r="E881" s="8" t="str">
        <f>VLOOKUP($A881,SkillEnum!$A$2:$C$1020,3,FALSE)</f>
        <v>샤프 폴</v>
      </c>
      <c r="F881" s="8" t="str">
        <f t="shared" si="119"/>
        <v>발끝에 기운을 집중 시켜, 지면을 밟아 땅을 굴러 반경 3M구간에 있는 적들에게 물리공격력의 2016 % 로 데미지를 주고 2초간 스턴상태로 만든다.</v>
      </c>
      <c r="G881" s="5">
        <v>10</v>
      </c>
      <c r="H881" s="5">
        <v>2.52</v>
      </c>
      <c r="I881" s="5">
        <v>10</v>
      </c>
      <c r="J881" s="5">
        <v>200</v>
      </c>
      <c r="K881" s="5">
        <v>0</v>
      </c>
      <c r="L881" s="5">
        <v>0</v>
      </c>
      <c r="M881" s="5">
        <v>0</v>
      </c>
      <c r="N881" s="5">
        <v>0</v>
      </c>
      <c r="O881" s="5">
        <v>0</v>
      </c>
      <c r="P881" s="2" t="s">
        <v>439</v>
      </c>
      <c r="Q881" s="2" t="str">
        <f t="shared" si="118"/>
        <v>SI_SA_LCR_SHARPFALL</v>
      </c>
      <c r="R881" s="5" t="b">
        <v>0</v>
      </c>
      <c r="S881" s="2" t="b">
        <v>1</v>
      </c>
      <c r="T881" s="2">
        <v>4</v>
      </c>
      <c r="U881" s="2" t="b">
        <v>1</v>
      </c>
    </row>
    <row r="882" spans="1:25" s="10" customFormat="1">
      <c r="A882" s="9">
        <v>2013</v>
      </c>
      <c r="B882" s="11" t="str">
        <f>VLOOKUP($A882,SkillEnum!$A$2:$C$1020,2,FALSE)</f>
        <v>SI_SA_LSR_ WINDWARD</v>
      </c>
      <c r="C882" s="11">
        <v>7</v>
      </c>
      <c r="D882" s="10" t="str">
        <f>VLOOKUP($C882,SkillEnum!$D$2:$E$10,2,FALSE)</f>
        <v>ST_SPECIAL_ACTIVE</v>
      </c>
      <c r="E882" s="11" t="str">
        <f>VLOOKUP($A882,SkillEnum!$A$2:$C$1020,3,FALSE)</f>
        <v>윈드 워드</v>
      </c>
      <c r="F882" s="11" t="str">
        <f>"시전자 전방 2M 지점에 "&amp;W882&amp;" 초간 유지되는 높이 "&amp;Y882*4&amp;"M의 바람의 벽을 만든다. 바람의 벽에 닿은 유저는 바람의 벽이 사라질 때 까지 행동불능 상태가 되어 공격을 받아도 반응 할 수 없다."</f>
        <v>시전자 전방 2M 지점에 4 초간 유지되는 높이 2.4M의 바람의 벽을 만든다. 바람의 벽에 닿은 유저는 바람의 벽이 사라질 때 까지 행동불능 상태가 되어 공격을 받아도 반응 할 수 없다.</v>
      </c>
      <c r="G882" s="10">
        <v>1</v>
      </c>
      <c r="H882" s="2">
        <v>0.7</v>
      </c>
      <c r="I882" s="2">
        <v>10</v>
      </c>
      <c r="J882" s="10">
        <v>200</v>
      </c>
      <c r="K882" s="2">
        <v>0</v>
      </c>
      <c r="L882" s="2">
        <v>0</v>
      </c>
      <c r="M882" s="2">
        <v>0</v>
      </c>
      <c r="N882" s="2">
        <v>0</v>
      </c>
      <c r="O882" s="2">
        <v>0</v>
      </c>
      <c r="P882" s="2" t="s">
        <v>439</v>
      </c>
      <c r="Q882" s="2" t="str">
        <f t="shared" ref="Q882:Q891" si="120">B882</f>
        <v>SI_SA_LSR_ WINDWARD</v>
      </c>
      <c r="R882" s="2" t="b">
        <v>0</v>
      </c>
      <c r="S882" s="2" t="b">
        <v>1</v>
      </c>
      <c r="T882" s="2">
        <v>2</v>
      </c>
      <c r="U882" s="2" t="b">
        <v>1</v>
      </c>
      <c r="V882" s="10" t="s">
        <v>262</v>
      </c>
      <c r="W882" s="10">
        <v>4</v>
      </c>
      <c r="X882" s="10" t="s">
        <v>264</v>
      </c>
      <c r="Y882" s="10">
        <v>0.6</v>
      </c>
    </row>
    <row r="883" spans="1:25">
      <c r="A883" s="4">
        <v>2013</v>
      </c>
      <c r="B883" s="7" t="str">
        <f>VLOOKUP($A883,SkillEnum!$A$2:$C$1020,2,FALSE)</f>
        <v>SI_SA_LSR_ WINDWARD</v>
      </c>
      <c r="C883" s="7">
        <v>7</v>
      </c>
      <c r="D883" s="2" t="str">
        <f>VLOOKUP($C883,SkillEnum!$D$2:$E$10,2,FALSE)</f>
        <v>ST_SPECIAL_ACTIVE</v>
      </c>
      <c r="E883" s="7" t="str">
        <f>VLOOKUP($A883,SkillEnum!$A$2:$C$1020,3,FALSE)</f>
        <v>윈드 워드</v>
      </c>
      <c r="F883" s="7" t="str">
        <f t="shared" ref="F883:F891" si="121">"시전자 전방 2M 지점에 "&amp;W883&amp;" 초간 유지되는 높이 "&amp;Y883*4&amp;"M의 바람의 벽을 만든다. 바람의 벽에 닿은 유저는 바람의 벽이 사라질 때 까지 행동불능 상태가 되어 공격을 받아도 반응 할 수 없다."</f>
        <v>시전자 전방 2M 지점에 4.5 초간 유지되는 높이 2.8M의 바람의 벽을 만든다. 바람의 벽에 닿은 유저는 바람의 벽이 사라질 때 까지 행동불능 상태가 되어 공격을 받아도 반응 할 수 없다.</v>
      </c>
      <c r="G883" s="2">
        <v>2</v>
      </c>
      <c r="H883" s="2">
        <v>0.84</v>
      </c>
      <c r="I883" s="2">
        <v>10</v>
      </c>
      <c r="J883" s="2">
        <v>200</v>
      </c>
      <c r="K883" s="2">
        <v>0</v>
      </c>
      <c r="L883" s="2">
        <v>0</v>
      </c>
      <c r="M883" s="2">
        <v>0</v>
      </c>
      <c r="N883" s="2">
        <v>0</v>
      </c>
      <c r="O883" s="2">
        <v>0</v>
      </c>
      <c r="P883" s="2" t="s">
        <v>439</v>
      </c>
      <c r="Q883" s="2" t="str">
        <f t="shared" si="120"/>
        <v>SI_SA_LSR_ WINDWARD</v>
      </c>
      <c r="R883" s="2" t="b">
        <v>0</v>
      </c>
      <c r="S883" s="2" t="b">
        <v>1</v>
      </c>
      <c r="T883" s="2">
        <v>2</v>
      </c>
      <c r="U883" s="2" t="b">
        <v>1</v>
      </c>
      <c r="V883" s="2" t="s">
        <v>262</v>
      </c>
      <c r="W883" s="2">
        <v>4.5</v>
      </c>
      <c r="X883" s="2" t="s">
        <v>264</v>
      </c>
      <c r="Y883" s="2">
        <v>0.7</v>
      </c>
    </row>
    <row r="884" spans="1:25">
      <c r="A884" s="4">
        <v>2013</v>
      </c>
      <c r="B884" s="7" t="str">
        <f>VLOOKUP($A884,SkillEnum!$A$2:$C$1020,2,FALSE)</f>
        <v>SI_SA_LSR_ WINDWARD</v>
      </c>
      <c r="C884" s="7">
        <v>7</v>
      </c>
      <c r="D884" s="2" t="str">
        <f>VLOOKUP($C884,SkillEnum!$D$2:$E$10,2,FALSE)</f>
        <v>ST_SPECIAL_ACTIVE</v>
      </c>
      <c r="E884" s="7" t="str">
        <f>VLOOKUP($A884,SkillEnum!$A$2:$C$1020,3,FALSE)</f>
        <v>윈드 워드</v>
      </c>
      <c r="F884" s="7" t="str">
        <f t="shared" si="121"/>
        <v>시전자 전방 2M 지점에 5 초간 유지되는 높이 3.2M의 바람의 벽을 만든다. 바람의 벽에 닿은 유저는 바람의 벽이 사라질 때 까지 행동불능 상태가 되어 공격을 받아도 반응 할 수 없다.</v>
      </c>
      <c r="G884" s="2">
        <v>3</v>
      </c>
      <c r="H884" s="2">
        <v>0.98</v>
      </c>
      <c r="I884" s="2">
        <v>10</v>
      </c>
      <c r="J884" s="2">
        <v>200</v>
      </c>
      <c r="K884" s="2">
        <v>0</v>
      </c>
      <c r="L884" s="2">
        <v>0</v>
      </c>
      <c r="M884" s="2">
        <v>0</v>
      </c>
      <c r="N884" s="2">
        <v>0</v>
      </c>
      <c r="O884" s="2">
        <v>0</v>
      </c>
      <c r="P884" s="2" t="s">
        <v>439</v>
      </c>
      <c r="Q884" s="2" t="str">
        <f t="shared" si="120"/>
        <v>SI_SA_LSR_ WINDWARD</v>
      </c>
      <c r="R884" s="2" t="b">
        <v>0</v>
      </c>
      <c r="S884" s="2" t="b">
        <v>1</v>
      </c>
      <c r="T884" s="2">
        <v>2</v>
      </c>
      <c r="U884" s="2" t="b">
        <v>1</v>
      </c>
      <c r="V884" s="2" t="s">
        <v>262</v>
      </c>
      <c r="W884" s="2">
        <v>5</v>
      </c>
      <c r="X884" s="2" t="s">
        <v>264</v>
      </c>
      <c r="Y884" s="2">
        <v>0.8</v>
      </c>
    </row>
    <row r="885" spans="1:25">
      <c r="A885" s="4">
        <v>2013</v>
      </c>
      <c r="B885" s="7" t="str">
        <f>VLOOKUP($A885,SkillEnum!$A$2:$C$1020,2,FALSE)</f>
        <v>SI_SA_LSR_ WINDWARD</v>
      </c>
      <c r="C885" s="7">
        <v>7</v>
      </c>
      <c r="D885" s="2" t="str">
        <f>VLOOKUP($C885,SkillEnum!$D$2:$E$10,2,FALSE)</f>
        <v>ST_SPECIAL_ACTIVE</v>
      </c>
      <c r="E885" s="7" t="str">
        <f>VLOOKUP($A885,SkillEnum!$A$2:$C$1020,3,FALSE)</f>
        <v>윈드 워드</v>
      </c>
      <c r="F885" s="7" t="str">
        <f t="shared" si="121"/>
        <v>시전자 전방 2M 지점에 5.5 초간 유지되는 높이 3.6M의 바람의 벽을 만든다. 바람의 벽에 닿은 유저는 바람의 벽이 사라질 때 까지 행동불능 상태가 되어 공격을 받아도 반응 할 수 없다.</v>
      </c>
      <c r="G885" s="2">
        <v>4</v>
      </c>
      <c r="H885" s="2">
        <v>1.1200000000000001</v>
      </c>
      <c r="I885" s="2">
        <v>10</v>
      </c>
      <c r="J885" s="2">
        <v>200</v>
      </c>
      <c r="K885" s="2">
        <v>0</v>
      </c>
      <c r="L885" s="2">
        <v>0</v>
      </c>
      <c r="M885" s="2">
        <v>0</v>
      </c>
      <c r="N885" s="2">
        <v>0</v>
      </c>
      <c r="O885" s="2">
        <v>0</v>
      </c>
      <c r="P885" s="2" t="s">
        <v>439</v>
      </c>
      <c r="Q885" s="2" t="str">
        <f t="shared" si="120"/>
        <v>SI_SA_LSR_ WINDWARD</v>
      </c>
      <c r="R885" s="2" t="b">
        <v>0</v>
      </c>
      <c r="S885" s="2" t="b">
        <v>1</v>
      </c>
      <c r="T885" s="2">
        <v>2</v>
      </c>
      <c r="U885" s="2" t="b">
        <v>1</v>
      </c>
      <c r="V885" s="2" t="s">
        <v>262</v>
      </c>
      <c r="W885" s="2">
        <v>5.5</v>
      </c>
      <c r="X885" s="2" t="s">
        <v>264</v>
      </c>
      <c r="Y885" s="2">
        <v>0.9</v>
      </c>
    </row>
    <row r="886" spans="1:25">
      <c r="A886" s="4">
        <v>2013</v>
      </c>
      <c r="B886" s="7" t="str">
        <f>VLOOKUP($A886,SkillEnum!$A$2:$C$1020,2,FALSE)</f>
        <v>SI_SA_LSR_ WINDWARD</v>
      </c>
      <c r="C886" s="7">
        <v>7</v>
      </c>
      <c r="D886" s="2" t="str">
        <f>VLOOKUP($C886,SkillEnum!$D$2:$E$10,2,FALSE)</f>
        <v>ST_SPECIAL_ACTIVE</v>
      </c>
      <c r="E886" s="7" t="str">
        <f>VLOOKUP($A886,SkillEnum!$A$2:$C$1020,3,FALSE)</f>
        <v>윈드 워드</v>
      </c>
      <c r="F886" s="7" t="str">
        <f t="shared" si="121"/>
        <v>시전자 전방 2M 지점에 6 초간 유지되는 높이 4M의 바람의 벽을 만든다. 바람의 벽에 닿은 유저는 바람의 벽이 사라질 때 까지 행동불능 상태가 되어 공격을 받아도 반응 할 수 없다.</v>
      </c>
      <c r="G886" s="2">
        <v>5</v>
      </c>
      <c r="H886" s="2">
        <v>1.33</v>
      </c>
      <c r="I886" s="2">
        <v>10</v>
      </c>
      <c r="J886" s="2">
        <v>200</v>
      </c>
      <c r="K886" s="2">
        <v>0</v>
      </c>
      <c r="L886" s="2">
        <v>0</v>
      </c>
      <c r="M886" s="2">
        <v>0</v>
      </c>
      <c r="N886" s="2">
        <v>0</v>
      </c>
      <c r="O886" s="2">
        <v>0</v>
      </c>
      <c r="P886" s="2" t="s">
        <v>439</v>
      </c>
      <c r="Q886" s="2" t="str">
        <f t="shared" si="120"/>
        <v>SI_SA_LSR_ WINDWARD</v>
      </c>
      <c r="R886" s="2" t="b">
        <v>0</v>
      </c>
      <c r="S886" s="2" t="b">
        <v>1</v>
      </c>
      <c r="T886" s="2">
        <v>2</v>
      </c>
      <c r="U886" s="2" t="b">
        <v>1</v>
      </c>
      <c r="V886" s="2" t="s">
        <v>262</v>
      </c>
      <c r="W886" s="2">
        <v>6</v>
      </c>
      <c r="X886" s="2" t="s">
        <v>264</v>
      </c>
      <c r="Y886" s="2">
        <v>1</v>
      </c>
    </row>
    <row r="887" spans="1:25">
      <c r="A887" s="4">
        <v>2013</v>
      </c>
      <c r="B887" s="7" t="str">
        <f>VLOOKUP($A887,SkillEnum!$A$2:$C$1020,2,FALSE)</f>
        <v>SI_SA_LSR_ WINDWARD</v>
      </c>
      <c r="C887" s="7">
        <v>7</v>
      </c>
      <c r="D887" s="2" t="str">
        <f>VLOOKUP($C887,SkillEnum!$D$2:$E$10,2,FALSE)</f>
        <v>ST_SPECIAL_ACTIVE</v>
      </c>
      <c r="E887" s="7" t="str">
        <f>VLOOKUP($A887,SkillEnum!$A$2:$C$1020,3,FALSE)</f>
        <v>윈드 워드</v>
      </c>
      <c r="F887" s="7" t="str">
        <f t="shared" si="121"/>
        <v>시전자 전방 2M 지점에 6.5 초간 유지되는 높이 4.4M의 바람의 벽을 만든다. 바람의 벽에 닿은 유저는 바람의 벽이 사라질 때 까지 행동불능 상태가 되어 공격을 받아도 반응 할 수 없다.</v>
      </c>
      <c r="G887" s="2">
        <v>6</v>
      </c>
      <c r="H887" s="2">
        <v>1.54</v>
      </c>
      <c r="I887" s="2">
        <v>10</v>
      </c>
      <c r="J887" s="2">
        <v>200</v>
      </c>
      <c r="K887" s="2">
        <v>0</v>
      </c>
      <c r="L887" s="2">
        <v>0</v>
      </c>
      <c r="M887" s="2">
        <v>0</v>
      </c>
      <c r="N887" s="2">
        <v>0</v>
      </c>
      <c r="O887" s="2">
        <v>0</v>
      </c>
      <c r="P887" s="2" t="s">
        <v>439</v>
      </c>
      <c r="Q887" s="2" t="str">
        <f t="shared" si="120"/>
        <v>SI_SA_LSR_ WINDWARD</v>
      </c>
      <c r="R887" s="2" t="b">
        <v>0</v>
      </c>
      <c r="S887" s="2" t="b">
        <v>1</v>
      </c>
      <c r="T887" s="2">
        <v>2</v>
      </c>
      <c r="U887" s="2" t="b">
        <v>1</v>
      </c>
      <c r="V887" s="2" t="s">
        <v>262</v>
      </c>
      <c r="W887" s="2">
        <v>6.5</v>
      </c>
      <c r="X887" s="2" t="s">
        <v>264</v>
      </c>
      <c r="Y887" s="2">
        <v>1.1000000000000001</v>
      </c>
    </row>
    <row r="888" spans="1:25">
      <c r="A888" s="4">
        <v>2013</v>
      </c>
      <c r="B888" s="7" t="str">
        <f>VLOOKUP($A888,SkillEnum!$A$2:$C$1020,2,FALSE)</f>
        <v>SI_SA_LSR_ WINDWARD</v>
      </c>
      <c r="C888" s="7">
        <v>7</v>
      </c>
      <c r="D888" s="2" t="str">
        <f>VLOOKUP($C888,SkillEnum!$D$2:$E$10,2,FALSE)</f>
        <v>ST_SPECIAL_ACTIVE</v>
      </c>
      <c r="E888" s="7" t="str">
        <f>VLOOKUP($A888,SkillEnum!$A$2:$C$1020,3,FALSE)</f>
        <v>윈드 워드</v>
      </c>
      <c r="F888" s="7" t="str">
        <f t="shared" si="121"/>
        <v>시전자 전방 2M 지점에 7 초간 유지되는 높이 4.8M의 바람의 벽을 만든다. 바람의 벽에 닿은 유저는 바람의 벽이 사라질 때 까지 행동불능 상태가 되어 공격을 받아도 반응 할 수 없다.</v>
      </c>
      <c r="G888" s="2">
        <v>7</v>
      </c>
      <c r="H888" s="2">
        <v>1.75</v>
      </c>
      <c r="I888" s="2">
        <v>10</v>
      </c>
      <c r="J888" s="2">
        <v>200</v>
      </c>
      <c r="K888" s="2">
        <v>0</v>
      </c>
      <c r="L888" s="2">
        <v>0</v>
      </c>
      <c r="M888" s="2">
        <v>0</v>
      </c>
      <c r="N888" s="2">
        <v>0</v>
      </c>
      <c r="O888" s="2">
        <v>0</v>
      </c>
      <c r="P888" s="2" t="s">
        <v>439</v>
      </c>
      <c r="Q888" s="2" t="str">
        <f t="shared" si="120"/>
        <v>SI_SA_LSR_ WINDWARD</v>
      </c>
      <c r="R888" s="2" t="b">
        <v>0</v>
      </c>
      <c r="S888" s="2" t="b">
        <v>1</v>
      </c>
      <c r="T888" s="2">
        <v>2</v>
      </c>
      <c r="U888" s="2" t="b">
        <v>1</v>
      </c>
      <c r="V888" s="2" t="s">
        <v>262</v>
      </c>
      <c r="W888" s="2">
        <v>7</v>
      </c>
      <c r="X888" s="2" t="s">
        <v>264</v>
      </c>
      <c r="Y888" s="2">
        <v>1.2</v>
      </c>
    </row>
    <row r="889" spans="1:25">
      <c r="A889" s="4">
        <v>2013</v>
      </c>
      <c r="B889" s="7" t="str">
        <f>VLOOKUP($A889,SkillEnum!$A$2:$C$1020,2,FALSE)</f>
        <v>SI_SA_LSR_ WINDWARD</v>
      </c>
      <c r="C889" s="7">
        <v>7</v>
      </c>
      <c r="D889" s="2" t="str">
        <f>VLOOKUP($C889,SkillEnum!$D$2:$E$10,2,FALSE)</f>
        <v>ST_SPECIAL_ACTIVE</v>
      </c>
      <c r="E889" s="7" t="str">
        <f>VLOOKUP($A889,SkillEnum!$A$2:$C$1020,3,FALSE)</f>
        <v>윈드 워드</v>
      </c>
      <c r="F889" s="7" t="str">
        <f t="shared" si="121"/>
        <v>시전자 전방 2M 지점에 7.5 초간 유지되는 높이 5.2M의 바람의 벽을 만든다. 바람의 벽에 닿은 유저는 바람의 벽이 사라질 때 까지 행동불능 상태가 되어 공격을 받아도 반응 할 수 없다.</v>
      </c>
      <c r="G889" s="2">
        <v>8</v>
      </c>
      <c r="H889" s="2">
        <v>1.96</v>
      </c>
      <c r="I889" s="2">
        <v>10</v>
      </c>
      <c r="J889" s="2">
        <v>200</v>
      </c>
      <c r="K889" s="2">
        <v>0</v>
      </c>
      <c r="L889" s="2">
        <v>0</v>
      </c>
      <c r="M889" s="2">
        <v>0</v>
      </c>
      <c r="N889" s="2">
        <v>0</v>
      </c>
      <c r="O889" s="2">
        <v>0</v>
      </c>
      <c r="P889" s="2" t="s">
        <v>439</v>
      </c>
      <c r="Q889" s="2" t="str">
        <f t="shared" si="120"/>
        <v>SI_SA_LSR_ WINDWARD</v>
      </c>
      <c r="R889" s="2" t="b">
        <v>0</v>
      </c>
      <c r="S889" s="2" t="b">
        <v>1</v>
      </c>
      <c r="T889" s="2">
        <v>2</v>
      </c>
      <c r="U889" s="2" t="b">
        <v>1</v>
      </c>
      <c r="V889" s="2" t="s">
        <v>262</v>
      </c>
      <c r="W889" s="2">
        <v>7.5</v>
      </c>
      <c r="X889" s="2" t="s">
        <v>264</v>
      </c>
      <c r="Y889" s="2">
        <v>1.3</v>
      </c>
    </row>
    <row r="890" spans="1:25">
      <c r="A890" s="4">
        <v>2013</v>
      </c>
      <c r="B890" s="7" t="str">
        <f>VLOOKUP($A890,SkillEnum!$A$2:$C$1020,2,FALSE)</f>
        <v>SI_SA_LSR_ WINDWARD</v>
      </c>
      <c r="C890" s="7">
        <v>7</v>
      </c>
      <c r="D890" s="2" t="str">
        <f>VLOOKUP($C890,SkillEnum!$D$2:$E$10,2,FALSE)</f>
        <v>ST_SPECIAL_ACTIVE</v>
      </c>
      <c r="E890" s="7" t="str">
        <f>VLOOKUP($A890,SkillEnum!$A$2:$C$1020,3,FALSE)</f>
        <v>윈드 워드</v>
      </c>
      <c r="F890" s="7" t="str">
        <f t="shared" si="121"/>
        <v>시전자 전방 2M 지점에 8 초간 유지되는 높이 5.6M의 바람의 벽을 만든다. 바람의 벽에 닿은 유저는 바람의 벽이 사라질 때 까지 행동불능 상태가 되어 공격을 받아도 반응 할 수 없다.</v>
      </c>
      <c r="G890" s="2">
        <v>9</v>
      </c>
      <c r="H890" s="2">
        <v>2.2400000000000002</v>
      </c>
      <c r="I890" s="2">
        <v>10</v>
      </c>
      <c r="J890" s="2">
        <v>200</v>
      </c>
      <c r="K890" s="2">
        <v>0</v>
      </c>
      <c r="L890" s="2">
        <v>0</v>
      </c>
      <c r="M890" s="2">
        <v>0</v>
      </c>
      <c r="N890" s="2">
        <v>0</v>
      </c>
      <c r="O890" s="2">
        <v>0</v>
      </c>
      <c r="P890" s="2" t="s">
        <v>439</v>
      </c>
      <c r="Q890" s="2" t="str">
        <f t="shared" si="120"/>
        <v>SI_SA_LSR_ WINDWARD</v>
      </c>
      <c r="R890" s="2" t="b">
        <v>0</v>
      </c>
      <c r="S890" s="2" t="b">
        <v>1</v>
      </c>
      <c r="T890" s="2">
        <v>2</v>
      </c>
      <c r="U890" s="2" t="b">
        <v>1</v>
      </c>
      <c r="V890" s="2" t="s">
        <v>262</v>
      </c>
      <c r="W890" s="2">
        <v>8</v>
      </c>
      <c r="X890" s="2" t="s">
        <v>264</v>
      </c>
      <c r="Y890" s="2">
        <v>1.4</v>
      </c>
    </row>
    <row r="891" spans="1:25" s="5" customFormat="1">
      <c r="A891" s="6">
        <v>2013</v>
      </c>
      <c r="B891" s="8" t="str">
        <f>VLOOKUP($A891,SkillEnum!$A$2:$C$1020,2,FALSE)</f>
        <v>SI_SA_LSR_ WINDWARD</v>
      </c>
      <c r="C891" s="8">
        <v>7</v>
      </c>
      <c r="D891" s="5" t="str">
        <f>VLOOKUP($C891,SkillEnum!$D$2:$E$10,2,FALSE)</f>
        <v>ST_SPECIAL_ACTIVE</v>
      </c>
      <c r="E891" s="8" t="str">
        <f>VLOOKUP($A891,SkillEnum!$A$2:$C$1020,3,FALSE)</f>
        <v>윈드 워드</v>
      </c>
      <c r="F891" s="8" t="str">
        <f t="shared" si="121"/>
        <v>시전자 전방 2M 지점에 8.5 초간 유지되는 높이 6M의 바람의 벽을 만든다. 바람의 벽에 닿은 유저는 바람의 벽이 사라질 때 까지 행동불능 상태가 되어 공격을 받아도 반응 할 수 없다.</v>
      </c>
      <c r="G891" s="5">
        <v>10</v>
      </c>
      <c r="H891" s="5">
        <v>2.52</v>
      </c>
      <c r="I891" s="5">
        <v>10</v>
      </c>
      <c r="J891" s="5">
        <v>200</v>
      </c>
      <c r="K891" s="5">
        <v>0</v>
      </c>
      <c r="L891" s="5">
        <v>0</v>
      </c>
      <c r="M891" s="5">
        <v>0</v>
      </c>
      <c r="N891" s="5">
        <v>0</v>
      </c>
      <c r="O891" s="5">
        <v>0</v>
      </c>
      <c r="P891" s="2" t="s">
        <v>439</v>
      </c>
      <c r="Q891" s="2" t="str">
        <f t="shared" si="120"/>
        <v>SI_SA_LSR_ WINDWARD</v>
      </c>
      <c r="R891" s="5" t="b">
        <v>0</v>
      </c>
      <c r="S891" s="2" t="b">
        <v>1</v>
      </c>
      <c r="T891" s="2">
        <v>2</v>
      </c>
      <c r="U891" s="2" t="b">
        <v>1</v>
      </c>
      <c r="V891" s="5" t="s">
        <v>262</v>
      </c>
      <c r="W891" s="5">
        <v>8.5</v>
      </c>
      <c r="X891" s="5" t="s">
        <v>264</v>
      </c>
      <c r="Y891" s="5">
        <v>1.5</v>
      </c>
    </row>
    <row r="892" spans="1:25">
      <c r="A892" s="4">
        <v>2200</v>
      </c>
      <c r="B892" s="7" t="str">
        <f>VLOOKUP($A892,SkillEnum!$A$2:$C$1020,2,FALSE)</f>
        <v>SI_A_LE_SIEGEMODE</v>
      </c>
      <c r="C892" s="7">
        <v>6</v>
      </c>
      <c r="D892" s="2" t="str">
        <f>VLOOKUP($C892,SkillEnum!$D$2:$E$10,2,FALSE)</f>
        <v>ST_ACTIVE</v>
      </c>
      <c r="E892" s="11" t="str">
        <f>VLOOKUP($A892,SkillEnum!$A$2:$C$1020,3,FALSE)</f>
        <v>시즈모드</v>
      </c>
      <c r="F892" s="11" t="str">
        <f>"그 자리에 위치를 고정하여 다수의 화살을 발사할 자세를 취한다. Z키로 1발의 화살을, X키로 3발의 화살을 발사할 수 있다."</f>
        <v>그 자리에 위치를 고정하여 다수의 화살을 발사할 자세를 취한다. Z키로 1발의 화살을, X키로 3발의 화살을 발사할 수 있다.</v>
      </c>
      <c r="G892" s="10">
        <v>1</v>
      </c>
      <c r="H892" s="2">
        <v>1</v>
      </c>
      <c r="I892" s="2">
        <v>0</v>
      </c>
      <c r="J892" s="10">
        <v>0</v>
      </c>
      <c r="K892" s="2">
        <v>0</v>
      </c>
      <c r="L892" s="2">
        <v>0</v>
      </c>
      <c r="M892" s="2">
        <v>0</v>
      </c>
      <c r="N892" s="2">
        <v>0</v>
      </c>
      <c r="O892" s="2">
        <v>0</v>
      </c>
      <c r="P892" s="2" t="s">
        <v>439</v>
      </c>
      <c r="Q892" s="2" t="str">
        <f t="shared" si="115"/>
        <v>SI_A_LE_SIEGEMODE</v>
      </c>
      <c r="R892" s="2" t="b">
        <v>0</v>
      </c>
      <c r="S892" s="2" t="b">
        <v>0</v>
      </c>
      <c r="T892" s="2">
        <v>1</v>
      </c>
    </row>
    <row r="893" spans="1:25">
      <c r="A893" s="4">
        <v>2200</v>
      </c>
      <c r="B893" s="7" t="str">
        <f>VLOOKUP($A893,SkillEnum!$A$2:$C$1020,2,FALSE)</f>
        <v>SI_A_LE_SIEGEMODE</v>
      </c>
      <c r="C893" s="7">
        <v>6</v>
      </c>
      <c r="D893" s="2" t="str">
        <f>VLOOKUP($C893,SkillEnum!$D$2:$E$10,2,FALSE)</f>
        <v>ST_ACTIVE</v>
      </c>
      <c r="E893" s="7" t="str">
        <f>VLOOKUP($A893,SkillEnum!$A$2:$C$1020,3,FALSE)</f>
        <v>시즈모드</v>
      </c>
      <c r="F893" s="7" t="str">
        <f t="shared" ref="F893:F901" si="122">"그 자리에 위치를 고정하여 다수의 화살을 발사할 자세를 취한다. Z키로 1발의 화살을, X키로 3발의 화살을 발사할 수 있다."</f>
        <v>그 자리에 위치를 고정하여 다수의 화살을 발사할 자세를 취한다. Z키로 1발의 화살을, X키로 3발의 화살을 발사할 수 있다.</v>
      </c>
      <c r="G893" s="2">
        <v>2</v>
      </c>
      <c r="H893" s="2">
        <v>1</v>
      </c>
      <c r="I893" s="2">
        <v>0</v>
      </c>
      <c r="J893" s="2">
        <v>0</v>
      </c>
      <c r="K893" s="2">
        <v>0</v>
      </c>
      <c r="L893" s="2">
        <v>0</v>
      </c>
      <c r="M893" s="2">
        <v>0</v>
      </c>
      <c r="N893" s="2">
        <v>0</v>
      </c>
      <c r="O893" s="2">
        <v>0</v>
      </c>
      <c r="P893" s="2" t="s">
        <v>439</v>
      </c>
      <c r="Q893" s="2" t="str">
        <f t="shared" si="115"/>
        <v>SI_A_LE_SIEGEMODE</v>
      </c>
      <c r="R893" s="2" t="b">
        <v>0</v>
      </c>
      <c r="S893" s="2" t="b">
        <v>0</v>
      </c>
      <c r="T893" s="2">
        <v>1</v>
      </c>
    </row>
    <row r="894" spans="1:25">
      <c r="A894" s="4">
        <v>2200</v>
      </c>
      <c r="B894" s="7" t="str">
        <f>VLOOKUP($A894,SkillEnum!$A$2:$C$1020,2,FALSE)</f>
        <v>SI_A_LE_SIEGEMODE</v>
      </c>
      <c r="C894" s="7">
        <v>6</v>
      </c>
      <c r="D894" s="2" t="str">
        <f>VLOOKUP($C894,SkillEnum!$D$2:$E$10,2,FALSE)</f>
        <v>ST_ACTIVE</v>
      </c>
      <c r="E894" s="7" t="str">
        <f>VLOOKUP($A894,SkillEnum!$A$2:$C$1020,3,FALSE)</f>
        <v>시즈모드</v>
      </c>
      <c r="F894" s="7" t="str">
        <f t="shared" si="122"/>
        <v>그 자리에 위치를 고정하여 다수의 화살을 발사할 자세를 취한다. Z키로 1발의 화살을, X키로 3발의 화살을 발사할 수 있다.</v>
      </c>
      <c r="G894" s="2">
        <v>3</v>
      </c>
      <c r="H894" s="2">
        <v>1</v>
      </c>
      <c r="I894" s="2">
        <v>0</v>
      </c>
      <c r="J894" s="2">
        <v>0</v>
      </c>
      <c r="K894" s="2">
        <v>0</v>
      </c>
      <c r="L894" s="2">
        <v>0</v>
      </c>
      <c r="M894" s="2">
        <v>0</v>
      </c>
      <c r="N894" s="2">
        <v>0</v>
      </c>
      <c r="O894" s="2">
        <v>0</v>
      </c>
      <c r="P894" s="2" t="s">
        <v>439</v>
      </c>
      <c r="Q894" s="2" t="str">
        <f t="shared" si="115"/>
        <v>SI_A_LE_SIEGEMODE</v>
      </c>
      <c r="R894" s="2" t="b">
        <v>0</v>
      </c>
      <c r="S894" s="2" t="b">
        <v>0</v>
      </c>
      <c r="T894" s="2">
        <v>1</v>
      </c>
    </row>
    <row r="895" spans="1:25">
      <c r="A895" s="4">
        <v>2200</v>
      </c>
      <c r="B895" s="7" t="str">
        <f>VLOOKUP($A895,SkillEnum!$A$2:$C$1020,2,FALSE)</f>
        <v>SI_A_LE_SIEGEMODE</v>
      </c>
      <c r="C895" s="7">
        <v>6</v>
      </c>
      <c r="D895" s="2" t="str">
        <f>VLOOKUP($C895,SkillEnum!$D$2:$E$10,2,FALSE)</f>
        <v>ST_ACTIVE</v>
      </c>
      <c r="E895" s="7" t="str">
        <f>VLOOKUP($A895,SkillEnum!$A$2:$C$1020,3,FALSE)</f>
        <v>시즈모드</v>
      </c>
      <c r="F895" s="7" t="str">
        <f t="shared" si="122"/>
        <v>그 자리에 위치를 고정하여 다수의 화살을 발사할 자세를 취한다. Z키로 1발의 화살을, X키로 3발의 화살을 발사할 수 있다.</v>
      </c>
      <c r="G895" s="2">
        <v>4</v>
      </c>
      <c r="H895" s="2">
        <v>1</v>
      </c>
      <c r="I895" s="2">
        <v>0</v>
      </c>
      <c r="J895" s="2">
        <v>0</v>
      </c>
      <c r="K895" s="2">
        <v>0</v>
      </c>
      <c r="L895" s="2">
        <v>0</v>
      </c>
      <c r="M895" s="2">
        <v>0</v>
      </c>
      <c r="N895" s="2">
        <v>0</v>
      </c>
      <c r="O895" s="2">
        <v>0</v>
      </c>
      <c r="P895" s="2" t="s">
        <v>439</v>
      </c>
      <c r="Q895" s="2" t="str">
        <f t="shared" si="115"/>
        <v>SI_A_LE_SIEGEMODE</v>
      </c>
      <c r="R895" s="2" t="b">
        <v>0</v>
      </c>
      <c r="S895" s="2" t="b">
        <v>0</v>
      </c>
      <c r="T895" s="2">
        <v>1</v>
      </c>
    </row>
    <row r="896" spans="1:25">
      <c r="A896" s="4">
        <v>2200</v>
      </c>
      <c r="B896" s="7" t="str">
        <f>VLOOKUP($A896,SkillEnum!$A$2:$C$1020,2,FALSE)</f>
        <v>SI_A_LE_SIEGEMODE</v>
      </c>
      <c r="C896" s="7">
        <v>6</v>
      </c>
      <c r="D896" s="2" t="str">
        <f>VLOOKUP($C896,SkillEnum!$D$2:$E$10,2,FALSE)</f>
        <v>ST_ACTIVE</v>
      </c>
      <c r="E896" s="7" t="str">
        <f>VLOOKUP($A896,SkillEnum!$A$2:$C$1020,3,FALSE)</f>
        <v>시즈모드</v>
      </c>
      <c r="F896" s="7" t="str">
        <f t="shared" si="122"/>
        <v>그 자리에 위치를 고정하여 다수의 화살을 발사할 자세를 취한다. Z키로 1발의 화살을, X키로 3발의 화살을 발사할 수 있다.</v>
      </c>
      <c r="G896" s="2">
        <v>5</v>
      </c>
      <c r="H896" s="2">
        <v>1</v>
      </c>
      <c r="I896" s="2">
        <v>0</v>
      </c>
      <c r="J896" s="2">
        <v>0</v>
      </c>
      <c r="K896" s="2">
        <v>0</v>
      </c>
      <c r="L896" s="2">
        <v>0</v>
      </c>
      <c r="M896" s="2">
        <v>0</v>
      </c>
      <c r="N896" s="2">
        <v>0</v>
      </c>
      <c r="O896" s="2">
        <v>0</v>
      </c>
      <c r="P896" s="2" t="s">
        <v>439</v>
      </c>
      <c r="Q896" s="2" t="str">
        <f t="shared" si="115"/>
        <v>SI_A_LE_SIEGEMODE</v>
      </c>
      <c r="R896" s="2" t="b">
        <v>0</v>
      </c>
      <c r="S896" s="2" t="b">
        <v>0</v>
      </c>
      <c r="T896" s="2">
        <v>1</v>
      </c>
    </row>
    <row r="897" spans="1:23">
      <c r="A897" s="4">
        <v>2200</v>
      </c>
      <c r="B897" s="7" t="str">
        <f>VLOOKUP($A897,SkillEnum!$A$2:$C$1020,2,FALSE)</f>
        <v>SI_A_LE_SIEGEMODE</v>
      </c>
      <c r="C897" s="7">
        <v>6</v>
      </c>
      <c r="D897" s="2" t="str">
        <f>VLOOKUP($C897,SkillEnum!$D$2:$E$10,2,FALSE)</f>
        <v>ST_ACTIVE</v>
      </c>
      <c r="E897" s="7" t="str">
        <f>VLOOKUP($A897,SkillEnum!$A$2:$C$1020,3,FALSE)</f>
        <v>시즈모드</v>
      </c>
      <c r="F897" s="7" t="str">
        <f t="shared" si="122"/>
        <v>그 자리에 위치를 고정하여 다수의 화살을 발사할 자세를 취한다. Z키로 1발의 화살을, X키로 3발의 화살을 발사할 수 있다.</v>
      </c>
      <c r="G897" s="2">
        <v>6</v>
      </c>
      <c r="H897" s="2">
        <v>1</v>
      </c>
      <c r="I897" s="2">
        <v>0</v>
      </c>
      <c r="J897" s="2">
        <v>0</v>
      </c>
      <c r="K897" s="2">
        <v>0</v>
      </c>
      <c r="L897" s="2">
        <v>0</v>
      </c>
      <c r="M897" s="2">
        <v>0</v>
      </c>
      <c r="N897" s="2">
        <v>0</v>
      </c>
      <c r="O897" s="2">
        <v>0</v>
      </c>
      <c r="P897" s="2" t="s">
        <v>439</v>
      </c>
      <c r="Q897" s="2" t="str">
        <f t="shared" si="115"/>
        <v>SI_A_LE_SIEGEMODE</v>
      </c>
      <c r="R897" s="2" t="b">
        <v>0</v>
      </c>
      <c r="S897" s="2" t="b">
        <v>0</v>
      </c>
      <c r="T897" s="2">
        <v>1</v>
      </c>
    </row>
    <row r="898" spans="1:23">
      <c r="A898" s="4">
        <v>2200</v>
      </c>
      <c r="B898" s="7" t="str">
        <f>VLOOKUP($A898,SkillEnum!$A$2:$C$1020,2,FALSE)</f>
        <v>SI_A_LE_SIEGEMODE</v>
      </c>
      <c r="C898" s="7">
        <v>6</v>
      </c>
      <c r="D898" s="2" t="str">
        <f>VLOOKUP($C898,SkillEnum!$D$2:$E$10,2,FALSE)</f>
        <v>ST_ACTIVE</v>
      </c>
      <c r="E898" s="7" t="str">
        <f>VLOOKUP($A898,SkillEnum!$A$2:$C$1020,3,FALSE)</f>
        <v>시즈모드</v>
      </c>
      <c r="F898" s="7" t="str">
        <f t="shared" si="122"/>
        <v>그 자리에 위치를 고정하여 다수의 화살을 발사할 자세를 취한다. Z키로 1발의 화살을, X키로 3발의 화살을 발사할 수 있다.</v>
      </c>
      <c r="G898" s="2">
        <v>7</v>
      </c>
      <c r="H898" s="2">
        <v>1</v>
      </c>
      <c r="I898" s="2">
        <v>0</v>
      </c>
      <c r="J898" s="2">
        <v>0</v>
      </c>
      <c r="K898" s="2">
        <v>0</v>
      </c>
      <c r="L898" s="2">
        <v>0</v>
      </c>
      <c r="M898" s="2">
        <v>0</v>
      </c>
      <c r="N898" s="2">
        <v>0</v>
      </c>
      <c r="O898" s="2">
        <v>0</v>
      </c>
      <c r="P898" s="2" t="s">
        <v>439</v>
      </c>
      <c r="Q898" s="2" t="str">
        <f t="shared" si="115"/>
        <v>SI_A_LE_SIEGEMODE</v>
      </c>
      <c r="R898" s="2" t="b">
        <v>0</v>
      </c>
      <c r="S898" s="2" t="b">
        <v>0</v>
      </c>
      <c r="T898" s="2">
        <v>1</v>
      </c>
    </row>
    <row r="899" spans="1:23">
      <c r="A899" s="4">
        <v>2200</v>
      </c>
      <c r="B899" s="7" t="str">
        <f>VLOOKUP($A899,SkillEnum!$A$2:$C$1020,2,FALSE)</f>
        <v>SI_A_LE_SIEGEMODE</v>
      </c>
      <c r="C899" s="7">
        <v>6</v>
      </c>
      <c r="D899" s="2" t="str">
        <f>VLOOKUP($C899,SkillEnum!$D$2:$E$10,2,FALSE)</f>
        <v>ST_ACTIVE</v>
      </c>
      <c r="E899" s="7" t="str">
        <f>VLOOKUP($A899,SkillEnum!$A$2:$C$1020,3,FALSE)</f>
        <v>시즈모드</v>
      </c>
      <c r="F899" s="7" t="str">
        <f t="shared" si="122"/>
        <v>그 자리에 위치를 고정하여 다수의 화살을 발사할 자세를 취한다. Z키로 1발의 화살을, X키로 3발의 화살을 발사할 수 있다.</v>
      </c>
      <c r="G899" s="2">
        <v>8</v>
      </c>
      <c r="H899" s="2">
        <v>1</v>
      </c>
      <c r="I899" s="2">
        <v>0</v>
      </c>
      <c r="J899" s="2">
        <v>0</v>
      </c>
      <c r="K899" s="2">
        <v>0</v>
      </c>
      <c r="L899" s="2">
        <v>0</v>
      </c>
      <c r="M899" s="2">
        <v>0</v>
      </c>
      <c r="N899" s="2">
        <v>0</v>
      </c>
      <c r="O899" s="2">
        <v>0</v>
      </c>
      <c r="P899" s="2" t="s">
        <v>439</v>
      </c>
      <c r="Q899" s="2" t="str">
        <f t="shared" si="115"/>
        <v>SI_A_LE_SIEGEMODE</v>
      </c>
      <c r="R899" s="2" t="b">
        <v>0</v>
      </c>
      <c r="S899" s="2" t="b">
        <v>0</v>
      </c>
      <c r="T899" s="2">
        <v>1</v>
      </c>
    </row>
    <row r="900" spans="1:23">
      <c r="A900" s="4">
        <v>2200</v>
      </c>
      <c r="B900" s="7" t="str">
        <f>VLOOKUP($A900,SkillEnum!$A$2:$C$1020,2,FALSE)</f>
        <v>SI_A_LE_SIEGEMODE</v>
      </c>
      <c r="C900" s="7">
        <v>6</v>
      </c>
      <c r="D900" s="2" t="str">
        <f>VLOOKUP($C900,SkillEnum!$D$2:$E$10,2,FALSE)</f>
        <v>ST_ACTIVE</v>
      </c>
      <c r="E900" s="7" t="str">
        <f>VLOOKUP($A900,SkillEnum!$A$2:$C$1020,3,FALSE)</f>
        <v>시즈모드</v>
      </c>
      <c r="F900" s="7" t="str">
        <f t="shared" si="122"/>
        <v>그 자리에 위치를 고정하여 다수의 화살을 발사할 자세를 취한다. Z키로 1발의 화살을, X키로 3발의 화살을 발사할 수 있다.</v>
      </c>
      <c r="G900" s="2">
        <v>9</v>
      </c>
      <c r="H900" s="2">
        <v>1</v>
      </c>
      <c r="I900" s="2">
        <v>0</v>
      </c>
      <c r="J900" s="2">
        <v>0</v>
      </c>
      <c r="K900" s="2">
        <v>0</v>
      </c>
      <c r="L900" s="2">
        <v>0</v>
      </c>
      <c r="M900" s="2">
        <v>0</v>
      </c>
      <c r="N900" s="2">
        <v>0</v>
      </c>
      <c r="O900" s="2">
        <v>0</v>
      </c>
      <c r="P900" s="2" t="s">
        <v>439</v>
      </c>
      <c r="Q900" s="2" t="str">
        <f t="shared" si="115"/>
        <v>SI_A_LE_SIEGEMODE</v>
      </c>
      <c r="R900" s="2" t="b">
        <v>0</v>
      </c>
      <c r="S900" s="2" t="b">
        <v>0</v>
      </c>
      <c r="T900" s="2">
        <v>1</v>
      </c>
    </row>
    <row r="901" spans="1:23" s="5" customFormat="1">
      <c r="A901" s="6">
        <v>2200</v>
      </c>
      <c r="B901" s="8" t="str">
        <f>VLOOKUP($A901,SkillEnum!$A$2:$C$1020,2,FALSE)</f>
        <v>SI_A_LE_SIEGEMODE</v>
      </c>
      <c r="C901" s="8">
        <v>6</v>
      </c>
      <c r="D901" s="5" t="str">
        <f>VLOOKUP($C901,SkillEnum!$D$2:$E$10,2,FALSE)</f>
        <v>ST_ACTIVE</v>
      </c>
      <c r="E901" s="8" t="str">
        <f>VLOOKUP($A901,SkillEnum!$A$2:$C$1020,3,FALSE)</f>
        <v>시즈모드</v>
      </c>
      <c r="F901" s="8" t="str">
        <f t="shared" si="122"/>
        <v>그 자리에 위치를 고정하여 다수의 화살을 발사할 자세를 취한다. Z키로 1발의 화살을, X키로 3발의 화살을 발사할 수 있다.</v>
      </c>
      <c r="G901" s="5">
        <v>10</v>
      </c>
      <c r="H901" s="5">
        <v>1</v>
      </c>
      <c r="I901" s="5">
        <v>0</v>
      </c>
      <c r="J901" s="5">
        <v>0</v>
      </c>
      <c r="K901" s="5">
        <v>0</v>
      </c>
      <c r="L901" s="5">
        <v>0</v>
      </c>
      <c r="M901" s="5">
        <v>0</v>
      </c>
      <c r="N901" s="5">
        <v>0</v>
      </c>
      <c r="O901" s="5">
        <v>0</v>
      </c>
      <c r="P901" s="2" t="s">
        <v>439</v>
      </c>
      <c r="Q901" s="2" t="str">
        <f t="shared" si="115"/>
        <v>SI_A_LE_SIEGEMODE</v>
      </c>
      <c r="R901" s="5" t="b">
        <v>0</v>
      </c>
      <c r="S901" s="2" t="b">
        <v>0</v>
      </c>
      <c r="T901" s="2">
        <v>1</v>
      </c>
      <c r="U901" s="2"/>
    </row>
    <row r="902" spans="1:23" s="10" customFormat="1">
      <c r="A902" s="9">
        <v>2201</v>
      </c>
      <c r="B902" s="11" t="str">
        <f>VLOOKUP($A902,SkillEnum!$A$2:$C$1020,2,FALSE)</f>
        <v>SI_A_LE_BACKJUMP_SHOT</v>
      </c>
      <c r="C902" s="11">
        <v>6</v>
      </c>
      <c r="D902" s="10" t="str">
        <f>VLOOKUP($C902,SkillEnum!$D$2:$E$10,2,FALSE)</f>
        <v>ST_ACTIVE</v>
      </c>
      <c r="E902" s="36" t="str">
        <f>VLOOKUP($A902,SkillEnum!$A$2:$C$1020,3,FALSE)</f>
        <v>백덤블링 샷</v>
      </c>
      <c r="F902" s="11" t="str">
        <f>"시전즉시 뒤로 점프하여 45도 하단으로 마법공격력의 "&amp;2*H902*100&amp;" % 데미지를 가진 화살을 "&amp;W902&amp;" 개 발사 한다."</f>
        <v>시전즉시 뒤로 점프하여 45도 하단으로 마법공격력의 200 % 데미지를 가진 화살을 1 개 발사 한다.</v>
      </c>
      <c r="G902" s="10">
        <v>1</v>
      </c>
      <c r="H902" s="2">
        <v>1</v>
      </c>
      <c r="I902" s="2">
        <v>5</v>
      </c>
      <c r="J902" s="10">
        <v>20</v>
      </c>
      <c r="K902" s="2">
        <v>0</v>
      </c>
      <c r="L902" s="2">
        <v>0</v>
      </c>
      <c r="M902" s="2">
        <v>0</v>
      </c>
      <c r="N902" s="2">
        <v>0</v>
      </c>
      <c r="O902" s="2">
        <v>0</v>
      </c>
      <c r="P902" s="2" t="s">
        <v>439</v>
      </c>
      <c r="Q902" s="2" t="str">
        <f t="shared" si="115"/>
        <v>SI_A_LE_BACKJUMP_SHOT</v>
      </c>
      <c r="R902" s="2" t="b">
        <v>0</v>
      </c>
      <c r="S902" s="2" t="b">
        <v>1</v>
      </c>
      <c r="T902" s="2">
        <v>1</v>
      </c>
      <c r="U902" s="2"/>
      <c r="V902" s="10" t="s">
        <v>252</v>
      </c>
      <c r="W902" s="10">
        <v>1</v>
      </c>
    </row>
    <row r="903" spans="1:23">
      <c r="A903" s="4">
        <v>2201</v>
      </c>
      <c r="B903" s="7" t="str">
        <f>VLOOKUP($A903,SkillEnum!$A$2:$C$1020,2,FALSE)</f>
        <v>SI_A_LE_BACKJUMP_SHOT</v>
      </c>
      <c r="C903" s="7">
        <v>6</v>
      </c>
      <c r="D903" s="2" t="str">
        <f>VLOOKUP($C903,SkillEnum!$D$2:$E$10,2,FALSE)</f>
        <v>ST_ACTIVE</v>
      </c>
      <c r="E903" s="37" t="str">
        <f>VLOOKUP($A903,SkillEnum!$A$2:$C$1020,3,FALSE)</f>
        <v>백덤블링 샷</v>
      </c>
      <c r="F903" s="7" t="str">
        <f t="shared" ref="F903:F911" si="123">"시전즉시 뒤로 점프하여 45도 하단으로 마법공격력의 "&amp;2*H903*100&amp;" % 데미지를 가진 화살을 "&amp;W903&amp;" 개 발사 한다."</f>
        <v>시전즉시 뒤로 점프하여 45도 하단으로 마법공격력의 200 % 데미지를 가진 화살을 2 개 발사 한다.</v>
      </c>
      <c r="G903" s="2">
        <v>2</v>
      </c>
      <c r="H903" s="2">
        <v>1</v>
      </c>
      <c r="I903" s="2">
        <v>5</v>
      </c>
      <c r="J903" s="2">
        <v>20</v>
      </c>
      <c r="K903" s="2">
        <v>0</v>
      </c>
      <c r="L903" s="2">
        <v>0</v>
      </c>
      <c r="M903" s="2">
        <v>0</v>
      </c>
      <c r="N903" s="2">
        <v>0</v>
      </c>
      <c r="O903" s="2">
        <v>0</v>
      </c>
      <c r="P903" s="2" t="s">
        <v>439</v>
      </c>
      <c r="Q903" s="2" t="str">
        <f t="shared" si="115"/>
        <v>SI_A_LE_BACKJUMP_SHOT</v>
      </c>
      <c r="R903" s="2" t="b">
        <v>0</v>
      </c>
      <c r="S903" s="2" t="b">
        <v>1</v>
      </c>
      <c r="T903" s="2">
        <v>1</v>
      </c>
      <c r="V903" s="2" t="s">
        <v>252</v>
      </c>
      <c r="W903" s="2">
        <v>2</v>
      </c>
    </row>
    <row r="904" spans="1:23">
      <c r="A904" s="4">
        <v>2201</v>
      </c>
      <c r="B904" s="7" t="str">
        <f>VLOOKUP($A904,SkillEnum!$A$2:$C$1020,2,FALSE)</f>
        <v>SI_A_LE_BACKJUMP_SHOT</v>
      </c>
      <c r="C904" s="7">
        <v>6</v>
      </c>
      <c r="D904" s="2" t="str">
        <f>VLOOKUP($C904,SkillEnum!$D$2:$E$10,2,FALSE)</f>
        <v>ST_ACTIVE</v>
      </c>
      <c r="E904" s="37" t="str">
        <f>VLOOKUP($A904,SkillEnum!$A$2:$C$1020,3,FALSE)</f>
        <v>백덤블링 샷</v>
      </c>
      <c r="F904" s="7" t="str">
        <f t="shared" si="123"/>
        <v>시전즉시 뒤로 점프하여 45도 하단으로 마법공격력의 200 % 데미지를 가진 화살을 3 개 발사 한다.</v>
      </c>
      <c r="G904" s="2">
        <v>3</v>
      </c>
      <c r="H904" s="2">
        <v>1</v>
      </c>
      <c r="I904" s="2">
        <v>5</v>
      </c>
      <c r="J904" s="2">
        <v>20</v>
      </c>
      <c r="K904" s="2">
        <v>0</v>
      </c>
      <c r="L904" s="2">
        <v>0</v>
      </c>
      <c r="M904" s="2">
        <v>0</v>
      </c>
      <c r="N904" s="2">
        <v>0</v>
      </c>
      <c r="O904" s="2">
        <v>0</v>
      </c>
      <c r="P904" s="2" t="s">
        <v>439</v>
      </c>
      <c r="Q904" s="2" t="str">
        <f t="shared" si="115"/>
        <v>SI_A_LE_BACKJUMP_SHOT</v>
      </c>
      <c r="R904" s="2" t="b">
        <v>0</v>
      </c>
      <c r="S904" s="2" t="b">
        <v>1</v>
      </c>
      <c r="T904" s="2">
        <v>1</v>
      </c>
      <c r="V904" s="2" t="s">
        <v>252</v>
      </c>
      <c r="W904" s="2">
        <v>3</v>
      </c>
    </row>
    <row r="905" spans="1:23">
      <c r="A905" s="4">
        <v>2201</v>
      </c>
      <c r="B905" s="7" t="str">
        <f>VLOOKUP($A905,SkillEnum!$A$2:$C$1020,2,FALSE)</f>
        <v>SI_A_LE_BACKJUMP_SHOT</v>
      </c>
      <c r="C905" s="7">
        <v>6</v>
      </c>
      <c r="D905" s="2" t="str">
        <f>VLOOKUP($C905,SkillEnum!$D$2:$E$10,2,FALSE)</f>
        <v>ST_ACTIVE</v>
      </c>
      <c r="E905" s="37" t="str">
        <f>VLOOKUP($A905,SkillEnum!$A$2:$C$1020,3,FALSE)</f>
        <v>백덤블링 샷</v>
      </c>
      <c r="F905" s="7" t="str">
        <f t="shared" si="123"/>
        <v>시전즉시 뒤로 점프하여 45도 하단으로 마법공격력의 210 % 데미지를 가진 화살을 3 개 발사 한다.</v>
      </c>
      <c r="G905" s="2">
        <v>4</v>
      </c>
      <c r="H905" s="2">
        <v>1.05</v>
      </c>
      <c r="I905" s="2">
        <v>5</v>
      </c>
      <c r="J905" s="2">
        <v>20</v>
      </c>
      <c r="K905" s="2">
        <v>0</v>
      </c>
      <c r="L905" s="2">
        <v>0</v>
      </c>
      <c r="M905" s="2">
        <v>0</v>
      </c>
      <c r="N905" s="2">
        <v>0</v>
      </c>
      <c r="O905" s="2">
        <v>0</v>
      </c>
      <c r="P905" s="2" t="s">
        <v>439</v>
      </c>
      <c r="Q905" s="2" t="str">
        <f t="shared" si="115"/>
        <v>SI_A_LE_BACKJUMP_SHOT</v>
      </c>
      <c r="R905" s="2" t="b">
        <v>0</v>
      </c>
      <c r="S905" s="2" t="b">
        <v>1</v>
      </c>
      <c r="T905" s="2">
        <v>1</v>
      </c>
      <c r="V905" s="2" t="s">
        <v>252</v>
      </c>
      <c r="W905" s="2">
        <v>3</v>
      </c>
    </row>
    <row r="906" spans="1:23">
      <c r="A906" s="4">
        <v>2201</v>
      </c>
      <c r="B906" s="7" t="str">
        <f>VLOOKUP($A906,SkillEnum!$A$2:$C$1020,2,FALSE)</f>
        <v>SI_A_LE_BACKJUMP_SHOT</v>
      </c>
      <c r="C906" s="7">
        <v>6</v>
      </c>
      <c r="D906" s="2" t="str">
        <f>VLOOKUP($C906,SkillEnum!$D$2:$E$10,2,FALSE)</f>
        <v>ST_ACTIVE</v>
      </c>
      <c r="E906" s="37" t="str">
        <f>VLOOKUP($A906,SkillEnum!$A$2:$C$1020,3,FALSE)</f>
        <v>백덤블링 샷</v>
      </c>
      <c r="F906" s="7" t="str">
        <f t="shared" si="123"/>
        <v>시전즉시 뒤로 점프하여 45도 하단으로 마법공격력의 220 % 데미지를 가진 화살을 3 개 발사 한다.</v>
      </c>
      <c r="G906" s="2">
        <v>5</v>
      </c>
      <c r="H906" s="2">
        <v>1.1000000000000001</v>
      </c>
      <c r="I906" s="2">
        <v>5</v>
      </c>
      <c r="J906" s="2">
        <v>20</v>
      </c>
      <c r="K906" s="2">
        <v>0</v>
      </c>
      <c r="L906" s="2">
        <v>0</v>
      </c>
      <c r="M906" s="2">
        <v>0</v>
      </c>
      <c r="N906" s="2">
        <v>0</v>
      </c>
      <c r="O906" s="2">
        <v>0</v>
      </c>
      <c r="P906" s="2" t="s">
        <v>439</v>
      </c>
      <c r="Q906" s="2" t="str">
        <f t="shared" si="115"/>
        <v>SI_A_LE_BACKJUMP_SHOT</v>
      </c>
      <c r="R906" s="2" t="b">
        <v>0</v>
      </c>
      <c r="S906" s="2" t="b">
        <v>1</v>
      </c>
      <c r="T906" s="2">
        <v>1</v>
      </c>
      <c r="V906" s="2" t="s">
        <v>252</v>
      </c>
      <c r="W906" s="2">
        <v>3</v>
      </c>
    </row>
    <row r="907" spans="1:23">
      <c r="A907" s="4">
        <v>2201</v>
      </c>
      <c r="B907" s="7" t="str">
        <f>VLOOKUP($A907,SkillEnum!$A$2:$C$1020,2,FALSE)</f>
        <v>SI_A_LE_BACKJUMP_SHOT</v>
      </c>
      <c r="C907" s="7">
        <v>6</v>
      </c>
      <c r="D907" s="2" t="str">
        <f>VLOOKUP($C907,SkillEnum!$D$2:$E$10,2,FALSE)</f>
        <v>ST_ACTIVE</v>
      </c>
      <c r="E907" s="37" t="str">
        <f>VLOOKUP($A907,SkillEnum!$A$2:$C$1020,3,FALSE)</f>
        <v>백덤블링 샷</v>
      </c>
      <c r="F907" s="7" t="str">
        <f t="shared" si="123"/>
        <v>시전즉시 뒤로 점프하여 45도 하단으로 마법공격력의 230 % 데미지를 가진 화살을 3 개 발사 한다.</v>
      </c>
      <c r="G907" s="2">
        <v>6</v>
      </c>
      <c r="H907" s="2">
        <v>1.1499999999999999</v>
      </c>
      <c r="I907" s="2">
        <v>5</v>
      </c>
      <c r="J907" s="2">
        <v>20</v>
      </c>
      <c r="K907" s="2">
        <v>0</v>
      </c>
      <c r="L907" s="2">
        <v>0</v>
      </c>
      <c r="M907" s="2">
        <v>0</v>
      </c>
      <c r="N907" s="2">
        <v>0</v>
      </c>
      <c r="O907" s="2">
        <v>0</v>
      </c>
      <c r="P907" s="2" t="s">
        <v>439</v>
      </c>
      <c r="Q907" s="2" t="str">
        <f t="shared" si="115"/>
        <v>SI_A_LE_BACKJUMP_SHOT</v>
      </c>
      <c r="R907" s="2" t="b">
        <v>0</v>
      </c>
      <c r="S907" s="2" t="b">
        <v>1</v>
      </c>
      <c r="T907" s="2">
        <v>1</v>
      </c>
      <c r="V907" s="2" t="s">
        <v>252</v>
      </c>
      <c r="W907" s="2">
        <v>3</v>
      </c>
    </row>
    <row r="908" spans="1:23">
      <c r="A908" s="4">
        <v>2201</v>
      </c>
      <c r="B908" s="7" t="str">
        <f>VLOOKUP($A908,SkillEnum!$A$2:$C$1020,2,FALSE)</f>
        <v>SI_A_LE_BACKJUMP_SHOT</v>
      </c>
      <c r="C908" s="7">
        <v>6</v>
      </c>
      <c r="D908" s="2" t="str">
        <f>VLOOKUP($C908,SkillEnum!$D$2:$E$10,2,FALSE)</f>
        <v>ST_ACTIVE</v>
      </c>
      <c r="E908" s="37" t="str">
        <f>VLOOKUP($A908,SkillEnum!$A$2:$C$1020,3,FALSE)</f>
        <v>백덤블링 샷</v>
      </c>
      <c r="F908" s="7" t="str">
        <f t="shared" si="123"/>
        <v>시전즉시 뒤로 점프하여 45도 하단으로 마법공격력의 240 % 데미지를 가진 화살을 3 개 발사 한다.</v>
      </c>
      <c r="G908" s="2">
        <v>7</v>
      </c>
      <c r="H908" s="2">
        <v>1.2</v>
      </c>
      <c r="I908" s="2">
        <v>5</v>
      </c>
      <c r="J908" s="2">
        <v>20</v>
      </c>
      <c r="K908" s="2">
        <v>0</v>
      </c>
      <c r="L908" s="2">
        <v>0</v>
      </c>
      <c r="M908" s="2">
        <v>0</v>
      </c>
      <c r="N908" s="2">
        <v>0</v>
      </c>
      <c r="O908" s="2">
        <v>0</v>
      </c>
      <c r="P908" s="2" t="s">
        <v>439</v>
      </c>
      <c r="Q908" s="2" t="str">
        <f t="shared" si="115"/>
        <v>SI_A_LE_BACKJUMP_SHOT</v>
      </c>
      <c r="R908" s="2" t="b">
        <v>0</v>
      </c>
      <c r="S908" s="2" t="b">
        <v>1</v>
      </c>
      <c r="T908" s="2">
        <v>1</v>
      </c>
      <c r="V908" s="2" t="s">
        <v>252</v>
      </c>
      <c r="W908" s="2">
        <v>3</v>
      </c>
    </row>
    <row r="909" spans="1:23">
      <c r="A909" s="4">
        <v>2201</v>
      </c>
      <c r="B909" s="7" t="str">
        <f>VLOOKUP($A909,SkillEnum!$A$2:$C$1020,2,FALSE)</f>
        <v>SI_A_LE_BACKJUMP_SHOT</v>
      </c>
      <c r="C909" s="7">
        <v>6</v>
      </c>
      <c r="D909" s="2" t="str">
        <f>VLOOKUP($C909,SkillEnum!$D$2:$E$10,2,FALSE)</f>
        <v>ST_ACTIVE</v>
      </c>
      <c r="E909" s="37" t="str">
        <f>VLOOKUP($A909,SkillEnum!$A$2:$C$1020,3,FALSE)</f>
        <v>백덤블링 샷</v>
      </c>
      <c r="F909" s="7" t="str">
        <f t="shared" si="123"/>
        <v>시전즉시 뒤로 점프하여 45도 하단으로 마법공격력의 250 % 데미지를 가진 화살을 3 개 발사 한다.</v>
      </c>
      <c r="G909" s="2">
        <v>8</v>
      </c>
      <c r="H909" s="2">
        <v>1.25</v>
      </c>
      <c r="I909" s="2">
        <v>5</v>
      </c>
      <c r="J909" s="2">
        <v>20</v>
      </c>
      <c r="K909" s="2">
        <v>0</v>
      </c>
      <c r="L909" s="2">
        <v>0</v>
      </c>
      <c r="M909" s="2">
        <v>0</v>
      </c>
      <c r="N909" s="2">
        <v>0</v>
      </c>
      <c r="O909" s="2">
        <v>0</v>
      </c>
      <c r="P909" s="2" t="s">
        <v>439</v>
      </c>
      <c r="Q909" s="2" t="str">
        <f t="shared" si="115"/>
        <v>SI_A_LE_BACKJUMP_SHOT</v>
      </c>
      <c r="R909" s="2" t="b">
        <v>0</v>
      </c>
      <c r="S909" s="2" t="b">
        <v>1</v>
      </c>
      <c r="T909" s="2">
        <v>1</v>
      </c>
      <c r="V909" s="2" t="s">
        <v>252</v>
      </c>
      <c r="W909" s="2">
        <v>3</v>
      </c>
    </row>
    <row r="910" spans="1:23">
      <c r="A910" s="4">
        <v>2201</v>
      </c>
      <c r="B910" s="7" t="str">
        <f>VLOOKUP($A910,SkillEnum!$A$2:$C$1020,2,FALSE)</f>
        <v>SI_A_LE_BACKJUMP_SHOT</v>
      </c>
      <c r="C910" s="7">
        <v>6</v>
      </c>
      <c r="D910" s="2" t="str">
        <f>VLOOKUP($C910,SkillEnum!$D$2:$E$10,2,FALSE)</f>
        <v>ST_ACTIVE</v>
      </c>
      <c r="E910" s="37" t="str">
        <f>VLOOKUP($A910,SkillEnum!$A$2:$C$1020,3,FALSE)</f>
        <v>백덤블링 샷</v>
      </c>
      <c r="F910" s="7" t="str">
        <f t="shared" si="123"/>
        <v>시전즉시 뒤로 점프하여 45도 하단으로 마법공격력의 260 % 데미지를 가진 화살을 3 개 발사 한다.</v>
      </c>
      <c r="G910" s="2">
        <v>9</v>
      </c>
      <c r="H910" s="2">
        <v>1.3</v>
      </c>
      <c r="I910" s="2">
        <v>5</v>
      </c>
      <c r="J910" s="2">
        <v>20</v>
      </c>
      <c r="K910" s="2">
        <v>0</v>
      </c>
      <c r="L910" s="2">
        <v>0</v>
      </c>
      <c r="M910" s="2">
        <v>0</v>
      </c>
      <c r="N910" s="2">
        <v>0</v>
      </c>
      <c r="O910" s="2">
        <v>0</v>
      </c>
      <c r="P910" s="2" t="s">
        <v>439</v>
      </c>
      <c r="Q910" s="2" t="str">
        <f t="shared" si="115"/>
        <v>SI_A_LE_BACKJUMP_SHOT</v>
      </c>
      <c r="R910" s="2" t="b">
        <v>0</v>
      </c>
      <c r="S910" s="2" t="b">
        <v>1</v>
      </c>
      <c r="T910" s="2">
        <v>1</v>
      </c>
      <c r="V910" s="2" t="s">
        <v>252</v>
      </c>
      <c r="W910" s="2">
        <v>3</v>
      </c>
    </row>
    <row r="911" spans="1:23" s="5" customFormat="1">
      <c r="A911" s="6">
        <v>2201</v>
      </c>
      <c r="B911" s="8" t="str">
        <f>VLOOKUP($A911,SkillEnum!$A$2:$C$1020,2,FALSE)</f>
        <v>SI_A_LE_BACKJUMP_SHOT</v>
      </c>
      <c r="C911" s="8">
        <v>6</v>
      </c>
      <c r="D911" s="5" t="str">
        <f>VLOOKUP($C911,SkillEnum!$D$2:$E$10,2,FALSE)</f>
        <v>ST_ACTIVE</v>
      </c>
      <c r="E911" s="38" t="str">
        <f>VLOOKUP($A911,SkillEnum!$A$2:$C$1020,3,FALSE)</f>
        <v>백덤블링 샷</v>
      </c>
      <c r="F911" s="8" t="str">
        <f t="shared" si="123"/>
        <v>시전즉시 뒤로 점프하여 45도 하단으로 마법공격력의 270 % 데미지를 가진 화살을 3 개 발사 한다.</v>
      </c>
      <c r="G911" s="5">
        <v>10</v>
      </c>
      <c r="H911" s="5">
        <v>1.35</v>
      </c>
      <c r="I911" s="5">
        <v>5</v>
      </c>
      <c r="J911" s="5">
        <v>20</v>
      </c>
      <c r="K911" s="5">
        <v>0</v>
      </c>
      <c r="L911" s="5">
        <v>0</v>
      </c>
      <c r="M911" s="5">
        <v>0</v>
      </c>
      <c r="N911" s="5">
        <v>0</v>
      </c>
      <c r="O911" s="5">
        <v>0</v>
      </c>
      <c r="P911" s="2" t="s">
        <v>439</v>
      </c>
      <c r="Q911" s="2" t="str">
        <f t="shared" si="115"/>
        <v>SI_A_LE_BACKJUMP_SHOT</v>
      </c>
      <c r="R911" s="5" t="b">
        <v>0</v>
      </c>
      <c r="S911" s="2" t="b">
        <v>1</v>
      </c>
      <c r="T911" s="2">
        <v>1</v>
      </c>
      <c r="U911" s="2"/>
      <c r="V911" s="5" t="s">
        <v>252</v>
      </c>
      <c r="W911" s="5">
        <v>3</v>
      </c>
    </row>
    <row r="912" spans="1:23" s="10" customFormat="1">
      <c r="A912" s="9">
        <v>2202</v>
      </c>
      <c r="B912" s="11" t="str">
        <f>VLOOKUP($A912,SkillEnum!$A$2:$C$1020,2,FALSE)</f>
        <v>SI_A_LE_REFLEX_MAGIC</v>
      </c>
      <c r="C912" s="11">
        <v>6</v>
      </c>
      <c r="D912" s="10" t="str">
        <f>VLOOKUP($C912,SkillEnum!$D$2:$E$10,2,FALSE)</f>
        <v>ST_ACTIVE</v>
      </c>
      <c r="E912" s="11" t="str">
        <f>VLOOKUP($A912,SkillEnum!$A$2:$C$1020,3,FALSE)</f>
        <v>리플렉트 킥</v>
      </c>
      <c r="F912" s="7" t="str">
        <f>"올려차는 풍압으로 물리공격력의 "&amp;ROUND(H912*100,0)&amp;" % 의 데미지를 입히고, 마법 발사체를 "&amp;ROUND(H912*100,0)&amp;" % 공격력으로 반사 시킨다."</f>
        <v>올려차는 풍압으로 물리공격력의 200 % 의 데미지를 입히고, 마법 발사체를 200 % 공격력으로 반사 시킨다.</v>
      </c>
      <c r="G912" s="10">
        <v>1</v>
      </c>
      <c r="H912" s="10">
        <v>2</v>
      </c>
      <c r="I912" s="2">
        <v>5</v>
      </c>
      <c r="J912" s="10">
        <v>30</v>
      </c>
      <c r="K912" s="2">
        <v>0</v>
      </c>
      <c r="L912" s="2">
        <v>0</v>
      </c>
      <c r="M912" s="2">
        <v>0</v>
      </c>
      <c r="N912" s="2">
        <v>0</v>
      </c>
      <c r="O912" s="2">
        <v>0</v>
      </c>
      <c r="P912" s="2" t="s">
        <v>439</v>
      </c>
      <c r="Q912" s="2" t="str">
        <f t="shared" si="115"/>
        <v>SI_A_LE_REFLEX_MAGIC</v>
      </c>
      <c r="R912" s="2" t="b">
        <v>0</v>
      </c>
      <c r="S912" s="2" t="b">
        <v>1</v>
      </c>
      <c r="T912" s="2">
        <v>1</v>
      </c>
      <c r="U912" s="2"/>
    </row>
    <row r="913" spans="1:23">
      <c r="A913" s="4">
        <v>2202</v>
      </c>
      <c r="B913" s="7" t="str">
        <f>VLOOKUP($A913,SkillEnum!$A$2:$C$1020,2,FALSE)</f>
        <v>SI_A_LE_REFLEX_MAGIC</v>
      </c>
      <c r="C913" s="7">
        <v>6</v>
      </c>
      <c r="D913" s="2" t="str">
        <f>VLOOKUP($C913,SkillEnum!$D$2:$E$10,2,FALSE)</f>
        <v>ST_ACTIVE</v>
      </c>
      <c r="E913" s="7" t="str">
        <f>VLOOKUP($A913,SkillEnum!$A$2:$C$1020,3,FALSE)</f>
        <v>리플렉트 킥</v>
      </c>
      <c r="F913" s="7" t="str">
        <f t="shared" ref="F913:F921" si="124">"올려차는 풍압으로 물리공격력의 "&amp;ROUND(H913*100,0)&amp;" % 의 데미지를 입히고, 마법 발사체를 "&amp;ROUND(H913*100,0)&amp;" % 공격력으로 반사 시킨다."</f>
        <v>올려차는 풍압으로 물리공격력의 250 % 의 데미지를 입히고, 마법 발사체를 250 % 공격력으로 반사 시킨다.</v>
      </c>
      <c r="G913" s="2">
        <v>2</v>
      </c>
      <c r="H913" s="2">
        <v>2.5</v>
      </c>
      <c r="I913" s="2">
        <v>5</v>
      </c>
      <c r="J913" s="2">
        <v>30</v>
      </c>
      <c r="K913" s="2">
        <v>0</v>
      </c>
      <c r="L913" s="2">
        <v>0</v>
      </c>
      <c r="M913" s="2">
        <v>0</v>
      </c>
      <c r="N913" s="2">
        <v>0</v>
      </c>
      <c r="O913" s="2">
        <v>0</v>
      </c>
      <c r="P913" s="2" t="s">
        <v>439</v>
      </c>
      <c r="Q913" s="2" t="str">
        <f t="shared" si="115"/>
        <v>SI_A_LE_REFLEX_MAGIC</v>
      </c>
      <c r="R913" s="2" t="b">
        <v>0</v>
      </c>
      <c r="S913" s="2" t="b">
        <v>1</v>
      </c>
      <c r="T913" s="2">
        <v>1</v>
      </c>
    </row>
    <row r="914" spans="1:23">
      <c r="A914" s="4">
        <v>2202</v>
      </c>
      <c r="B914" s="7" t="str">
        <f>VLOOKUP($A914,SkillEnum!$A$2:$C$1020,2,FALSE)</f>
        <v>SI_A_LE_REFLEX_MAGIC</v>
      </c>
      <c r="C914" s="7">
        <v>6</v>
      </c>
      <c r="D914" s="2" t="str">
        <f>VLOOKUP($C914,SkillEnum!$D$2:$E$10,2,FALSE)</f>
        <v>ST_ACTIVE</v>
      </c>
      <c r="E914" s="7" t="str">
        <f>VLOOKUP($A914,SkillEnum!$A$2:$C$1020,3,FALSE)</f>
        <v>리플렉트 킥</v>
      </c>
      <c r="F914" s="7" t="str">
        <f t="shared" si="124"/>
        <v>올려차는 풍압으로 물리공격력의 300 % 의 데미지를 입히고, 마법 발사체를 300 % 공격력으로 반사 시킨다.</v>
      </c>
      <c r="G914" s="2">
        <v>3</v>
      </c>
      <c r="H914" s="2">
        <v>3</v>
      </c>
      <c r="I914" s="2">
        <v>5</v>
      </c>
      <c r="J914" s="2">
        <v>30</v>
      </c>
      <c r="K914" s="2">
        <v>0</v>
      </c>
      <c r="L914" s="2">
        <v>0</v>
      </c>
      <c r="M914" s="2">
        <v>0</v>
      </c>
      <c r="N914" s="2">
        <v>0</v>
      </c>
      <c r="O914" s="2">
        <v>0</v>
      </c>
      <c r="P914" s="2" t="s">
        <v>439</v>
      </c>
      <c r="Q914" s="2" t="str">
        <f t="shared" si="115"/>
        <v>SI_A_LE_REFLEX_MAGIC</v>
      </c>
      <c r="R914" s="2" t="b">
        <v>0</v>
      </c>
      <c r="S914" s="2" t="b">
        <v>1</v>
      </c>
      <c r="T914" s="2">
        <v>1</v>
      </c>
    </row>
    <row r="915" spans="1:23">
      <c r="A915" s="4">
        <v>2202</v>
      </c>
      <c r="B915" s="7" t="str">
        <f>VLOOKUP($A915,SkillEnum!$A$2:$C$1020,2,FALSE)</f>
        <v>SI_A_LE_REFLEX_MAGIC</v>
      </c>
      <c r="C915" s="7">
        <v>6</v>
      </c>
      <c r="D915" s="2" t="str">
        <f>VLOOKUP($C915,SkillEnum!$D$2:$E$10,2,FALSE)</f>
        <v>ST_ACTIVE</v>
      </c>
      <c r="E915" s="7" t="str">
        <f>VLOOKUP($A915,SkillEnum!$A$2:$C$1020,3,FALSE)</f>
        <v>리플렉트 킥</v>
      </c>
      <c r="F915" s="7" t="str">
        <f t="shared" si="124"/>
        <v>올려차는 풍압으로 물리공격력의 350 % 의 데미지를 입히고, 마법 발사체를 350 % 공격력으로 반사 시킨다.</v>
      </c>
      <c r="G915" s="2">
        <v>4</v>
      </c>
      <c r="H915" s="2">
        <v>3.5</v>
      </c>
      <c r="I915" s="2">
        <v>5</v>
      </c>
      <c r="J915" s="2">
        <v>30</v>
      </c>
      <c r="K915" s="2">
        <v>0</v>
      </c>
      <c r="L915" s="2">
        <v>0</v>
      </c>
      <c r="M915" s="2">
        <v>0</v>
      </c>
      <c r="N915" s="2">
        <v>0</v>
      </c>
      <c r="O915" s="2">
        <v>0</v>
      </c>
      <c r="P915" s="2" t="s">
        <v>439</v>
      </c>
      <c r="Q915" s="2" t="str">
        <f t="shared" si="115"/>
        <v>SI_A_LE_REFLEX_MAGIC</v>
      </c>
      <c r="R915" s="2" t="b">
        <v>0</v>
      </c>
      <c r="S915" s="2" t="b">
        <v>1</v>
      </c>
      <c r="T915" s="2">
        <v>1</v>
      </c>
    </row>
    <row r="916" spans="1:23">
      <c r="A916" s="4">
        <v>2202</v>
      </c>
      <c r="B916" s="7" t="str">
        <f>VLOOKUP($A916,SkillEnum!$A$2:$C$1020,2,FALSE)</f>
        <v>SI_A_LE_REFLEX_MAGIC</v>
      </c>
      <c r="C916" s="7">
        <v>6</v>
      </c>
      <c r="D916" s="2" t="str">
        <f>VLOOKUP($C916,SkillEnum!$D$2:$E$10,2,FALSE)</f>
        <v>ST_ACTIVE</v>
      </c>
      <c r="E916" s="7" t="str">
        <f>VLOOKUP($A916,SkillEnum!$A$2:$C$1020,3,FALSE)</f>
        <v>리플렉트 킥</v>
      </c>
      <c r="F916" s="7" t="str">
        <f t="shared" si="124"/>
        <v>올려차는 풍압으로 물리공격력의 400 % 의 데미지를 입히고, 마법 발사체를 400 % 공격력으로 반사 시킨다.</v>
      </c>
      <c r="G916" s="2">
        <v>5</v>
      </c>
      <c r="H916" s="2">
        <v>4</v>
      </c>
      <c r="I916" s="2">
        <v>5</v>
      </c>
      <c r="J916" s="2">
        <v>30</v>
      </c>
      <c r="K916" s="2">
        <v>0</v>
      </c>
      <c r="L916" s="2">
        <v>0</v>
      </c>
      <c r="M916" s="2">
        <v>0</v>
      </c>
      <c r="N916" s="2">
        <v>0</v>
      </c>
      <c r="O916" s="2">
        <v>0</v>
      </c>
      <c r="P916" s="2" t="s">
        <v>439</v>
      </c>
      <c r="Q916" s="2" t="str">
        <f t="shared" si="115"/>
        <v>SI_A_LE_REFLEX_MAGIC</v>
      </c>
      <c r="R916" s="2" t="b">
        <v>0</v>
      </c>
      <c r="S916" s="2" t="b">
        <v>1</v>
      </c>
      <c r="T916" s="2">
        <v>1</v>
      </c>
    </row>
    <row r="917" spans="1:23">
      <c r="A917" s="4">
        <v>2202</v>
      </c>
      <c r="B917" s="7" t="str">
        <f>VLOOKUP($A917,SkillEnum!$A$2:$C$1020,2,FALSE)</f>
        <v>SI_A_LE_REFLEX_MAGIC</v>
      </c>
      <c r="C917" s="7">
        <v>6</v>
      </c>
      <c r="D917" s="2" t="str">
        <f>VLOOKUP($C917,SkillEnum!$D$2:$E$10,2,FALSE)</f>
        <v>ST_ACTIVE</v>
      </c>
      <c r="E917" s="7" t="str">
        <f>VLOOKUP($A917,SkillEnum!$A$2:$C$1020,3,FALSE)</f>
        <v>리플렉트 킥</v>
      </c>
      <c r="F917" s="7" t="str">
        <f t="shared" si="124"/>
        <v>올려차는 풍압으로 물리공격력의 450 % 의 데미지를 입히고, 마법 발사체를 450 % 공격력으로 반사 시킨다.</v>
      </c>
      <c r="G917" s="2">
        <v>6</v>
      </c>
      <c r="H917" s="2">
        <v>4.5</v>
      </c>
      <c r="I917" s="2">
        <v>5</v>
      </c>
      <c r="J917" s="2">
        <v>30</v>
      </c>
      <c r="K917" s="2">
        <v>0</v>
      </c>
      <c r="L917" s="2">
        <v>0</v>
      </c>
      <c r="M917" s="2">
        <v>0</v>
      </c>
      <c r="N917" s="2">
        <v>0</v>
      </c>
      <c r="O917" s="2">
        <v>0</v>
      </c>
      <c r="P917" s="2" t="s">
        <v>439</v>
      </c>
      <c r="Q917" s="2" t="str">
        <f t="shared" si="115"/>
        <v>SI_A_LE_REFLEX_MAGIC</v>
      </c>
      <c r="R917" s="2" t="b">
        <v>0</v>
      </c>
      <c r="S917" s="2" t="b">
        <v>1</v>
      </c>
      <c r="T917" s="2">
        <v>1</v>
      </c>
    </row>
    <row r="918" spans="1:23">
      <c r="A918" s="4">
        <v>2202</v>
      </c>
      <c r="B918" s="7" t="str">
        <f>VLOOKUP($A918,SkillEnum!$A$2:$C$1020,2,FALSE)</f>
        <v>SI_A_LE_REFLEX_MAGIC</v>
      </c>
      <c r="C918" s="7">
        <v>6</v>
      </c>
      <c r="D918" s="2" t="str">
        <f>VLOOKUP($C918,SkillEnum!$D$2:$E$10,2,FALSE)</f>
        <v>ST_ACTIVE</v>
      </c>
      <c r="E918" s="7" t="str">
        <f>VLOOKUP($A918,SkillEnum!$A$2:$C$1020,3,FALSE)</f>
        <v>리플렉트 킥</v>
      </c>
      <c r="F918" s="7" t="str">
        <f t="shared" si="124"/>
        <v>올려차는 풍압으로 물리공격력의 500 % 의 데미지를 입히고, 마법 발사체를 500 % 공격력으로 반사 시킨다.</v>
      </c>
      <c r="G918" s="2">
        <v>7</v>
      </c>
      <c r="H918" s="2">
        <v>5</v>
      </c>
      <c r="I918" s="2">
        <v>5</v>
      </c>
      <c r="J918" s="2">
        <v>30</v>
      </c>
      <c r="K918" s="2">
        <v>0</v>
      </c>
      <c r="L918" s="2">
        <v>0</v>
      </c>
      <c r="M918" s="2">
        <v>0</v>
      </c>
      <c r="N918" s="2">
        <v>0</v>
      </c>
      <c r="O918" s="2">
        <v>0</v>
      </c>
      <c r="P918" s="2" t="s">
        <v>439</v>
      </c>
      <c r="Q918" s="2" t="str">
        <f t="shared" si="115"/>
        <v>SI_A_LE_REFLEX_MAGIC</v>
      </c>
      <c r="R918" s="2" t="b">
        <v>0</v>
      </c>
      <c r="S918" s="2" t="b">
        <v>1</v>
      </c>
      <c r="T918" s="2">
        <v>1</v>
      </c>
    </row>
    <row r="919" spans="1:23">
      <c r="A919" s="4">
        <v>2202</v>
      </c>
      <c r="B919" s="7" t="str">
        <f>VLOOKUP($A919,SkillEnum!$A$2:$C$1020,2,FALSE)</f>
        <v>SI_A_LE_REFLEX_MAGIC</v>
      </c>
      <c r="C919" s="7">
        <v>6</v>
      </c>
      <c r="D919" s="2" t="str">
        <f>VLOOKUP($C919,SkillEnum!$D$2:$E$10,2,FALSE)</f>
        <v>ST_ACTIVE</v>
      </c>
      <c r="E919" s="7" t="str">
        <f>VLOOKUP($A919,SkillEnum!$A$2:$C$1020,3,FALSE)</f>
        <v>리플렉트 킥</v>
      </c>
      <c r="F919" s="7" t="str">
        <f t="shared" si="124"/>
        <v>올려차는 풍압으로 물리공격력의 550 % 의 데미지를 입히고, 마법 발사체를 550 % 공격력으로 반사 시킨다.</v>
      </c>
      <c r="G919" s="2">
        <v>8</v>
      </c>
      <c r="H919" s="2">
        <v>5.5</v>
      </c>
      <c r="I919" s="2">
        <v>5</v>
      </c>
      <c r="J919" s="2">
        <v>30</v>
      </c>
      <c r="K919" s="2">
        <v>0</v>
      </c>
      <c r="L919" s="2">
        <v>0</v>
      </c>
      <c r="M919" s="2">
        <v>0</v>
      </c>
      <c r="N919" s="2">
        <v>0</v>
      </c>
      <c r="O919" s="2">
        <v>0</v>
      </c>
      <c r="P919" s="2" t="s">
        <v>439</v>
      </c>
      <c r="Q919" s="2" t="str">
        <f t="shared" si="115"/>
        <v>SI_A_LE_REFLEX_MAGIC</v>
      </c>
      <c r="R919" s="2" t="b">
        <v>0</v>
      </c>
      <c r="S919" s="2" t="b">
        <v>1</v>
      </c>
      <c r="T919" s="2">
        <v>1</v>
      </c>
    </row>
    <row r="920" spans="1:23">
      <c r="A920" s="4">
        <v>2202</v>
      </c>
      <c r="B920" s="7" t="str">
        <f>VLOOKUP($A920,SkillEnum!$A$2:$C$1020,2,FALSE)</f>
        <v>SI_A_LE_REFLEX_MAGIC</v>
      </c>
      <c r="C920" s="7">
        <v>6</v>
      </c>
      <c r="D920" s="2" t="str">
        <f>VLOOKUP($C920,SkillEnum!$D$2:$E$10,2,FALSE)</f>
        <v>ST_ACTIVE</v>
      </c>
      <c r="E920" s="7" t="str">
        <f>VLOOKUP($A920,SkillEnum!$A$2:$C$1020,3,FALSE)</f>
        <v>리플렉트 킥</v>
      </c>
      <c r="F920" s="7" t="str">
        <f t="shared" si="124"/>
        <v>올려차는 풍압으로 물리공격력의 600 % 의 데미지를 입히고, 마법 발사체를 600 % 공격력으로 반사 시킨다.</v>
      </c>
      <c r="G920" s="2">
        <v>9</v>
      </c>
      <c r="H920" s="2">
        <v>6</v>
      </c>
      <c r="I920" s="2">
        <v>5</v>
      </c>
      <c r="J920" s="2">
        <v>30</v>
      </c>
      <c r="K920" s="2">
        <v>0</v>
      </c>
      <c r="L920" s="2">
        <v>0</v>
      </c>
      <c r="M920" s="2">
        <v>0</v>
      </c>
      <c r="N920" s="2">
        <v>0</v>
      </c>
      <c r="O920" s="2">
        <v>0</v>
      </c>
      <c r="P920" s="2" t="s">
        <v>439</v>
      </c>
      <c r="Q920" s="2" t="str">
        <f t="shared" si="115"/>
        <v>SI_A_LE_REFLEX_MAGIC</v>
      </c>
      <c r="R920" s="2" t="b">
        <v>0</v>
      </c>
      <c r="S920" s="2" t="b">
        <v>1</v>
      </c>
      <c r="T920" s="2">
        <v>1</v>
      </c>
    </row>
    <row r="921" spans="1:23" s="5" customFormat="1">
      <c r="A921" s="6">
        <v>2202</v>
      </c>
      <c r="B921" s="8" t="str">
        <f>VLOOKUP($A921,SkillEnum!$A$2:$C$1020,2,FALSE)</f>
        <v>SI_A_LE_REFLEX_MAGIC</v>
      </c>
      <c r="C921" s="8">
        <v>6</v>
      </c>
      <c r="D921" s="5" t="str">
        <f>VLOOKUP($C921,SkillEnum!$D$2:$E$10,2,FALSE)</f>
        <v>ST_ACTIVE</v>
      </c>
      <c r="E921" s="8" t="str">
        <f>VLOOKUP($A921,SkillEnum!$A$2:$C$1020,3,FALSE)</f>
        <v>리플렉트 킥</v>
      </c>
      <c r="F921" s="8" t="str">
        <f t="shared" si="124"/>
        <v>올려차는 풍압으로 물리공격력의 650 % 의 데미지를 입히고, 마법 발사체를 650 % 공격력으로 반사 시킨다.</v>
      </c>
      <c r="G921" s="5">
        <v>10</v>
      </c>
      <c r="H921" s="5">
        <v>6.5</v>
      </c>
      <c r="I921" s="5">
        <v>5</v>
      </c>
      <c r="J921" s="5">
        <v>30</v>
      </c>
      <c r="K921" s="5">
        <v>0</v>
      </c>
      <c r="L921" s="5">
        <v>0</v>
      </c>
      <c r="M921" s="5">
        <v>0</v>
      </c>
      <c r="N921" s="5">
        <v>0</v>
      </c>
      <c r="O921" s="5">
        <v>0</v>
      </c>
      <c r="P921" s="2" t="s">
        <v>439</v>
      </c>
      <c r="Q921" s="2" t="str">
        <f t="shared" si="115"/>
        <v>SI_A_LE_REFLEX_MAGIC</v>
      </c>
      <c r="R921" s="5" t="b">
        <v>0</v>
      </c>
      <c r="S921" s="2" t="b">
        <v>1</v>
      </c>
      <c r="T921" s="2">
        <v>1</v>
      </c>
      <c r="U921" s="2"/>
    </row>
    <row r="922" spans="1:23" s="10" customFormat="1">
      <c r="A922" s="9">
        <v>2203</v>
      </c>
      <c r="B922" s="11" t="str">
        <f>VLOOKUP($A922,SkillEnum!$A$2:$C$1020,2,FALSE)</f>
        <v>SI_A_LCR_LOW_KICK</v>
      </c>
      <c r="C922" s="11">
        <v>6</v>
      </c>
      <c r="D922" s="10" t="str">
        <f>VLOOKUP($C922,SkillEnum!$D$2:$E$10,2,FALSE)</f>
        <v>ST_ACTIVE</v>
      </c>
      <c r="E922" s="11" t="str">
        <f>VLOOKUP($A922,SkillEnum!$A$2:$C$1020,3,FALSE)</f>
        <v>로우 킥</v>
      </c>
      <c r="F922" s="11" t="str">
        <f>"적의 하반신을 강하게 차 물리 공격력의 "&amp;ROUND(H922*100,0)&amp;" % 데미지를 주고 움직임을 둔화시켜, 15초간 대상의 속도를 "&amp;ROUND((1-W922)*100,0)&amp;" % 감소시킨다."</f>
        <v>적의 하반신을 강하게 차 물리 공격력의 120 % 데미지를 주고 움직임을 둔화시켜, 15초간 대상의 속도를 7 % 감소시킨다.</v>
      </c>
      <c r="G922" s="10">
        <v>1</v>
      </c>
      <c r="H922" s="10">
        <v>1.2</v>
      </c>
      <c r="I922" s="2">
        <v>8</v>
      </c>
      <c r="J922" s="10">
        <v>40</v>
      </c>
      <c r="K922" s="2">
        <v>0</v>
      </c>
      <c r="L922" s="2">
        <v>0</v>
      </c>
      <c r="M922" s="2">
        <v>0</v>
      </c>
      <c r="N922" s="2">
        <v>0</v>
      </c>
      <c r="O922" s="2">
        <v>0</v>
      </c>
      <c r="P922" s="2" t="s">
        <v>439</v>
      </c>
      <c r="Q922" s="2" t="str">
        <f t="shared" ref="Q922:Q931" si="125">B922</f>
        <v>SI_A_LCR_LOW_KICK</v>
      </c>
      <c r="R922" s="2" t="b">
        <v>0</v>
      </c>
      <c r="S922" s="2" t="b">
        <v>1</v>
      </c>
      <c r="T922" s="2">
        <v>1</v>
      </c>
      <c r="U922" s="2" t="b">
        <v>1</v>
      </c>
      <c r="V922" s="10" t="s">
        <v>504</v>
      </c>
      <c r="W922" s="10">
        <v>0.93</v>
      </c>
    </row>
    <row r="923" spans="1:23">
      <c r="A923" s="4">
        <v>2203</v>
      </c>
      <c r="B923" s="7" t="str">
        <f>VLOOKUP($A923,SkillEnum!$A$2:$C$1020,2,FALSE)</f>
        <v>SI_A_LCR_LOW_KICK</v>
      </c>
      <c r="C923" s="7">
        <v>6</v>
      </c>
      <c r="D923" s="2" t="str">
        <f>VLOOKUP($C923,SkillEnum!$D$2:$E$10,2,FALSE)</f>
        <v>ST_ACTIVE</v>
      </c>
      <c r="E923" s="7" t="str">
        <f>VLOOKUP($A923,SkillEnum!$A$2:$C$1020,3,FALSE)</f>
        <v>로우 킥</v>
      </c>
      <c r="F923" s="7" t="str">
        <f t="shared" ref="F923:F931" si="126">"적의 하반신을 강하게 차 물리 공격력의 "&amp;ROUND(H923*100,0)&amp;" % 데미지를 주고 움직임을 둔화시켜, 15초간 대상의 속도를 "&amp;ROUND((1-W923)*100,0)&amp;" % 감소시킨다."</f>
        <v>적의 하반신을 강하게 차 물리 공격력의 140 % 데미지를 주고 움직임을 둔화시켜, 15초간 대상의 속도를 9 % 감소시킨다.</v>
      </c>
      <c r="G923" s="2">
        <v>2</v>
      </c>
      <c r="H923" s="2">
        <v>1.4</v>
      </c>
      <c r="I923" s="2">
        <v>8</v>
      </c>
      <c r="J923" s="2">
        <v>40</v>
      </c>
      <c r="K923" s="2">
        <v>0</v>
      </c>
      <c r="L923" s="2">
        <v>0</v>
      </c>
      <c r="M923" s="2">
        <v>0</v>
      </c>
      <c r="N923" s="2">
        <v>0</v>
      </c>
      <c r="O923" s="2">
        <v>0</v>
      </c>
      <c r="P923" s="2" t="s">
        <v>439</v>
      </c>
      <c r="Q923" s="2" t="str">
        <f t="shared" si="125"/>
        <v>SI_A_LCR_LOW_KICK</v>
      </c>
      <c r="R923" s="2" t="b">
        <v>0</v>
      </c>
      <c r="S923" s="2" t="b">
        <v>1</v>
      </c>
      <c r="T923" s="2">
        <v>1</v>
      </c>
      <c r="U923" s="2" t="b">
        <v>1</v>
      </c>
      <c r="V923" s="2" t="s">
        <v>502</v>
      </c>
      <c r="W923" s="2">
        <v>0.91</v>
      </c>
    </row>
    <row r="924" spans="1:23">
      <c r="A924" s="4">
        <v>2203</v>
      </c>
      <c r="B924" s="7" t="str">
        <f>VLOOKUP($A924,SkillEnum!$A$2:$C$1020,2,FALSE)</f>
        <v>SI_A_LCR_LOW_KICK</v>
      </c>
      <c r="C924" s="7">
        <v>6</v>
      </c>
      <c r="D924" s="2" t="str">
        <f>VLOOKUP($C924,SkillEnum!$D$2:$E$10,2,FALSE)</f>
        <v>ST_ACTIVE</v>
      </c>
      <c r="E924" s="7" t="str">
        <f>VLOOKUP($A924,SkillEnum!$A$2:$C$1020,3,FALSE)</f>
        <v>로우 킥</v>
      </c>
      <c r="F924" s="7" t="str">
        <f t="shared" si="126"/>
        <v>적의 하반신을 강하게 차 물리 공격력의 160 % 데미지를 주고 움직임을 둔화시켜, 15초간 대상의 속도를 11 % 감소시킨다.</v>
      </c>
      <c r="G924" s="2">
        <v>3</v>
      </c>
      <c r="H924" s="2">
        <v>1.6</v>
      </c>
      <c r="I924" s="2">
        <v>8</v>
      </c>
      <c r="J924" s="2">
        <v>40</v>
      </c>
      <c r="K924" s="2">
        <v>0</v>
      </c>
      <c r="L924" s="2">
        <v>0</v>
      </c>
      <c r="M924" s="2">
        <v>0</v>
      </c>
      <c r="N924" s="2">
        <v>0</v>
      </c>
      <c r="O924" s="2">
        <v>0</v>
      </c>
      <c r="P924" s="2" t="s">
        <v>439</v>
      </c>
      <c r="Q924" s="2" t="str">
        <f t="shared" si="125"/>
        <v>SI_A_LCR_LOW_KICK</v>
      </c>
      <c r="R924" s="2" t="b">
        <v>0</v>
      </c>
      <c r="S924" s="2" t="b">
        <v>1</v>
      </c>
      <c r="T924" s="2">
        <v>1</v>
      </c>
      <c r="U924" s="2" t="b">
        <v>1</v>
      </c>
      <c r="V924" s="2" t="s">
        <v>502</v>
      </c>
      <c r="W924" s="2">
        <v>0.89</v>
      </c>
    </row>
    <row r="925" spans="1:23">
      <c r="A925" s="4">
        <v>2203</v>
      </c>
      <c r="B925" s="7" t="str">
        <f>VLOOKUP($A925,SkillEnum!$A$2:$C$1020,2,FALSE)</f>
        <v>SI_A_LCR_LOW_KICK</v>
      </c>
      <c r="C925" s="7">
        <v>6</v>
      </c>
      <c r="D925" s="2" t="str">
        <f>VLOOKUP($C925,SkillEnum!$D$2:$E$10,2,FALSE)</f>
        <v>ST_ACTIVE</v>
      </c>
      <c r="E925" s="7" t="str">
        <f>VLOOKUP($A925,SkillEnum!$A$2:$C$1020,3,FALSE)</f>
        <v>로우 킥</v>
      </c>
      <c r="F925" s="7" t="str">
        <f t="shared" si="126"/>
        <v>적의 하반신을 강하게 차 물리 공격력의 180 % 데미지를 주고 움직임을 둔화시켜, 15초간 대상의 속도를 13 % 감소시킨다.</v>
      </c>
      <c r="G925" s="2">
        <v>4</v>
      </c>
      <c r="H925" s="2">
        <v>1.8</v>
      </c>
      <c r="I925" s="2">
        <v>8</v>
      </c>
      <c r="J925" s="2">
        <v>40</v>
      </c>
      <c r="K925" s="2">
        <v>0</v>
      </c>
      <c r="L925" s="2">
        <v>0</v>
      </c>
      <c r="M925" s="2">
        <v>0</v>
      </c>
      <c r="N925" s="2">
        <v>0</v>
      </c>
      <c r="O925" s="2">
        <v>0</v>
      </c>
      <c r="P925" s="2" t="s">
        <v>439</v>
      </c>
      <c r="Q925" s="2" t="str">
        <f t="shared" si="125"/>
        <v>SI_A_LCR_LOW_KICK</v>
      </c>
      <c r="R925" s="2" t="b">
        <v>0</v>
      </c>
      <c r="S925" s="2" t="b">
        <v>1</v>
      </c>
      <c r="T925" s="2">
        <v>1</v>
      </c>
      <c r="U925" s="2" t="b">
        <v>1</v>
      </c>
      <c r="V925" s="2" t="s">
        <v>502</v>
      </c>
      <c r="W925" s="2">
        <v>0.87</v>
      </c>
    </row>
    <row r="926" spans="1:23">
      <c r="A926" s="4">
        <v>2203</v>
      </c>
      <c r="B926" s="7" t="str">
        <f>VLOOKUP($A926,SkillEnum!$A$2:$C$1020,2,FALSE)</f>
        <v>SI_A_LCR_LOW_KICK</v>
      </c>
      <c r="C926" s="7">
        <v>6</v>
      </c>
      <c r="D926" s="2" t="str">
        <f>VLOOKUP($C926,SkillEnum!$D$2:$E$10,2,FALSE)</f>
        <v>ST_ACTIVE</v>
      </c>
      <c r="E926" s="7" t="str">
        <f>VLOOKUP($A926,SkillEnum!$A$2:$C$1020,3,FALSE)</f>
        <v>로우 킥</v>
      </c>
      <c r="F926" s="7" t="str">
        <f t="shared" si="126"/>
        <v>적의 하반신을 강하게 차 물리 공격력의 200 % 데미지를 주고 움직임을 둔화시켜, 15초간 대상의 속도를 15 % 감소시킨다.</v>
      </c>
      <c r="G926" s="2">
        <v>5</v>
      </c>
      <c r="H926" s="2">
        <v>2</v>
      </c>
      <c r="I926" s="2">
        <v>8</v>
      </c>
      <c r="J926" s="2">
        <v>40</v>
      </c>
      <c r="K926" s="2">
        <v>0</v>
      </c>
      <c r="L926" s="2">
        <v>0</v>
      </c>
      <c r="M926" s="2">
        <v>0</v>
      </c>
      <c r="N926" s="2">
        <v>0</v>
      </c>
      <c r="O926" s="2">
        <v>0</v>
      </c>
      <c r="P926" s="2" t="s">
        <v>439</v>
      </c>
      <c r="Q926" s="2" t="str">
        <f t="shared" si="125"/>
        <v>SI_A_LCR_LOW_KICK</v>
      </c>
      <c r="R926" s="2" t="b">
        <v>0</v>
      </c>
      <c r="S926" s="2" t="b">
        <v>1</v>
      </c>
      <c r="T926" s="2">
        <v>1</v>
      </c>
      <c r="U926" s="2" t="b">
        <v>1</v>
      </c>
      <c r="V926" s="2" t="s">
        <v>502</v>
      </c>
      <c r="W926" s="2">
        <v>0.85</v>
      </c>
    </row>
    <row r="927" spans="1:23">
      <c r="A927" s="4">
        <v>2203</v>
      </c>
      <c r="B927" s="7" t="str">
        <f>VLOOKUP($A927,SkillEnum!$A$2:$C$1020,2,FALSE)</f>
        <v>SI_A_LCR_LOW_KICK</v>
      </c>
      <c r="C927" s="7">
        <v>6</v>
      </c>
      <c r="D927" s="2" t="str">
        <f>VLOOKUP($C927,SkillEnum!$D$2:$E$10,2,FALSE)</f>
        <v>ST_ACTIVE</v>
      </c>
      <c r="E927" s="7" t="str">
        <f>VLOOKUP($A927,SkillEnum!$A$2:$C$1020,3,FALSE)</f>
        <v>로우 킥</v>
      </c>
      <c r="F927" s="7" t="str">
        <f t="shared" si="126"/>
        <v>적의 하반신을 강하게 차 물리 공격력의 220 % 데미지를 주고 움직임을 둔화시켜, 15초간 대상의 속도를 17 % 감소시킨다.</v>
      </c>
      <c r="G927" s="2">
        <v>6</v>
      </c>
      <c r="H927" s="2">
        <v>2.2000000000000002</v>
      </c>
      <c r="I927" s="2">
        <v>8</v>
      </c>
      <c r="J927" s="2">
        <v>40</v>
      </c>
      <c r="K927" s="2">
        <v>0</v>
      </c>
      <c r="L927" s="2">
        <v>0</v>
      </c>
      <c r="M927" s="2">
        <v>0</v>
      </c>
      <c r="N927" s="2">
        <v>0</v>
      </c>
      <c r="O927" s="2">
        <v>0</v>
      </c>
      <c r="P927" s="2" t="s">
        <v>439</v>
      </c>
      <c r="Q927" s="2" t="str">
        <f t="shared" si="125"/>
        <v>SI_A_LCR_LOW_KICK</v>
      </c>
      <c r="R927" s="2" t="b">
        <v>0</v>
      </c>
      <c r="S927" s="2" t="b">
        <v>1</v>
      </c>
      <c r="T927" s="2">
        <v>1</v>
      </c>
      <c r="U927" s="2" t="b">
        <v>1</v>
      </c>
      <c r="V927" s="2" t="s">
        <v>502</v>
      </c>
      <c r="W927" s="2">
        <v>0.83</v>
      </c>
    </row>
    <row r="928" spans="1:23">
      <c r="A928" s="4">
        <v>2203</v>
      </c>
      <c r="B928" s="7" t="str">
        <f>VLOOKUP($A928,SkillEnum!$A$2:$C$1020,2,FALSE)</f>
        <v>SI_A_LCR_LOW_KICK</v>
      </c>
      <c r="C928" s="7">
        <v>6</v>
      </c>
      <c r="D928" s="2" t="str">
        <f>VLOOKUP($C928,SkillEnum!$D$2:$E$10,2,FALSE)</f>
        <v>ST_ACTIVE</v>
      </c>
      <c r="E928" s="7" t="str">
        <f>VLOOKUP($A928,SkillEnum!$A$2:$C$1020,3,FALSE)</f>
        <v>로우 킥</v>
      </c>
      <c r="F928" s="7" t="str">
        <f t="shared" si="126"/>
        <v>적의 하반신을 강하게 차 물리 공격력의 240 % 데미지를 주고 움직임을 둔화시켜, 15초간 대상의 속도를 19 % 감소시킨다.</v>
      </c>
      <c r="G928" s="2">
        <v>7</v>
      </c>
      <c r="H928" s="2">
        <v>2.4</v>
      </c>
      <c r="I928" s="2">
        <v>8</v>
      </c>
      <c r="J928" s="2">
        <v>40</v>
      </c>
      <c r="K928" s="2">
        <v>0</v>
      </c>
      <c r="L928" s="2">
        <v>0</v>
      </c>
      <c r="M928" s="2">
        <v>0</v>
      </c>
      <c r="N928" s="2">
        <v>0</v>
      </c>
      <c r="O928" s="2">
        <v>0</v>
      </c>
      <c r="P928" s="2" t="s">
        <v>439</v>
      </c>
      <c r="Q928" s="2" t="str">
        <f t="shared" si="125"/>
        <v>SI_A_LCR_LOW_KICK</v>
      </c>
      <c r="R928" s="2" t="b">
        <v>0</v>
      </c>
      <c r="S928" s="2" t="b">
        <v>1</v>
      </c>
      <c r="T928" s="2">
        <v>1</v>
      </c>
      <c r="U928" s="2" t="b">
        <v>1</v>
      </c>
      <c r="V928" s="2" t="s">
        <v>502</v>
      </c>
      <c r="W928" s="2">
        <v>0.81</v>
      </c>
    </row>
    <row r="929" spans="1:29">
      <c r="A929" s="4">
        <v>2203</v>
      </c>
      <c r="B929" s="7" t="str">
        <f>VLOOKUP($A929,SkillEnum!$A$2:$C$1020,2,FALSE)</f>
        <v>SI_A_LCR_LOW_KICK</v>
      </c>
      <c r="C929" s="7">
        <v>6</v>
      </c>
      <c r="D929" s="2" t="str">
        <f>VLOOKUP($C929,SkillEnum!$D$2:$E$10,2,FALSE)</f>
        <v>ST_ACTIVE</v>
      </c>
      <c r="E929" s="7" t="str">
        <f>VLOOKUP($A929,SkillEnum!$A$2:$C$1020,3,FALSE)</f>
        <v>로우 킥</v>
      </c>
      <c r="F929" s="7" t="str">
        <f t="shared" si="126"/>
        <v>적의 하반신을 강하게 차 물리 공격력의 260 % 데미지를 주고 움직임을 둔화시켜, 15초간 대상의 속도를 21 % 감소시킨다.</v>
      </c>
      <c r="G929" s="2">
        <v>8</v>
      </c>
      <c r="H929" s="2">
        <v>2.6</v>
      </c>
      <c r="I929" s="2">
        <v>8</v>
      </c>
      <c r="J929" s="2">
        <v>40</v>
      </c>
      <c r="K929" s="2">
        <v>0</v>
      </c>
      <c r="L929" s="2">
        <v>0</v>
      </c>
      <c r="M929" s="2">
        <v>0</v>
      </c>
      <c r="N929" s="2">
        <v>0</v>
      </c>
      <c r="O929" s="2">
        <v>0</v>
      </c>
      <c r="P929" s="2" t="s">
        <v>439</v>
      </c>
      <c r="Q929" s="2" t="str">
        <f t="shared" si="125"/>
        <v>SI_A_LCR_LOW_KICK</v>
      </c>
      <c r="R929" s="2" t="b">
        <v>0</v>
      </c>
      <c r="S929" s="2" t="b">
        <v>1</v>
      </c>
      <c r="T929" s="2">
        <v>1</v>
      </c>
      <c r="U929" s="2" t="b">
        <v>1</v>
      </c>
      <c r="V929" s="2" t="s">
        <v>502</v>
      </c>
      <c r="W929" s="2">
        <v>0.79</v>
      </c>
    </row>
    <row r="930" spans="1:29">
      <c r="A930" s="4">
        <v>2203</v>
      </c>
      <c r="B930" s="7" t="str">
        <f>VLOOKUP($A930,SkillEnum!$A$2:$C$1020,2,FALSE)</f>
        <v>SI_A_LCR_LOW_KICK</v>
      </c>
      <c r="C930" s="7">
        <v>6</v>
      </c>
      <c r="D930" s="2" t="str">
        <f>VLOOKUP($C930,SkillEnum!$D$2:$E$10,2,FALSE)</f>
        <v>ST_ACTIVE</v>
      </c>
      <c r="E930" s="7" t="str">
        <f>VLOOKUP($A930,SkillEnum!$A$2:$C$1020,3,FALSE)</f>
        <v>로우 킥</v>
      </c>
      <c r="F930" s="7" t="str">
        <f t="shared" si="126"/>
        <v>적의 하반신을 강하게 차 물리 공격력의 280 % 데미지를 주고 움직임을 둔화시켜, 15초간 대상의 속도를 23 % 감소시킨다.</v>
      </c>
      <c r="G930" s="2">
        <v>9</v>
      </c>
      <c r="H930" s="2">
        <v>2.8</v>
      </c>
      <c r="I930" s="2">
        <v>8</v>
      </c>
      <c r="J930" s="2">
        <v>40</v>
      </c>
      <c r="K930" s="2">
        <v>0</v>
      </c>
      <c r="L930" s="2">
        <v>0</v>
      </c>
      <c r="M930" s="2">
        <v>0</v>
      </c>
      <c r="N930" s="2">
        <v>0</v>
      </c>
      <c r="O930" s="2">
        <v>0</v>
      </c>
      <c r="P930" s="2" t="s">
        <v>439</v>
      </c>
      <c r="Q930" s="2" t="str">
        <f t="shared" si="125"/>
        <v>SI_A_LCR_LOW_KICK</v>
      </c>
      <c r="R930" s="2" t="b">
        <v>0</v>
      </c>
      <c r="S930" s="2" t="b">
        <v>1</v>
      </c>
      <c r="T930" s="2">
        <v>1</v>
      </c>
      <c r="U930" s="2" t="b">
        <v>1</v>
      </c>
      <c r="V930" s="2" t="s">
        <v>502</v>
      </c>
      <c r="W930" s="2">
        <v>0.77</v>
      </c>
    </row>
    <row r="931" spans="1:29" s="5" customFormat="1">
      <c r="A931" s="6">
        <v>2203</v>
      </c>
      <c r="B931" s="8" t="str">
        <f>VLOOKUP($A931,SkillEnum!$A$2:$C$1020,2,FALSE)</f>
        <v>SI_A_LCR_LOW_KICK</v>
      </c>
      <c r="C931" s="8">
        <v>6</v>
      </c>
      <c r="D931" s="5" t="str">
        <f>VLOOKUP($C931,SkillEnum!$D$2:$E$10,2,FALSE)</f>
        <v>ST_ACTIVE</v>
      </c>
      <c r="E931" s="8" t="str">
        <f>VLOOKUP($A931,SkillEnum!$A$2:$C$1020,3,FALSE)</f>
        <v>로우 킥</v>
      </c>
      <c r="F931" s="8" t="str">
        <f t="shared" si="126"/>
        <v>적의 하반신을 강하게 차 물리 공격력의 300 % 데미지를 주고 움직임을 둔화시켜, 15초간 대상의 속도를 25 % 감소시킨다.</v>
      </c>
      <c r="G931" s="5">
        <v>10</v>
      </c>
      <c r="H931" s="5">
        <v>3</v>
      </c>
      <c r="I931" s="5">
        <v>8</v>
      </c>
      <c r="J931" s="5">
        <v>40</v>
      </c>
      <c r="K931" s="5">
        <v>0</v>
      </c>
      <c r="L931" s="5">
        <v>0</v>
      </c>
      <c r="M931" s="5">
        <v>0</v>
      </c>
      <c r="N931" s="5">
        <v>0</v>
      </c>
      <c r="O931" s="5">
        <v>0</v>
      </c>
      <c r="P931" s="2" t="s">
        <v>439</v>
      </c>
      <c r="Q931" s="2" t="str">
        <f t="shared" si="125"/>
        <v>SI_A_LCR_LOW_KICK</v>
      </c>
      <c r="R931" s="5" t="b">
        <v>0</v>
      </c>
      <c r="S931" s="2" t="b">
        <v>1</v>
      </c>
      <c r="T931" s="2">
        <v>1</v>
      </c>
      <c r="U931" s="2" t="b">
        <v>1</v>
      </c>
      <c r="V931" s="5" t="s">
        <v>502</v>
      </c>
      <c r="W931" s="5">
        <v>0.75</v>
      </c>
    </row>
    <row r="932" spans="1:29" s="10" customFormat="1">
      <c r="A932" s="9">
        <v>2204</v>
      </c>
      <c r="B932" s="11" t="str">
        <f>VLOOKUP($A932,SkillEnum!$A$2:$C$1020,2,FALSE)</f>
        <v>SI_A_LSR_ENTANGLE</v>
      </c>
      <c r="C932" s="11">
        <v>6</v>
      </c>
      <c r="D932" s="10" t="str">
        <f>VLOOKUP($C932,SkillEnum!$D$2:$E$10,2,FALSE)</f>
        <v>ST_ACTIVE</v>
      </c>
      <c r="E932" s="11" t="str">
        <f>VLOOKUP($A932,SkillEnum!$A$2:$C$1020,3,FALSE)</f>
        <v>인탱글</v>
      </c>
      <c r="F932" s="7" t="str">
        <f>"지면에 보이지 않는 덩굴로 된 덫을 설치하여, 그것을 밟은 적을 "&amp;W932&amp;"초간 침묵시키고 이동할 수 없게 한다. (총 "&amp;Y932&amp;"개 까지 설치 가능하며, 10초 후 사라진다. 설치 후 1초 뒤 작동)"</f>
        <v>지면에 보이지 않는 덩굴로 된 덫을 설치하여, 그것을 밟은 적을 3초간 침묵시키고 이동할 수 없게 한다. (총 1개 까지 설치 가능하며, 10초 후 사라진다. 설치 후 1초 뒤 작동)</v>
      </c>
      <c r="G932" s="10">
        <v>1</v>
      </c>
      <c r="H932" s="10">
        <v>2</v>
      </c>
      <c r="I932" s="2">
        <v>5</v>
      </c>
      <c r="J932" s="10">
        <v>30</v>
      </c>
      <c r="K932" s="2">
        <v>0</v>
      </c>
      <c r="L932" s="2">
        <v>0</v>
      </c>
      <c r="M932" s="2">
        <v>0</v>
      </c>
      <c r="N932" s="2">
        <v>0</v>
      </c>
      <c r="O932" s="2">
        <v>0</v>
      </c>
      <c r="P932" s="2" t="s">
        <v>439</v>
      </c>
      <c r="Q932" s="2" t="str">
        <f t="shared" ref="Q932:Q941" si="127">B932</f>
        <v>SI_A_LSR_ENTANGLE</v>
      </c>
      <c r="R932" s="2" t="b">
        <v>0</v>
      </c>
      <c r="S932" s="2" t="b">
        <v>1</v>
      </c>
      <c r="T932" s="2">
        <v>1</v>
      </c>
      <c r="U932" s="2" t="b">
        <v>1</v>
      </c>
      <c r="V932" s="10" t="s">
        <v>262</v>
      </c>
      <c r="W932" s="10">
        <v>3</v>
      </c>
      <c r="X932" s="10" t="s">
        <v>252</v>
      </c>
      <c r="Y932" s="10">
        <v>1</v>
      </c>
    </row>
    <row r="933" spans="1:29">
      <c r="A933" s="4">
        <v>2204</v>
      </c>
      <c r="B933" s="7" t="str">
        <f>VLOOKUP($A933,SkillEnum!$A$2:$C$1020,2,FALSE)</f>
        <v>SI_A_LSR_ENTANGLE</v>
      </c>
      <c r="C933" s="7">
        <v>6</v>
      </c>
      <c r="D933" s="2" t="str">
        <f>VLOOKUP($C933,SkillEnum!$D$2:$E$10,2,FALSE)</f>
        <v>ST_ACTIVE</v>
      </c>
      <c r="E933" s="7" t="str">
        <f>VLOOKUP($A933,SkillEnum!$A$2:$C$1020,3,FALSE)</f>
        <v>인탱글</v>
      </c>
      <c r="F933" s="7" t="str">
        <f t="shared" ref="F933:F941" si="128">"지면에 보이지 않는 덩굴로 된 덫을 설치하여, 그것을 밟은 적을 "&amp;W933&amp;"초간 침묵시키고 이동할 수 없게 한다. (총 "&amp;Y933&amp;"개 까지 설치 가능하며, 10초 후 사라진다. 설치 후 1초 뒤 작동)"</f>
        <v>지면에 보이지 않는 덩굴로 된 덫을 설치하여, 그것을 밟은 적을 3.5초간 침묵시키고 이동할 수 없게 한다. (총 1개 까지 설치 가능하며, 10초 후 사라진다. 설치 후 1초 뒤 작동)</v>
      </c>
      <c r="G933" s="2">
        <v>2</v>
      </c>
      <c r="H933" s="2">
        <v>2.5</v>
      </c>
      <c r="I933" s="2">
        <v>5</v>
      </c>
      <c r="J933" s="2">
        <v>30</v>
      </c>
      <c r="K933" s="2">
        <v>0</v>
      </c>
      <c r="L933" s="2">
        <v>0</v>
      </c>
      <c r="M933" s="2">
        <v>0</v>
      </c>
      <c r="N933" s="2">
        <v>0</v>
      </c>
      <c r="O933" s="2">
        <v>0</v>
      </c>
      <c r="P933" s="2" t="s">
        <v>439</v>
      </c>
      <c r="Q933" s="2" t="str">
        <f t="shared" si="127"/>
        <v>SI_A_LSR_ENTANGLE</v>
      </c>
      <c r="R933" s="2" t="b">
        <v>0</v>
      </c>
      <c r="S933" s="2" t="b">
        <v>1</v>
      </c>
      <c r="T933" s="2">
        <v>1</v>
      </c>
      <c r="U933" s="2" t="b">
        <v>1</v>
      </c>
      <c r="V933" s="2" t="s">
        <v>262</v>
      </c>
      <c r="W933" s="2">
        <v>3.5</v>
      </c>
      <c r="X933" s="2" t="s">
        <v>252</v>
      </c>
      <c r="Y933" s="2">
        <v>1</v>
      </c>
    </row>
    <row r="934" spans="1:29">
      <c r="A934" s="4">
        <v>2204</v>
      </c>
      <c r="B934" s="7" t="str">
        <f>VLOOKUP($A934,SkillEnum!$A$2:$C$1020,2,FALSE)</f>
        <v>SI_A_LSR_ENTANGLE</v>
      </c>
      <c r="C934" s="7">
        <v>6</v>
      </c>
      <c r="D934" s="2" t="str">
        <f>VLOOKUP($C934,SkillEnum!$D$2:$E$10,2,FALSE)</f>
        <v>ST_ACTIVE</v>
      </c>
      <c r="E934" s="7" t="str">
        <f>VLOOKUP($A934,SkillEnum!$A$2:$C$1020,3,FALSE)</f>
        <v>인탱글</v>
      </c>
      <c r="F934" s="7" t="str">
        <f t="shared" si="128"/>
        <v>지면에 보이지 않는 덩굴로 된 덫을 설치하여, 그것을 밟은 적을 4초간 침묵시키고 이동할 수 없게 한다. (총 2개 까지 설치 가능하며, 10초 후 사라진다. 설치 후 1초 뒤 작동)</v>
      </c>
      <c r="G934" s="2">
        <v>3</v>
      </c>
      <c r="H934" s="2">
        <v>3</v>
      </c>
      <c r="I934" s="2">
        <v>5</v>
      </c>
      <c r="J934" s="2">
        <v>30</v>
      </c>
      <c r="K934" s="2">
        <v>0</v>
      </c>
      <c r="L934" s="2">
        <v>0</v>
      </c>
      <c r="M934" s="2">
        <v>0</v>
      </c>
      <c r="N934" s="2">
        <v>0</v>
      </c>
      <c r="O934" s="2">
        <v>0</v>
      </c>
      <c r="P934" s="2" t="s">
        <v>439</v>
      </c>
      <c r="Q934" s="2" t="str">
        <f t="shared" si="127"/>
        <v>SI_A_LSR_ENTANGLE</v>
      </c>
      <c r="R934" s="2" t="b">
        <v>0</v>
      </c>
      <c r="S934" s="2" t="b">
        <v>1</v>
      </c>
      <c r="T934" s="2">
        <v>1</v>
      </c>
      <c r="U934" s="2" t="b">
        <v>1</v>
      </c>
      <c r="V934" s="2" t="s">
        <v>262</v>
      </c>
      <c r="W934" s="2">
        <v>4</v>
      </c>
      <c r="X934" s="2" t="s">
        <v>252</v>
      </c>
      <c r="Y934" s="2">
        <v>2</v>
      </c>
    </row>
    <row r="935" spans="1:29">
      <c r="A935" s="4">
        <v>2204</v>
      </c>
      <c r="B935" s="7" t="str">
        <f>VLOOKUP($A935,SkillEnum!$A$2:$C$1020,2,FALSE)</f>
        <v>SI_A_LSR_ENTANGLE</v>
      </c>
      <c r="C935" s="7">
        <v>6</v>
      </c>
      <c r="D935" s="2" t="str">
        <f>VLOOKUP($C935,SkillEnum!$D$2:$E$10,2,FALSE)</f>
        <v>ST_ACTIVE</v>
      </c>
      <c r="E935" s="7" t="str">
        <f>VLOOKUP($A935,SkillEnum!$A$2:$C$1020,3,FALSE)</f>
        <v>인탱글</v>
      </c>
      <c r="F935" s="7" t="str">
        <f t="shared" si="128"/>
        <v>지면에 보이지 않는 덩굴로 된 덫을 설치하여, 그것을 밟은 적을 4.5초간 침묵시키고 이동할 수 없게 한다. (총 2개 까지 설치 가능하며, 10초 후 사라진다. 설치 후 1초 뒤 작동)</v>
      </c>
      <c r="G935" s="2">
        <v>4</v>
      </c>
      <c r="H935" s="2">
        <v>3.5</v>
      </c>
      <c r="I935" s="2">
        <v>5</v>
      </c>
      <c r="J935" s="2">
        <v>30</v>
      </c>
      <c r="K935" s="2">
        <v>0</v>
      </c>
      <c r="L935" s="2">
        <v>0</v>
      </c>
      <c r="M935" s="2">
        <v>0</v>
      </c>
      <c r="N935" s="2">
        <v>0</v>
      </c>
      <c r="O935" s="2">
        <v>0</v>
      </c>
      <c r="P935" s="2" t="s">
        <v>439</v>
      </c>
      <c r="Q935" s="2" t="str">
        <f t="shared" si="127"/>
        <v>SI_A_LSR_ENTANGLE</v>
      </c>
      <c r="R935" s="2" t="b">
        <v>0</v>
      </c>
      <c r="S935" s="2" t="b">
        <v>1</v>
      </c>
      <c r="T935" s="2">
        <v>1</v>
      </c>
      <c r="U935" s="2" t="b">
        <v>1</v>
      </c>
      <c r="V935" s="2" t="s">
        <v>262</v>
      </c>
      <c r="W935" s="2">
        <v>4.5</v>
      </c>
      <c r="X935" s="2" t="s">
        <v>252</v>
      </c>
      <c r="Y935" s="2">
        <v>2</v>
      </c>
    </row>
    <row r="936" spans="1:29">
      <c r="A936" s="4">
        <v>2204</v>
      </c>
      <c r="B936" s="7" t="str">
        <f>VLOOKUP($A936,SkillEnum!$A$2:$C$1020,2,FALSE)</f>
        <v>SI_A_LSR_ENTANGLE</v>
      </c>
      <c r="C936" s="7">
        <v>6</v>
      </c>
      <c r="D936" s="2" t="str">
        <f>VLOOKUP($C936,SkillEnum!$D$2:$E$10,2,FALSE)</f>
        <v>ST_ACTIVE</v>
      </c>
      <c r="E936" s="7" t="str">
        <f>VLOOKUP($A936,SkillEnum!$A$2:$C$1020,3,FALSE)</f>
        <v>인탱글</v>
      </c>
      <c r="F936" s="7" t="str">
        <f t="shared" si="128"/>
        <v>지면에 보이지 않는 덩굴로 된 덫을 설치하여, 그것을 밟은 적을 5초간 침묵시키고 이동할 수 없게 한다. (총 3개 까지 설치 가능하며, 10초 후 사라진다. 설치 후 1초 뒤 작동)</v>
      </c>
      <c r="G936" s="2">
        <v>5</v>
      </c>
      <c r="H936" s="2">
        <v>4</v>
      </c>
      <c r="I936" s="2">
        <v>5</v>
      </c>
      <c r="J936" s="2">
        <v>30</v>
      </c>
      <c r="K936" s="2">
        <v>0</v>
      </c>
      <c r="L936" s="2">
        <v>0</v>
      </c>
      <c r="M936" s="2">
        <v>0</v>
      </c>
      <c r="N936" s="2">
        <v>0</v>
      </c>
      <c r="O936" s="2">
        <v>0</v>
      </c>
      <c r="P936" s="2" t="s">
        <v>439</v>
      </c>
      <c r="Q936" s="2" t="str">
        <f t="shared" si="127"/>
        <v>SI_A_LSR_ENTANGLE</v>
      </c>
      <c r="R936" s="2" t="b">
        <v>0</v>
      </c>
      <c r="S936" s="2" t="b">
        <v>1</v>
      </c>
      <c r="T936" s="2">
        <v>1</v>
      </c>
      <c r="U936" s="2" t="b">
        <v>1</v>
      </c>
      <c r="V936" s="2" t="s">
        <v>262</v>
      </c>
      <c r="W936" s="2">
        <v>5</v>
      </c>
      <c r="X936" s="2" t="s">
        <v>252</v>
      </c>
      <c r="Y936" s="2">
        <v>3</v>
      </c>
    </row>
    <row r="937" spans="1:29">
      <c r="A937" s="4">
        <v>2204</v>
      </c>
      <c r="B937" s="7" t="str">
        <f>VLOOKUP($A937,SkillEnum!$A$2:$C$1020,2,FALSE)</f>
        <v>SI_A_LSR_ENTANGLE</v>
      </c>
      <c r="C937" s="7">
        <v>6</v>
      </c>
      <c r="D937" s="2" t="str">
        <f>VLOOKUP($C937,SkillEnum!$D$2:$E$10,2,FALSE)</f>
        <v>ST_ACTIVE</v>
      </c>
      <c r="E937" s="7" t="str">
        <f>VLOOKUP($A937,SkillEnum!$A$2:$C$1020,3,FALSE)</f>
        <v>인탱글</v>
      </c>
      <c r="F937" s="7" t="str">
        <f t="shared" si="128"/>
        <v>지면에 보이지 않는 덩굴로 된 덫을 설치하여, 그것을 밟은 적을 5.5초간 침묵시키고 이동할 수 없게 한다. (총 3개 까지 설치 가능하며, 10초 후 사라진다. 설치 후 1초 뒤 작동)</v>
      </c>
      <c r="G937" s="2">
        <v>6</v>
      </c>
      <c r="H937" s="2">
        <v>4.5</v>
      </c>
      <c r="I937" s="2">
        <v>5</v>
      </c>
      <c r="J937" s="2">
        <v>30</v>
      </c>
      <c r="K937" s="2">
        <v>0</v>
      </c>
      <c r="L937" s="2">
        <v>0</v>
      </c>
      <c r="M937" s="2">
        <v>0</v>
      </c>
      <c r="N937" s="2">
        <v>0</v>
      </c>
      <c r="O937" s="2">
        <v>0</v>
      </c>
      <c r="P937" s="2" t="s">
        <v>439</v>
      </c>
      <c r="Q937" s="2" t="str">
        <f t="shared" si="127"/>
        <v>SI_A_LSR_ENTANGLE</v>
      </c>
      <c r="R937" s="2" t="b">
        <v>0</v>
      </c>
      <c r="S937" s="2" t="b">
        <v>1</v>
      </c>
      <c r="T937" s="2">
        <v>1</v>
      </c>
      <c r="U937" s="2" t="b">
        <v>1</v>
      </c>
      <c r="V937" s="2" t="s">
        <v>262</v>
      </c>
      <c r="W937" s="2">
        <v>5.5</v>
      </c>
      <c r="X937" s="2" t="s">
        <v>252</v>
      </c>
      <c r="Y937" s="2">
        <v>3</v>
      </c>
    </row>
    <row r="938" spans="1:29">
      <c r="A938" s="4">
        <v>2204</v>
      </c>
      <c r="B938" s="7" t="str">
        <f>VLOOKUP($A938,SkillEnum!$A$2:$C$1020,2,FALSE)</f>
        <v>SI_A_LSR_ENTANGLE</v>
      </c>
      <c r="C938" s="7">
        <v>6</v>
      </c>
      <c r="D938" s="2" t="str">
        <f>VLOOKUP($C938,SkillEnum!$D$2:$E$10,2,FALSE)</f>
        <v>ST_ACTIVE</v>
      </c>
      <c r="E938" s="7" t="str">
        <f>VLOOKUP($A938,SkillEnum!$A$2:$C$1020,3,FALSE)</f>
        <v>인탱글</v>
      </c>
      <c r="F938" s="7" t="str">
        <f t="shared" si="128"/>
        <v>지면에 보이지 않는 덩굴로 된 덫을 설치하여, 그것을 밟은 적을 6초간 침묵시키고 이동할 수 없게 한다. (총 4개 까지 설치 가능하며, 10초 후 사라진다. 설치 후 1초 뒤 작동)</v>
      </c>
      <c r="G938" s="2">
        <v>7</v>
      </c>
      <c r="H938" s="2">
        <v>5</v>
      </c>
      <c r="I938" s="2">
        <v>5</v>
      </c>
      <c r="J938" s="2">
        <v>30</v>
      </c>
      <c r="K938" s="2">
        <v>0</v>
      </c>
      <c r="L938" s="2">
        <v>0</v>
      </c>
      <c r="M938" s="2">
        <v>0</v>
      </c>
      <c r="N938" s="2">
        <v>0</v>
      </c>
      <c r="O938" s="2">
        <v>0</v>
      </c>
      <c r="P938" s="2" t="s">
        <v>439</v>
      </c>
      <c r="Q938" s="2" t="str">
        <f t="shared" si="127"/>
        <v>SI_A_LSR_ENTANGLE</v>
      </c>
      <c r="R938" s="2" t="b">
        <v>0</v>
      </c>
      <c r="S938" s="2" t="b">
        <v>1</v>
      </c>
      <c r="T938" s="2">
        <v>1</v>
      </c>
      <c r="U938" s="2" t="b">
        <v>1</v>
      </c>
      <c r="V938" s="2" t="s">
        <v>262</v>
      </c>
      <c r="W938" s="2">
        <v>6</v>
      </c>
      <c r="X938" s="2" t="s">
        <v>252</v>
      </c>
      <c r="Y938" s="2">
        <v>4</v>
      </c>
    </row>
    <row r="939" spans="1:29">
      <c r="A939" s="4">
        <v>2204</v>
      </c>
      <c r="B939" s="7" t="str">
        <f>VLOOKUP($A939,SkillEnum!$A$2:$C$1020,2,FALSE)</f>
        <v>SI_A_LSR_ENTANGLE</v>
      </c>
      <c r="C939" s="7">
        <v>6</v>
      </c>
      <c r="D939" s="2" t="str">
        <f>VLOOKUP($C939,SkillEnum!$D$2:$E$10,2,FALSE)</f>
        <v>ST_ACTIVE</v>
      </c>
      <c r="E939" s="7" t="str">
        <f>VLOOKUP($A939,SkillEnum!$A$2:$C$1020,3,FALSE)</f>
        <v>인탱글</v>
      </c>
      <c r="F939" s="7" t="str">
        <f t="shared" si="128"/>
        <v>지면에 보이지 않는 덩굴로 된 덫을 설치하여, 그것을 밟은 적을 6.5초간 침묵시키고 이동할 수 없게 한다. (총 4개 까지 설치 가능하며, 10초 후 사라진다. 설치 후 1초 뒤 작동)</v>
      </c>
      <c r="G939" s="2">
        <v>8</v>
      </c>
      <c r="H939" s="2">
        <v>5.5</v>
      </c>
      <c r="I939" s="2">
        <v>5</v>
      </c>
      <c r="J939" s="2">
        <v>30</v>
      </c>
      <c r="K939" s="2">
        <v>0</v>
      </c>
      <c r="L939" s="2">
        <v>0</v>
      </c>
      <c r="M939" s="2">
        <v>0</v>
      </c>
      <c r="N939" s="2">
        <v>0</v>
      </c>
      <c r="O939" s="2">
        <v>0</v>
      </c>
      <c r="P939" s="2" t="s">
        <v>439</v>
      </c>
      <c r="Q939" s="2" t="str">
        <f t="shared" si="127"/>
        <v>SI_A_LSR_ENTANGLE</v>
      </c>
      <c r="R939" s="2" t="b">
        <v>0</v>
      </c>
      <c r="S939" s="2" t="b">
        <v>1</v>
      </c>
      <c r="T939" s="2">
        <v>1</v>
      </c>
      <c r="U939" s="2" t="b">
        <v>1</v>
      </c>
      <c r="V939" s="2" t="s">
        <v>262</v>
      </c>
      <c r="W939" s="2">
        <v>6.5</v>
      </c>
      <c r="X939" s="2" t="s">
        <v>252</v>
      </c>
      <c r="Y939" s="2">
        <v>4</v>
      </c>
    </row>
    <row r="940" spans="1:29">
      <c r="A940" s="4">
        <v>2204</v>
      </c>
      <c r="B940" s="7" t="str">
        <f>VLOOKUP($A940,SkillEnum!$A$2:$C$1020,2,FALSE)</f>
        <v>SI_A_LSR_ENTANGLE</v>
      </c>
      <c r="C940" s="7">
        <v>6</v>
      </c>
      <c r="D940" s="2" t="str">
        <f>VLOOKUP($C940,SkillEnum!$D$2:$E$10,2,FALSE)</f>
        <v>ST_ACTIVE</v>
      </c>
      <c r="E940" s="7" t="str">
        <f>VLOOKUP($A940,SkillEnum!$A$2:$C$1020,3,FALSE)</f>
        <v>인탱글</v>
      </c>
      <c r="F940" s="7" t="str">
        <f t="shared" si="128"/>
        <v>지면에 보이지 않는 덩굴로 된 덫을 설치하여, 그것을 밟은 적을 7초간 침묵시키고 이동할 수 없게 한다. (총 5개 까지 설치 가능하며, 10초 후 사라진다. 설치 후 1초 뒤 작동)</v>
      </c>
      <c r="G940" s="2">
        <v>9</v>
      </c>
      <c r="H940" s="2">
        <v>6</v>
      </c>
      <c r="I940" s="2">
        <v>5</v>
      </c>
      <c r="J940" s="2">
        <v>30</v>
      </c>
      <c r="K940" s="2">
        <v>0</v>
      </c>
      <c r="L940" s="2">
        <v>0</v>
      </c>
      <c r="M940" s="2">
        <v>0</v>
      </c>
      <c r="N940" s="2">
        <v>0</v>
      </c>
      <c r="O940" s="2">
        <v>0</v>
      </c>
      <c r="P940" s="2" t="s">
        <v>439</v>
      </c>
      <c r="Q940" s="2" t="str">
        <f t="shared" si="127"/>
        <v>SI_A_LSR_ENTANGLE</v>
      </c>
      <c r="R940" s="2" t="b">
        <v>0</v>
      </c>
      <c r="S940" s="2" t="b">
        <v>1</v>
      </c>
      <c r="T940" s="2">
        <v>1</v>
      </c>
      <c r="U940" s="2" t="b">
        <v>1</v>
      </c>
      <c r="V940" s="2" t="s">
        <v>262</v>
      </c>
      <c r="W940" s="2">
        <v>7</v>
      </c>
      <c r="X940" s="2" t="s">
        <v>252</v>
      </c>
      <c r="Y940" s="2">
        <v>5</v>
      </c>
    </row>
    <row r="941" spans="1:29" s="5" customFormat="1">
      <c r="A941" s="6">
        <v>2204</v>
      </c>
      <c r="B941" s="8" t="str">
        <f>VLOOKUP($A941,SkillEnum!$A$2:$C$1020,2,FALSE)</f>
        <v>SI_A_LSR_ENTANGLE</v>
      </c>
      <c r="C941" s="8">
        <v>6</v>
      </c>
      <c r="D941" s="5" t="str">
        <f>VLOOKUP($C941,SkillEnum!$D$2:$E$10,2,FALSE)</f>
        <v>ST_ACTIVE</v>
      </c>
      <c r="E941" s="8" t="str">
        <f>VLOOKUP($A941,SkillEnum!$A$2:$C$1020,3,FALSE)</f>
        <v>인탱글</v>
      </c>
      <c r="F941" s="7" t="str">
        <f t="shared" si="128"/>
        <v>지면에 보이지 않는 덩굴로 된 덫을 설치하여, 그것을 밟은 적을 7.5초간 침묵시키고 이동할 수 없게 한다. (총 5개 까지 설치 가능하며, 10초 후 사라진다. 설치 후 1초 뒤 작동)</v>
      </c>
      <c r="G941" s="5">
        <v>10</v>
      </c>
      <c r="H941" s="5">
        <v>6.5</v>
      </c>
      <c r="I941" s="5">
        <v>5</v>
      </c>
      <c r="J941" s="5">
        <v>30</v>
      </c>
      <c r="K941" s="5">
        <v>0</v>
      </c>
      <c r="L941" s="5">
        <v>0</v>
      </c>
      <c r="M941" s="5">
        <v>0</v>
      </c>
      <c r="N941" s="5">
        <v>0</v>
      </c>
      <c r="O941" s="5">
        <v>0</v>
      </c>
      <c r="P941" s="2" t="s">
        <v>439</v>
      </c>
      <c r="Q941" s="2" t="str">
        <f t="shared" si="127"/>
        <v>SI_A_LSR_ENTANGLE</v>
      </c>
      <c r="R941" s="5" t="b">
        <v>0</v>
      </c>
      <c r="S941" s="2" t="b">
        <v>1</v>
      </c>
      <c r="T941" s="2">
        <v>1</v>
      </c>
      <c r="U941" s="2" t="b">
        <v>1</v>
      </c>
      <c r="V941" s="5" t="s">
        <v>262</v>
      </c>
      <c r="W941" s="5">
        <v>7.5</v>
      </c>
      <c r="X941" s="5" t="s">
        <v>252</v>
      </c>
      <c r="Y941" s="5">
        <v>5</v>
      </c>
    </row>
    <row r="942" spans="1:29" s="10" customFormat="1">
      <c r="A942" s="9">
        <v>2400</v>
      </c>
      <c r="B942" s="11" t="str">
        <f>VLOOKUP($A942,SkillEnum!$A$2:$C$1020,2,FALSE)</f>
        <v>SI_P_LE_SIEGEMODE_UP</v>
      </c>
      <c r="C942" s="11">
        <v>8</v>
      </c>
      <c r="D942" s="10" t="str">
        <f>VLOOKUP($C942,SkillEnum!$D$2:$E$10,2,FALSE)</f>
        <v>ST_PASSIVE</v>
      </c>
      <c r="E942" s="11" t="str">
        <f>VLOOKUP($A942,SkillEnum!$A$2:$C$1020,3,FALSE)</f>
        <v>시즈모드 연마</v>
      </c>
      <c r="F942" s="11" t="str">
        <f>"시즈모드에 소요되는 시간이 "&amp;ROUND((1-Y942)*100,0)&amp;" % 감소한다."</f>
        <v>시즈모드에 소요되는 시간이 20 % 감소한다.</v>
      </c>
      <c r="G942" s="10">
        <v>1</v>
      </c>
      <c r="H942" s="10">
        <v>1</v>
      </c>
      <c r="I942" s="2">
        <v>0</v>
      </c>
      <c r="J942" s="10">
        <v>0</v>
      </c>
      <c r="K942" s="2">
        <v>0</v>
      </c>
      <c r="L942" s="2">
        <v>0</v>
      </c>
      <c r="M942" s="2">
        <v>0</v>
      </c>
      <c r="N942" s="2">
        <v>0</v>
      </c>
      <c r="O942" s="2">
        <v>0</v>
      </c>
      <c r="P942" s="2" t="s">
        <v>439</v>
      </c>
      <c r="Q942" s="2" t="str">
        <f t="shared" si="115"/>
        <v>SI_P_LE_SIEGEMODE_UP</v>
      </c>
      <c r="R942" s="2" t="b">
        <v>0</v>
      </c>
      <c r="S942" s="2" t="b">
        <v>1</v>
      </c>
      <c r="T942" s="2">
        <v>0</v>
      </c>
      <c r="U942" s="2"/>
      <c r="V942" s="2" t="s">
        <v>265</v>
      </c>
      <c r="W942" s="2">
        <v>2200</v>
      </c>
      <c r="X942" s="10" t="s">
        <v>253</v>
      </c>
      <c r="Y942" s="10">
        <v>0.8</v>
      </c>
      <c r="Z942" s="10" t="s">
        <v>169</v>
      </c>
      <c r="AA942" s="10">
        <v>1</v>
      </c>
      <c r="AB942" s="10" t="s">
        <v>242</v>
      </c>
      <c r="AC942" s="10">
        <v>1</v>
      </c>
    </row>
    <row r="943" spans="1:29">
      <c r="A943" s="4">
        <v>2400</v>
      </c>
      <c r="B943" s="7" t="str">
        <f>VLOOKUP($A943,SkillEnum!$A$2:$C$1020,2,FALSE)</f>
        <v>SI_P_LE_SIEGEMODE_UP</v>
      </c>
      <c r="C943" s="7">
        <v>8</v>
      </c>
      <c r="D943" s="2" t="str">
        <f>VLOOKUP($C943,SkillEnum!$D$2:$E$10,2,FALSE)</f>
        <v>ST_PASSIVE</v>
      </c>
      <c r="E943" s="7" t="str">
        <f>VLOOKUP($A943,SkillEnum!$A$2:$C$1020,3,FALSE)</f>
        <v>시즈모드 연마</v>
      </c>
      <c r="F943" s="7" t="str">
        <f t="shared" ref="F943:F951" si="129">"시즈모드에 소요되는 시간이 "&amp;ROUND((1-Y943)*100,0)&amp;" % 감소한다. 시즈모드시 화살에 소모되는 마나가 "&amp;ROUND((1-AA943)*100,0)&amp;" % 감소하고 화살당 공격력이 "&amp;ROUND((AC943-1)*100,0)&amp;" % 증가 한다."</f>
        <v>시즈모드에 소요되는 시간이 40 % 감소한다. 시즈모드시 화살에 소모되는 마나가 10 % 감소하고 화살당 공격력이 25 % 증가 한다.</v>
      </c>
      <c r="G943" s="2">
        <v>2</v>
      </c>
      <c r="H943" s="2">
        <v>1</v>
      </c>
      <c r="I943" s="2">
        <v>0</v>
      </c>
      <c r="J943" s="2">
        <v>0</v>
      </c>
      <c r="K943" s="2">
        <v>0</v>
      </c>
      <c r="L943" s="2">
        <v>0</v>
      </c>
      <c r="M943" s="2">
        <v>0</v>
      </c>
      <c r="N943" s="2">
        <v>0</v>
      </c>
      <c r="O943" s="2">
        <v>0</v>
      </c>
      <c r="P943" s="2" t="s">
        <v>439</v>
      </c>
      <c r="Q943" s="2" t="str">
        <f t="shared" si="115"/>
        <v>SI_P_LE_SIEGEMODE_UP</v>
      </c>
      <c r="R943" s="2" t="b">
        <v>0</v>
      </c>
      <c r="S943" s="2" t="b">
        <v>1</v>
      </c>
      <c r="T943" s="2">
        <v>0</v>
      </c>
      <c r="V943" s="2" t="s">
        <v>265</v>
      </c>
      <c r="W943" s="2">
        <v>2200</v>
      </c>
      <c r="X943" s="2" t="s">
        <v>253</v>
      </c>
      <c r="Y943" s="2">
        <v>0.6</v>
      </c>
      <c r="Z943" s="2" t="s">
        <v>169</v>
      </c>
      <c r="AA943" s="2">
        <v>0.9</v>
      </c>
      <c r="AB943" s="2" t="s">
        <v>242</v>
      </c>
      <c r="AC943" s="2">
        <v>1.25</v>
      </c>
    </row>
    <row r="944" spans="1:29">
      <c r="A944" s="4">
        <v>2400</v>
      </c>
      <c r="B944" s="7" t="str">
        <f>VLOOKUP($A944,SkillEnum!$A$2:$C$1020,2,FALSE)</f>
        <v>SI_P_LE_SIEGEMODE_UP</v>
      </c>
      <c r="C944" s="7">
        <v>8</v>
      </c>
      <c r="D944" s="2" t="str">
        <f>VLOOKUP($C944,SkillEnum!$D$2:$E$10,2,FALSE)</f>
        <v>ST_PASSIVE</v>
      </c>
      <c r="E944" s="7" t="str">
        <f>VLOOKUP($A944,SkillEnum!$A$2:$C$1020,3,FALSE)</f>
        <v>시즈모드 연마</v>
      </c>
      <c r="F944" s="7" t="str">
        <f t="shared" si="129"/>
        <v>시즈모드에 소요되는 시간이 60 % 감소한다. 시즈모드시 화살에 소모되는 마나가 20 % 감소하고 화살당 공격력이 50 % 증가 한다.</v>
      </c>
      <c r="G944" s="2">
        <v>3</v>
      </c>
      <c r="H944" s="2">
        <v>1</v>
      </c>
      <c r="I944" s="2">
        <v>0</v>
      </c>
      <c r="J944" s="2">
        <v>0</v>
      </c>
      <c r="K944" s="2">
        <v>0</v>
      </c>
      <c r="L944" s="2">
        <v>0</v>
      </c>
      <c r="M944" s="2">
        <v>0</v>
      </c>
      <c r="N944" s="2">
        <v>0</v>
      </c>
      <c r="O944" s="2">
        <v>0</v>
      </c>
      <c r="P944" s="2" t="s">
        <v>439</v>
      </c>
      <c r="Q944" s="2" t="str">
        <f t="shared" si="115"/>
        <v>SI_P_LE_SIEGEMODE_UP</v>
      </c>
      <c r="R944" s="2" t="b">
        <v>0</v>
      </c>
      <c r="S944" s="2" t="b">
        <v>1</v>
      </c>
      <c r="T944" s="2">
        <v>0</v>
      </c>
      <c r="V944" s="2" t="s">
        <v>265</v>
      </c>
      <c r="W944" s="2">
        <v>2200</v>
      </c>
      <c r="X944" s="2" t="s">
        <v>253</v>
      </c>
      <c r="Y944" s="2">
        <v>0.4</v>
      </c>
      <c r="Z944" s="2" t="s">
        <v>169</v>
      </c>
      <c r="AA944" s="2">
        <v>0.8</v>
      </c>
      <c r="AB944" s="2" t="s">
        <v>242</v>
      </c>
      <c r="AC944" s="2">
        <v>1.5</v>
      </c>
    </row>
    <row r="945" spans="1:29">
      <c r="A945" s="4">
        <v>2400</v>
      </c>
      <c r="B945" s="7" t="str">
        <f>VLOOKUP($A945,SkillEnum!$A$2:$C$1020,2,FALSE)</f>
        <v>SI_P_LE_SIEGEMODE_UP</v>
      </c>
      <c r="C945" s="7">
        <v>8</v>
      </c>
      <c r="D945" s="2" t="str">
        <f>VLOOKUP($C945,SkillEnum!$D$2:$E$10,2,FALSE)</f>
        <v>ST_PASSIVE</v>
      </c>
      <c r="E945" s="7" t="str">
        <f>VLOOKUP($A945,SkillEnum!$A$2:$C$1020,3,FALSE)</f>
        <v>시즈모드 연마</v>
      </c>
      <c r="F945" s="7" t="str">
        <f t="shared" si="129"/>
        <v>시즈모드에 소요되는 시간이 80 % 감소한다. 시즈모드시 화살에 소모되는 마나가 30 % 감소하고 화살당 공격력이 75 % 증가 한다.</v>
      </c>
      <c r="G945" s="2">
        <v>4</v>
      </c>
      <c r="H945" s="2">
        <v>1</v>
      </c>
      <c r="I945" s="2">
        <v>0</v>
      </c>
      <c r="J945" s="2">
        <v>0</v>
      </c>
      <c r="K945" s="2">
        <v>0</v>
      </c>
      <c r="L945" s="2">
        <v>0</v>
      </c>
      <c r="M945" s="2">
        <v>0</v>
      </c>
      <c r="N945" s="2">
        <v>0</v>
      </c>
      <c r="O945" s="2">
        <v>0</v>
      </c>
      <c r="P945" s="2" t="s">
        <v>439</v>
      </c>
      <c r="Q945" s="2" t="str">
        <f t="shared" si="115"/>
        <v>SI_P_LE_SIEGEMODE_UP</v>
      </c>
      <c r="R945" s="2" t="b">
        <v>0</v>
      </c>
      <c r="S945" s="2" t="b">
        <v>1</v>
      </c>
      <c r="T945" s="2">
        <v>0</v>
      </c>
      <c r="V945" s="2" t="s">
        <v>265</v>
      </c>
      <c r="W945" s="2">
        <v>2200</v>
      </c>
      <c r="X945" s="2" t="s">
        <v>253</v>
      </c>
      <c r="Y945" s="2">
        <v>0.2</v>
      </c>
      <c r="Z945" s="2" t="s">
        <v>169</v>
      </c>
      <c r="AA945" s="2">
        <v>0.7</v>
      </c>
      <c r="AB945" s="2" t="s">
        <v>242</v>
      </c>
      <c r="AC945" s="2">
        <v>1.75</v>
      </c>
    </row>
    <row r="946" spans="1:29">
      <c r="A946" s="4">
        <v>2400</v>
      </c>
      <c r="B946" s="7" t="str">
        <f>VLOOKUP($A946,SkillEnum!$A$2:$C$1020,2,FALSE)</f>
        <v>SI_P_LE_SIEGEMODE_UP</v>
      </c>
      <c r="C946" s="7">
        <v>8</v>
      </c>
      <c r="D946" s="2" t="str">
        <f>VLOOKUP($C946,SkillEnum!$D$2:$E$10,2,FALSE)</f>
        <v>ST_PASSIVE</v>
      </c>
      <c r="E946" s="7" t="str">
        <f>VLOOKUP($A946,SkillEnum!$A$2:$C$1020,3,FALSE)</f>
        <v>시즈모드 연마</v>
      </c>
      <c r="F946" s="7" t="str">
        <f t="shared" si="129"/>
        <v>시즈모드에 소요되는 시간이 80 % 감소한다. 시즈모드시 화살에 소모되는 마나가 40 % 감소하고 화살당 공격력이 100 % 증가 한다.</v>
      </c>
      <c r="G946" s="2">
        <v>5</v>
      </c>
      <c r="H946" s="2">
        <v>1</v>
      </c>
      <c r="I946" s="2">
        <v>0</v>
      </c>
      <c r="J946" s="2">
        <v>0</v>
      </c>
      <c r="K946" s="2">
        <v>0</v>
      </c>
      <c r="L946" s="2">
        <v>0</v>
      </c>
      <c r="M946" s="2">
        <v>0</v>
      </c>
      <c r="N946" s="2">
        <v>0</v>
      </c>
      <c r="O946" s="2">
        <v>0</v>
      </c>
      <c r="P946" s="2" t="s">
        <v>439</v>
      </c>
      <c r="Q946" s="2" t="str">
        <f t="shared" si="115"/>
        <v>SI_P_LE_SIEGEMODE_UP</v>
      </c>
      <c r="R946" s="2" t="b">
        <v>0</v>
      </c>
      <c r="S946" s="2" t="b">
        <v>1</v>
      </c>
      <c r="T946" s="2">
        <v>0</v>
      </c>
      <c r="V946" s="2" t="s">
        <v>265</v>
      </c>
      <c r="W946" s="2">
        <v>2200</v>
      </c>
      <c r="X946" s="2" t="s">
        <v>253</v>
      </c>
      <c r="Y946" s="2">
        <v>0.2</v>
      </c>
      <c r="Z946" s="2" t="s">
        <v>169</v>
      </c>
      <c r="AA946" s="2">
        <v>0.6</v>
      </c>
      <c r="AB946" s="2" t="s">
        <v>242</v>
      </c>
      <c r="AC946" s="2">
        <v>2</v>
      </c>
    </row>
    <row r="947" spans="1:29">
      <c r="A947" s="4">
        <v>2400</v>
      </c>
      <c r="B947" s="7" t="str">
        <f>VLOOKUP($A947,SkillEnum!$A$2:$C$1020,2,FALSE)</f>
        <v>SI_P_LE_SIEGEMODE_UP</v>
      </c>
      <c r="C947" s="7">
        <v>8</v>
      </c>
      <c r="D947" s="2" t="str">
        <f>VLOOKUP($C947,SkillEnum!$D$2:$E$10,2,FALSE)</f>
        <v>ST_PASSIVE</v>
      </c>
      <c r="E947" s="7" t="str">
        <f>VLOOKUP($A947,SkillEnum!$A$2:$C$1020,3,FALSE)</f>
        <v>시즈모드 연마</v>
      </c>
      <c r="F947" s="7" t="str">
        <f t="shared" si="129"/>
        <v>시즈모드에 소요되는 시간이 80 % 감소한다. 시즈모드시 화살에 소모되는 마나가 50 % 감소하고 화살당 공격력이 125 % 증가 한다.</v>
      </c>
      <c r="G947" s="2">
        <v>6</v>
      </c>
      <c r="H947" s="2">
        <v>1</v>
      </c>
      <c r="I947" s="2">
        <v>0</v>
      </c>
      <c r="J947" s="2">
        <v>0</v>
      </c>
      <c r="K947" s="2">
        <v>0</v>
      </c>
      <c r="L947" s="2">
        <v>0</v>
      </c>
      <c r="M947" s="2">
        <v>0</v>
      </c>
      <c r="N947" s="2">
        <v>0</v>
      </c>
      <c r="O947" s="2">
        <v>0</v>
      </c>
      <c r="P947" s="2" t="s">
        <v>439</v>
      </c>
      <c r="Q947" s="2" t="str">
        <f t="shared" si="115"/>
        <v>SI_P_LE_SIEGEMODE_UP</v>
      </c>
      <c r="R947" s="2" t="b">
        <v>0</v>
      </c>
      <c r="S947" s="2" t="b">
        <v>1</v>
      </c>
      <c r="T947" s="2">
        <v>0</v>
      </c>
      <c r="V947" s="2" t="s">
        <v>265</v>
      </c>
      <c r="W947" s="2">
        <v>2200</v>
      </c>
      <c r="X947" s="2" t="s">
        <v>253</v>
      </c>
      <c r="Y947" s="2">
        <v>0.2</v>
      </c>
      <c r="Z947" s="2" t="s">
        <v>169</v>
      </c>
      <c r="AA947" s="2">
        <v>0.5</v>
      </c>
      <c r="AB947" s="2" t="s">
        <v>242</v>
      </c>
      <c r="AC947" s="2">
        <v>2.25</v>
      </c>
    </row>
    <row r="948" spans="1:29">
      <c r="A948" s="4">
        <v>2400</v>
      </c>
      <c r="B948" s="7" t="str">
        <f>VLOOKUP($A948,SkillEnum!$A$2:$C$1020,2,FALSE)</f>
        <v>SI_P_LE_SIEGEMODE_UP</v>
      </c>
      <c r="C948" s="7">
        <v>8</v>
      </c>
      <c r="D948" s="2" t="str">
        <f>VLOOKUP($C948,SkillEnum!$D$2:$E$10,2,FALSE)</f>
        <v>ST_PASSIVE</v>
      </c>
      <c r="E948" s="7" t="str">
        <f>VLOOKUP($A948,SkillEnum!$A$2:$C$1020,3,FALSE)</f>
        <v>시즈모드 연마</v>
      </c>
      <c r="F948" s="7" t="str">
        <f t="shared" si="129"/>
        <v>시즈모드에 소요되는 시간이 80 % 감소한다. 시즈모드시 화살에 소모되는 마나가 60 % 감소하고 화살당 공격력이 150 % 증가 한다.</v>
      </c>
      <c r="G948" s="2">
        <v>7</v>
      </c>
      <c r="H948" s="2">
        <v>1</v>
      </c>
      <c r="I948" s="2">
        <v>0</v>
      </c>
      <c r="J948" s="2">
        <v>0</v>
      </c>
      <c r="K948" s="2">
        <v>0</v>
      </c>
      <c r="L948" s="2">
        <v>0</v>
      </c>
      <c r="M948" s="2">
        <v>0</v>
      </c>
      <c r="N948" s="2">
        <v>0</v>
      </c>
      <c r="O948" s="2">
        <v>0</v>
      </c>
      <c r="P948" s="2" t="s">
        <v>439</v>
      </c>
      <c r="Q948" s="2" t="str">
        <f t="shared" si="115"/>
        <v>SI_P_LE_SIEGEMODE_UP</v>
      </c>
      <c r="R948" s="2" t="b">
        <v>0</v>
      </c>
      <c r="S948" s="2" t="b">
        <v>1</v>
      </c>
      <c r="T948" s="2">
        <v>0</v>
      </c>
      <c r="V948" s="2" t="s">
        <v>265</v>
      </c>
      <c r="W948" s="2">
        <v>2200</v>
      </c>
      <c r="X948" s="2" t="s">
        <v>253</v>
      </c>
      <c r="Y948" s="2">
        <v>0.2</v>
      </c>
      <c r="Z948" s="2" t="s">
        <v>169</v>
      </c>
      <c r="AA948" s="2">
        <v>0.4</v>
      </c>
      <c r="AB948" s="2" t="s">
        <v>242</v>
      </c>
      <c r="AC948" s="2">
        <v>2.5</v>
      </c>
    </row>
    <row r="949" spans="1:29">
      <c r="A949" s="4">
        <v>2400</v>
      </c>
      <c r="B949" s="7" t="str">
        <f>VLOOKUP($A949,SkillEnum!$A$2:$C$1020,2,FALSE)</f>
        <v>SI_P_LE_SIEGEMODE_UP</v>
      </c>
      <c r="C949" s="7">
        <v>8</v>
      </c>
      <c r="D949" s="2" t="str">
        <f>VLOOKUP($C949,SkillEnum!$D$2:$E$10,2,FALSE)</f>
        <v>ST_PASSIVE</v>
      </c>
      <c r="E949" s="7" t="str">
        <f>VLOOKUP($A949,SkillEnum!$A$2:$C$1020,3,FALSE)</f>
        <v>시즈모드 연마</v>
      </c>
      <c r="F949" s="7" t="str">
        <f t="shared" si="129"/>
        <v>시즈모드에 소요되는 시간이 80 % 감소한다. 시즈모드시 화살에 소모되는 마나가 70 % 감소하고 화살당 공격력이 175 % 증가 한다.</v>
      </c>
      <c r="G949" s="2">
        <v>8</v>
      </c>
      <c r="H949" s="2">
        <v>1</v>
      </c>
      <c r="I949" s="2">
        <v>0</v>
      </c>
      <c r="J949" s="2">
        <v>0</v>
      </c>
      <c r="K949" s="2">
        <v>0</v>
      </c>
      <c r="L949" s="2">
        <v>0</v>
      </c>
      <c r="M949" s="2">
        <v>0</v>
      </c>
      <c r="N949" s="2">
        <v>0</v>
      </c>
      <c r="O949" s="2">
        <v>0</v>
      </c>
      <c r="P949" s="2" t="s">
        <v>439</v>
      </c>
      <c r="Q949" s="2" t="str">
        <f t="shared" si="115"/>
        <v>SI_P_LE_SIEGEMODE_UP</v>
      </c>
      <c r="R949" s="2" t="b">
        <v>0</v>
      </c>
      <c r="S949" s="2" t="b">
        <v>1</v>
      </c>
      <c r="T949" s="2">
        <v>0</v>
      </c>
      <c r="V949" s="2" t="s">
        <v>265</v>
      </c>
      <c r="W949" s="2">
        <v>2200</v>
      </c>
      <c r="X949" s="2" t="s">
        <v>253</v>
      </c>
      <c r="Y949" s="2">
        <v>0.2</v>
      </c>
      <c r="Z949" s="2" t="s">
        <v>169</v>
      </c>
      <c r="AA949" s="2">
        <v>0.3</v>
      </c>
      <c r="AB949" s="2" t="s">
        <v>242</v>
      </c>
      <c r="AC949" s="2">
        <v>2.75</v>
      </c>
    </row>
    <row r="950" spans="1:29">
      <c r="A950" s="4">
        <v>2400</v>
      </c>
      <c r="B950" s="7" t="str">
        <f>VLOOKUP($A950,SkillEnum!$A$2:$C$1020,2,FALSE)</f>
        <v>SI_P_LE_SIEGEMODE_UP</v>
      </c>
      <c r="C950" s="7">
        <v>8</v>
      </c>
      <c r="D950" s="2" t="str">
        <f>VLOOKUP($C950,SkillEnum!$D$2:$E$10,2,FALSE)</f>
        <v>ST_PASSIVE</v>
      </c>
      <c r="E950" s="7" t="str">
        <f>VLOOKUP($A950,SkillEnum!$A$2:$C$1020,3,FALSE)</f>
        <v>시즈모드 연마</v>
      </c>
      <c r="F950" s="7" t="str">
        <f t="shared" si="129"/>
        <v>시즈모드에 소요되는 시간이 80 % 감소한다. 시즈모드시 화살에 소모되는 마나가 80 % 감소하고 화살당 공격력이 200 % 증가 한다.</v>
      </c>
      <c r="G950" s="2">
        <v>9</v>
      </c>
      <c r="H950" s="2">
        <v>1</v>
      </c>
      <c r="I950" s="2">
        <v>0</v>
      </c>
      <c r="J950" s="2">
        <v>0</v>
      </c>
      <c r="K950" s="2">
        <v>0</v>
      </c>
      <c r="L950" s="2">
        <v>0</v>
      </c>
      <c r="M950" s="2">
        <v>0</v>
      </c>
      <c r="N950" s="2">
        <v>0</v>
      </c>
      <c r="O950" s="2">
        <v>0</v>
      </c>
      <c r="P950" s="2" t="s">
        <v>439</v>
      </c>
      <c r="Q950" s="2" t="str">
        <f t="shared" si="115"/>
        <v>SI_P_LE_SIEGEMODE_UP</v>
      </c>
      <c r="R950" s="2" t="b">
        <v>0</v>
      </c>
      <c r="S950" s="2" t="b">
        <v>1</v>
      </c>
      <c r="T950" s="2">
        <v>0</v>
      </c>
      <c r="V950" s="2" t="s">
        <v>265</v>
      </c>
      <c r="W950" s="2">
        <v>2200</v>
      </c>
      <c r="X950" s="2" t="s">
        <v>253</v>
      </c>
      <c r="Y950" s="2">
        <v>0.2</v>
      </c>
      <c r="Z950" s="2" t="s">
        <v>169</v>
      </c>
      <c r="AA950" s="2">
        <v>0.2</v>
      </c>
      <c r="AB950" s="2" t="s">
        <v>242</v>
      </c>
      <c r="AC950" s="2">
        <v>3</v>
      </c>
    </row>
    <row r="951" spans="1:29" s="5" customFormat="1">
      <c r="A951" s="6">
        <v>2400</v>
      </c>
      <c r="B951" s="8" t="str">
        <f>VLOOKUP($A951,SkillEnum!$A$2:$C$1020,2,FALSE)</f>
        <v>SI_P_LE_SIEGEMODE_UP</v>
      </c>
      <c r="C951" s="8">
        <v>8</v>
      </c>
      <c r="D951" s="5" t="str">
        <f>VLOOKUP($C951,SkillEnum!$D$2:$E$10,2,FALSE)</f>
        <v>ST_PASSIVE</v>
      </c>
      <c r="E951" s="8" t="str">
        <f>VLOOKUP($A951,SkillEnum!$A$2:$C$1020,3,FALSE)</f>
        <v>시즈모드 연마</v>
      </c>
      <c r="F951" s="7" t="str">
        <f t="shared" si="129"/>
        <v>시즈모드에 소요되는 시간이 80 % 감소한다. 시즈모드시 화살에 소모되는 마나가 100 % 감소하고 화살당 공격력이 225 % 증가 한다.</v>
      </c>
      <c r="G951" s="5">
        <v>10</v>
      </c>
      <c r="H951" s="5">
        <v>1</v>
      </c>
      <c r="I951" s="5">
        <v>0</v>
      </c>
      <c r="J951" s="5">
        <v>0</v>
      </c>
      <c r="K951" s="5">
        <v>0</v>
      </c>
      <c r="L951" s="5">
        <v>0</v>
      </c>
      <c r="M951" s="5">
        <v>0</v>
      </c>
      <c r="N951" s="5">
        <v>0</v>
      </c>
      <c r="O951" s="5">
        <v>0</v>
      </c>
      <c r="P951" s="2" t="s">
        <v>439</v>
      </c>
      <c r="Q951" s="2" t="str">
        <f t="shared" si="115"/>
        <v>SI_P_LE_SIEGEMODE_UP</v>
      </c>
      <c r="R951" s="5" t="b">
        <v>0</v>
      </c>
      <c r="S951" s="2" t="b">
        <v>1</v>
      </c>
      <c r="T951" s="2">
        <v>0</v>
      </c>
      <c r="U951" s="2"/>
      <c r="V951" s="5" t="s">
        <v>265</v>
      </c>
      <c r="W951" s="2">
        <v>2200</v>
      </c>
      <c r="X951" s="5" t="s">
        <v>253</v>
      </c>
      <c r="Y951" s="5">
        <v>0.2</v>
      </c>
      <c r="Z951" s="5" t="s">
        <v>169</v>
      </c>
      <c r="AA951" s="5">
        <v>0</v>
      </c>
      <c r="AB951" s="5" t="s">
        <v>242</v>
      </c>
      <c r="AC951" s="5">
        <v>3.25</v>
      </c>
    </row>
    <row r="952" spans="1:29" s="10" customFormat="1">
      <c r="A952" s="9">
        <v>2401</v>
      </c>
      <c r="B952" s="11" t="str">
        <f>VLOOKUP($A952,SkillEnum!$A$2:$C$1020,2,FALSE)</f>
        <v>SI_P_LE_SHARP_KICK</v>
      </c>
      <c r="C952" s="11">
        <v>8</v>
      </c>
      <c r="D952" s="10" t="str">
        <f>VLOOKUP($C952,SkillEnum!$D$2:$E$10,2,FALSE)</f>
        <v>ST_PASSIVE</v>
      </c>
      <c r="E952" s="11" t="str">
        <f>VLOOKUP($A952,SkillEnum!$A$2:$C$1020,3,FALSE)</f>
        <v>날렵한 발차기</v>
      </c>
      <c r="F952" s="11" t="str">
        <f t="shared" ref="F952:F961" si="130">"발을 이용한 일반공격의 다운수치가 "&amp;ROUND((1-W952)*100,0)&amp;" % 감소한다."</f>
        <v>발을 이용한 일반공격의 다운수치가 5 % 감소한다.</v>
      </c>
      <c r="G952" s="10">
        <v>1</v>
      </c>
      <c r="H952" s="2">
        <v>1</v>
      </c>
      <c r="I952" s="2">
        <v>0</v>
      </c>
      <c r="J952" s="10">
        <v>0</v>
      </c>
      <c r="K952" s="2">
        <v>0</v>
      </c>
      <c r="L952" s="2">
        <v>0</v>
      </c>
      <c r="M952" s="2">
        <v>0</v>
      </c>
      <c r="N952" s="2">
        <v>0</v>
      </c>
      <c r="O952" s="2">
        <v>0</v>
      </c>
      <c r="P952" s="2" t="s">
        <v>440</v>
      </c>
      <c r="Q952" s="2" t="str">
        <f t="shared" si="115"/>
        <v>SI_P_LE_SHARP_KICK</v>
      </c>
      <c r="R952" s="2" t="b">
        <v>0</v>
      </c>
      <c r="S952" s="2" t="b">
        <v>1</v>
      </c>
      <c r="T952" s="2">
        <v>0</v>
      </c>
      <c r="U952" s="2"/>
      <c r="V952" s="10" t="s">
        <v>254</v>
      </c>
      <c r="W952" s="10">
        <v>0.95</v>
      </c>
    </row>
    <row r="953" spans="1:29">
      <c r="A953" s="4">
        <v>2401</v>
      </c>
      <c r="B953" s="7" t="str">
        <f>VLOOKUP($A953,SkillEnum!$A$2:$C$1020,2,FALSE)</f>
        <v>SI_P_LE_SHARP_KICK</v>
      </c>
      <c r="C953" s="7">
        <v>8</v>
      </c>
      <c r="D953" s="2" t="str">
        <f>VLOOKUP($C953,SkillEnum!$D$2:$E$10,2,FALSE)</f>
        <v>ST_PASSIVE</v>
      </c>
      <c r="E953" s="7" t="str">
        <f>VLOOKUP($A953,SkillEnum!$A$2:$C$1020,3,FALSE)</f>
        <v>날렵한 발차기</v>
      </c>
      <c r="F953" s="7" t="str">
        <f t="shared" si="130"/>
        <v>발을 이용한 일반공격의 다운수치가 10 % 감소한다.</v>
      </c>
      <c r="G953" s="2">
        <v>2</v>
      </c>
      <c r="H953" s="2">
        <v>1</v>
      </c>
      <c r="I953" s="2">
        <v>0</v>
      </c>
      <c r="J953" s="2">
        <v>0</v>
      </c>
      <c r="K953" s="2">
        <v>0</v>
      </c>
      <c r="L953" s="2">
        <v>0</v>
      </c>
      <c r="M953" s="2">
        <v>0</v>
      </c>
      <c r="N953" s="2">
        <v>0</v>
      </c>
      <c r="O953" s="2">
        <v>0</v>
      </c>
      <c r="P953" s="2" t="s">
        <v>440</v>
      </c>
      <c r="Q953" s="2" t="str">
        <f t="shared" si="115"/>
        <v>SI_P_LE_SHARP_KICK</v>
      </c>
      <c r="R953" s="2" t="b">
        <v>0</v>
      </c>
      <c r="S953" s="2" t="b">
        <v>1</v>
      </c>
      <c r="T953" s="2">
        <v>0</v>
      </c>
      <c r="V953" s="2" t="s">
        <v>254</v>
      </c>
      <c r="W953" s="2">
        <v>0.9</v>
      </c>
    </row>
    <row r="954" spans="1:29">
      <c r="A954" s="4">
        <v>2401</v>
      </c>
      <c r="B954" s="7" t="str">
        <f>VLOOKUP($A954,SkillEnum!$A$2:$C$1020,2,FALSE)</f>
        <v>SI_P_LE_SHARP_KICK</v>
      </c>
      <c r="C954" s="7">
        <v>8</v>
      </c>
      <c r="D954" s="2" t="str">
        <f>VLOOKUP($C954,SkillEnum!$D$2:$E$10,2,FALSE)</f>
        <v>ST_PASSIVE</v>
      </c>
      <c r="E954" s="7" t="str">
        <f>VLOOKUP($A954,SkillEnum!$A$2:$C$1020,3,FALSE)</f>
        <v>날렵한 발차기</v>
      </c>
      <c r="F954" s="7" t="str">
        <f t="shared" si="130"/>
        <v>발을 이용한 일반공격의 다운수치가 15 % 감소한다.</v>
      </c>
      <c r="G954" s="2">
        <v>3</v>
      </c>
      <c r="H954" s="2">
        <v>1</v>
      </c>
      <c r="I954" s="2">
        <v>0</v>
      </c>
      <c r="J954" s="2">
        <v>0</v>
      </c>
      <c r="K954" s="2">
        <v>0</v>
      </c>
      <c r="L954" s="2">
        <v>0</v>
      </c>
      <c r="M954" s="2">
        <v>0</v>
      </c>
      <c r="N954" s="2">
        <v>0</v>
      </c>
      <c r="O954" s="2">
        <v>0</v>
      </c>
      <c r="P954" s="2" t="s">
        <v>440</v>
      </c>
      <c r="Q954" s="2" t="str">
        <f t="shared" si="115"/>
        <v>SI_P_LE_SHARP_KICK</v>
      </c>
      <c r="R954" s="2" t="b">
        <v>0</v>
      </c>
      <c r="S954" s="2" t="b">
        <v>1</v>
      </c>
      <c r="T954" s="2">
        <v>0</v>
      </c>
      <c r="V954" s="2" t="s">
        <v>254</v>
      </c>
      <c r="W954" s="2">
        <v>0.85</v>
      </c>
    </row>
    <row r="955" spans="1:29">
      <c r="A955" s="4">
        <v>2401</v>
      </c>
      <c r="B955" s="7" t="str">
        <f>VLOOKUP($A955,SkillEnum!$A$2:$C$1020,2,FALSE)</f>
        <v>SI_P_LE_SHARP_KICK</v>
      </c>
      <c r="C955" s="7">
        <v>8</v>
      </c>
      <c r="D955" s="2" t="str">
        <f>VLOOKUP($C955,SkillEnum!$D$2:$E$10,2,FALSE)</f>
        <v>ST_PASSIVE</v>
      </c>
      <c r="E955" s="7" t="str">
        <f>VLOOKUP($A955,SkillEnum!$A$2:$C$1020,3,FALSE)</f>
        <v>날렵한 발차기</v>
      </c>
      <c r="F955" s="7" t="str">
        <f t="shared" si="130"/>
        <v>발을 이용한 일반공격의 다운수치가 20 % 감소한다.</v>
      </c>
      <c r="G955" s="2">
        <v>4</v>
      </c>
      <c r="H955" s="2">
        <v>1</v>
      </c>
      <c r="I955" s="2">
        <v>0</v>
      </c>
      <c r="J955" s="2">
        <v>0</v>
      </c>
      <c r="K955" s="2">
        <v>0</v>
      </c>
      <c r="L955" s="2">
        <v>0</v>
      </c>
      <c r="M955" s="2">
        <v>0</v>
      </c>
      <c r="N955" s="2">
        <v>0</v>
      </c>
      <c r="O955" s="2">
        <v>0</v>
      </c>
      <c r="P955" s="2" t="s">
        <v>440</v>
      </c>
      <c r="Q955" s="2" t="str">
        <f t="shared" ref="Q955:Q1018" si="131">B955</f>
        <v>SI_P_LE_SHARP_KICK</v>
      </c>
      <c r="R955" s="2" t="b">
        <v>0</v>
      </c>
      <c r="S955" s="2" t="b">
        <v>1</v>
      </c>
      <c r="T955" s="2">
        <v>0</v>
      </c>
      <c r="V955" s="2" t="s">
        <v>254</v>
      </c>
      <c r="W955" s="2">
        <v>0.8</v>
      </c>
    </row>
    <row r="956" spans="1:29">
      <c r="A956" s="4">
        <v>2401</v>
      </c>
      <c r="B956" s="7" t="str">
        <f>VLOOKUP($A956,SkillEnum!$A$2:$C$1020,2,FALSE)</f>
        <v>SI_P_LE_SHARP_KICK</v>
      </c>
      <c r="C956" s="7">
        <v>8</v>
      </c>
      <c r="D956" s="2" t="str">
        <f>VLOOKUP($C956,SkillEnum!$D$2:$E$10,2,FALSE)</f>
        <v>ST_PASSIVE</v>
      </c>
      <c r="E956" s="7" t="str">
        <f>VLOOKUP($A956,SkillEnum!$A$2:$C$1020,3,FALSE)</f>
        <v>날렵한 발차기</v>
      </c>
      <c r="F956" s="7" t="str">
        <f t="shared" si="130"/>
        <v>발을 이용한 일반공격의 다운수치가 25 % 감소한다.</v>
      </c>
      <c r="G956" s="2">
        <v>5</v>
      </c>
      <c r="H956" s="2">
        <v>1</v>
      </c>
      <c r="I956" s="2">
        <v>0</v>
      </c>
      <c r="J956" s="2">
        <v>0</v>
      </c>
      <c r="K956" s="2">
        <v>0</v>
      </c>
      <c r="L956" s="2">
        <v>0</v>
      </c>
      <c r="M956" s="2">
        <v>0</v>
      </c>
      <c r="N956" s="2">
        <v>0</v>
      </c>
      <c r="O956" s="2">
        <v>0</v>
      </c>
      <c r="P956" s="2" t="s">
        <v>440</v>
      </c>
      <c r="Q956" s="2" t="str">
        <f t="shared" si="131"/>
        <v>SI_P_LE_SHARP_KICK</v>
      </c>
      <c r="R956" s="2" t="b">
        <v>0</v>
      </c>
      <c r="S956" s="2" t="b">
        <v>1</v>
      </c>
      <c r="T956" s="2">
        <v>0</v>
      </c>
      <c r="V956" s="2" t="s">
        <v>254</v>
      </c>
      <c r="W956" s="2">
        <v>0.75</v>
      </c>
    </row>
    <row r="957" spans="1:29">
      <c r="A957" s="4">
        <v>2401</v>
      </c>
      <c r="B957" s="7" t="str">
        <f>VLOOKUP($A957,SkillEnum!$A$2:$C$1020,2,FALSE)</f>
        <v>SI_P_LE_SHARP_KICK</v>
      </c>
      <c r="C957" s="7">
        <v>8</v>
      </c>
      <c r="D957" s="2" t="str">
        <f>VLOOKUP($C957,SkillEnum!$D$2:$E$10,2,FALSE)</f>
        <v>ST_PASSIVE</v>
      </c>
      <c r="E957" s="7" t="str">
        <f>VLOOKUP($A957,SkillEnum!$A$2:$C$1020,3,FALSE)</f>
        <v>날렵한 발차기</v>
      </c>
      <c r="F957" s="7" t="str">
        <f t="shared" si="130"/>
        <v>발을 이용한 일반공격의 다운수치가 30 % 감소한다.</v>
      </c>
      <c r="G957" s="2">
        <v>6</v>
      </c>
      <c r="H957" s="2">
        <v>1</v>
      </c>
      <c r="I957" s="2">
        <v>0</v>
      </c>
      <c r="J957" s="2">
        <v>0</v>
      </c>
      <c r="K957" s="2">
        <v>0</v>
      </c>
      <c r="L957" s="2">
        <v>0</v>
      </c>
      <c r="M957" s="2">
        <v>0</v>
      </c>
      <c r="N957" s="2">
        <v>0</v>
      </c>
      <c r="O957" s="2">
        <v>0</v>
      </c>
      <c r="P957" s="2" t="s">
        <v>440</v>
      </c>
      <c r="Q957" s="2" t="str">
        <f t="shared" si="131"/>
        <v>SI_P_LE_SHARP_KICK</v>
      </c>
      <c r="R957" s="2" t="b">
        <v>0</v>
      </c>
      <c r="S957" s="2" t="b">
        <v>1</v>
      </c>
      <c r="T957" s="2">
        <v>0</v>
      </c>
      <c r="V957" s="2" t="s">
        <v>254</v>
      </c>
      <c r="W957" s="2">
        <v>0.7</v>
      </c>
    </row>
    <row r="958" spans="1:29">
      <c r="A958" s="4">
        <v>2401</v>
      </c>
      <c r="B958" s="7" t="str">
        <f>VLOOKUP($A958,SkillEnum!$A$2:$C$1020,2,FALSE)</f>
        <v>SI_P_LE_SHARP_KICK</v>
      </c>
      <c r="C958" s="7">
        <v>8</v>
      </c>
      <c r="D958" s="2" t="str">
        <f>VLOOKUP($C958,SkillEnum!$D$2:$E$10,2,FALSE)</f>
        <v>ST_PASSIVE</v>
      </c>
      <c r="E958" s="7" t="str">
        <f>VLOOKUP($A958,SkillEnum!$A$2:$C$1020,3,FALSE)</f>
        <v>날렵한 발차기</v>
      </c>
      <c r="F958" s="7" t="str">
        <f t="shared" si="130"/>
        <v>발을 이용한 일반공격의 다운수치가 35 % 감소한다.</v>
      </c>
      <c r="G958" s="2">
        <v>7</v>
      </c>
      <c r="H958" s="2">
        <v>1</v>
      </c>
      <c r="I958" s="2">
        <v>0</v>
      </c>
      <c r="J958" s="2">
        <v>0</v>
      </c>
      <c r="K958" s="2">
        <v>0</v>
      </c>
      <c r="L958" s="2">
        <v>0</v>
      </c>
      <c r="M958" s="2">
        <v>0</v>
      </c>
      <c r="N958" s="2">
        <v>0</v>
      </c>
      <c r="O958" s="2">
        <v>0</v>
      </c>
      <c r="P958" s="2" t="s">
        <v>440</v>
      </c>
      <c r="Q958" s="2" t="str">
        <f t="shared" si="131"/>
        <v>SI_P_LE_SHARP_KICK</v>
      </c>
      <c r="R958" s="2" t="b">
        <v>0</v>
      </c>
      <c r="S958" s="2" t="b">
        <v>1</v>
      </c>
      <c r="T958" s="2">
        <v>0</v>
      </c>
      <c r="V958" s="2" t="s">
        <v>254</v>
      </c>
      <c r="W958" s="2">
        <v>0.65</v>
      </c>
    </row>
    <row r="959" spans="1:29">
      <c r="A959" s="4">
        <v>2401</v>
      </c>
      <c r="B959" s="7" t="str">
        <f>VLOOKUP($A959,SkillEnum!$A$2:$C$1020,2,FALSE)</f>
        <v>SI_P_LE_SHARP_KICK</v>
      </c>
      <c r="C959" s="7">
        <v>8</v>
      </c>
      <c r="D959" s="2" t="str">
        <f>VLOOKUP($C959,SkillEnum!$D$2:$E$10,2,FALSE)</f>
        <v>ST_PASSIVE</v>
      </c>
      <c r="E959" s="7" t="str">
        <f>VLOOKUP($A959,SkillEnum!$A$2:$C$1020,3,FALSE)</f>
        <v>날렵한 발차기</v>
      </c>
      <c r="F959" s="7" t="str">
        <f t="shared" si="130"/>
        <v>발을 이용한 일반공격의 다운수치가 40 % 감소한다.</v>
      </c>
      <c r="G959" s="2">
        <v>8</v>
      </c>
      <c r="H959" s="2">
        <v>1</v>
      </c>
      <c r="I959" s="2">
        <v>0</v>
      </c>
      <c r="J959" s="2">
        <v>0</v>
      </c>
      <c r="K959" s="2">
        <v>0</v>
      </c>
      <c r="L959" s="2">
        <v>0</v>
      </c>
      <c r="M959" s="2">
        <v>0</v>
      </c>
      <c r="N959" s="2">
        <v>0</v>
      </c>
      <c r="O959" s="2">
        <v>0</v>
      </c>
      <c r="P959" s="2" t="s">
        <v>440</v>
      </c>
      <c r="Q959" s="2" t="str">
        <f t="shared" si="131"/>
        <v>SI_P_LE_SHARP_KICK</v>
      </c>
      <c r="R959" s="2" t="b">
        <v>0</v>
      </c>
      <c r="S959" s="2" t="b">
        <v>1</v>
      </c>
      <c r="T959" s="2">
        <v>0</v>
      </c>
      <c r="V959" s="2" t="s">
        <v>254</v>
      </c>
      <c r="W959" s="2">
        <v>0.6</v>
      </c>
    </row>
    <row r="960" spans="1:29">
      <c r="A960" s="4">
        <v>2401</v>
      </c>
      <c r="B960" s="7" t="str">
        <f>VLOOKUP($A960,SkillEnum!$A$2:$C$1020,2,FALSE)</f>
        <v>SI_P_LE_SHARP_KICK</v>
      </c>
      <c r="C960" s="7">
        <v>8</v>
      </c>
      <c r="D960" s="2" t="str">
        <f>VLOOKUP($C960,SkillEnum!$D$2:$E$10,2,FALSE)</f>
        <v>ST_PASSIVE</v>
      </c>
      <c r="E960" s="7" t="str">
        <f>VLOOKUP($A960,SkillEnum!$A$2:$C$1020,3,FALSE)</f>
        <v>날렵한 발차기</v>
      </c>
      <c r="F960" s="7" t="str">
        <f t="shared" si="130"/>
        <v>발을 이용한 일반공격의 다운수치가 45 % 감소한다.</v>
      </c>
      <c r="G960" s="2">
        <v>9</v>
      </c>
      <c r="H960" s="2">
        <v>1</v>
      </c>
      <c r="I960" s="2">
        <v>0</v>
      </c>
      <c r="J960" s="2">
        <v>0</v>
      </c>
      <c r="K960" s="2">
        <v>0</v>
      </c>
      <c r="L960" s="2">
        <v>0</v>
      </c>
      <c r="M960" s="2">
        <v>0</v>
      </c>
      <c r="N960" s="2">
        <v>0</v>
      </c>
      <c r="O960" s="2">
        <v>0</v>
      </c>
      <c r="P960" s="2" t="s">
        <v>440</v>
      </c>
      <c r="Q960" s="2" t="str">
        <f t="shared" si="131"/>
        <v>SI_P_LE_SHARP_KICK</v>
      </c>
      <c r="R960" s="2" t="b">
        <v>0</v>
      </c>
      <c r="S960" s="2" t="b">
        <v>1</v>
      </c>
      <c r="T960" s="2">
        <v>0</v>
      </c>
      <c r="V960" s="2" t="s">
        <v>254</v>
      </c>
      <c r="W960" s="2">
        <v>0.55000000000000004</v>
      </c>
    </row>
    <row r="961" spans="1:25" s="5" customFormat="1">
      <c r="A961" s="6">
        <v>2401</v>
      </c>
      <c r="B961" s="8" t="str">
        <f>VLOOKUP($A961,SkillEnum!$A$2:$C$1020,2,FALSE)</f>
        <v>SI_P_LE_SHARP_KICK</v>
      </c>
      <c r="C961" s="8">
        <v>8</v>
      </c>
      <c r="D961" s="5" t="str">
        <f>VLOOKUP($C961,SkillEnum!$D$2:$E$10,2,FALSE)</f>
        <v>ST_PASSIVE</v>
      </c>
      <c r="E961" s="8" t="str">
        <f>VLOOKUP($A961,SkillEnum!$A$2:$C$1020,3,FALSE)</f>
        <v>날렵한 발차기</v>
      </c>
      <c r="F961" s="8" t="str">
        <f t="shared" si="130"/>
        <v>발을 이용한 일반공격의 다운수치가 50 % 감소한다.</v>
      </c>
      <c r="G961" s="5">
        <v>10</v>
      </c>
      <c r="H961" s="5">
        <v>1</v>
      </c>
      <c r="I961" s="5">
        <v>0</v>
      </c>
      <c r="J961" s="5">
        <v>0</v>
      </c>
      <c r="K961" s="5">
        <v>0</v>
      </c>
      <c r="L961" s="5">
        <v>0</v>
      </c>
      <c r="M961" s="5">
        <v>0</v>
      </c>
      <c r="N961" s="5">
        <v>0</v>
      </c>
      <c r="O961" s="5">
        <v>0</v>
      </c>
      <c r="P961" s="2" t="s">
        <v>440</v>
      </c>
      <c r="Q961" s="2" t="str">
        <f t="shared" si="131"/>
        <v>SI_P_LE_SHARP_KICK</v>
      </c>
      <c r="R961" s="5" t="b">
        <v>0</v>
      </c>
      <c r="S961" s="2" t="b">
        <v>1</v>
      </c>
      <c r="T961" s="2">
        <v>0</v>
      </c>
      <c r="U961" s="2"/>
      <c r="V961" s="5" t="s">
        <v>254</v>
      </c>
      <c r="W961" s="5">
        <v>0.5</v>
      </c>
    </row>
    <row r="962" spans="1:25" s="10" customFormat="1">
      <c r="A962" s="9">
        <v>2402</v>
      </c>
      <c r="B962" s="11" t="str">
        <f>VLOOKUP($A962,SkillEnum!$A$2:$C$1020,2,FALSE)</f>
        <v>SI_P_LE_POWERFUL_BOWSTRING</v>
      </c>
      <c r="C962" s="11">
        <v>8</v>
      </c>
      <c r="D962" s="10" t="str">
        <f>VLOOKUP($C962,SkillEnum!$D$2:$E$10,2,FALSE)</f>
        <v>ST_PASSIVE</v>
      </c>
      <c r="E962" s="11" t="str">
        <f>VLOOKUP($A962,SkillEnum!$A$2:$C$1020,3,FALSE)</f>
        <v>강화된 보우스트링</v>
      </c>
      <c r="F962" s="11" t="str">
        <f>"일반 화살의 데미지가 "&amp;ROUND((W962-1)*100,0)&amp;" % 증가한다."</f>
        <v>일반 화살의 데미지가 2 % 증가한다.</v>
      </c>
      <c r="G962" s="10">
        <v>1</v>
      </c>
      <c r="H962" s="2">
        <v>1</v>
      </c>
      <c r="I962" s="2">
        <v>0</v>
      </c>
      <c r="J962" s="10">
        <v>0</v>
      </c>
      <c r="K962" s="2">
        <v>0</v>
      </c>
      <c r="L962" s="2">
        <v>0</v>
      </c>
      <c r="M962" s="2">
        <v>0</v>
      </c>
      <c r="N962" s="2">
        <v>0</v>
      </c>
      <c r="O962" s="2">
        <v>0</v>
      </c>
      <c r="P962" s="2" t="s">
        <v>440</v>
      </c>
      <c r="Q962" s="2" t="str">
        <f t="shared" si="131"/>
        <v>SI_P_LE_POWERFUL_BOWSTRING</v>
      </c>
      <c r="R962" s="2" t="b">
        <v>0</v>
      </c>
      <c r="S962" s="2" t="b">
        <v>1</v>
      </c>
      <c r="T962" s="2">
        <v>0</v>
      </c>
      <c r="U962" s="2"/>
      <c r="V962" s="10" t="s">
        <v>244</v>
      </c>
      <c r="W962" s="10">
        <v>1.02</v>
      </c>
      <c r="X962" s="10" t="s">
        <v>256</v>
      </c>
      <c r="Y962" s="10">
        <v>0</v>
      </c>
    </row>
    <row r="963" spans="1:25">
      <c r="A963" s="4">
        <v>2402</v>
      </c>
      <c r="B963" s="7" t="str">
        <f>VLOOKUP($A963,SkillEnum!$A$2:$C$1020,2,FALSE)</f>
        <v>SI_P_LE_POWERFUL_BOWSTRING</v>
      </c>
      <c r="C963" s="7">
        <v>8</v>
      </c>
      <c r="D963" s="2" t="str">
        <f>VLOOKUP($C963,SkillEnum!$D$2:$E$10,2,FALSE)</f>
        <v>ST_PASSIVE</v>
      </c>
      <c r="E963" s="7" t="str">
        <f>VLOOKUP($A963,SkillEnum!$A$2:$C$1020,3,FALSE)</f>
        <v>강화된 보우스트링</v>
      </c>
      <c r="F963" s="7" t="str">
        <f>"일반 화살의 데미지가 "&amp;ROUND((W963-1)*100,0)&amp;" % 증가한다."</f>
        <v>일반 화살의 데미지가 4 % 증가한다.</v>
      </c>
      <c r="G963" s="2">
        <v>2</v>
      </c>
      <c r="H963" s="2">
        <v>1</v>
      </c>
      <c r="I963" s="2">
        <v>0</v>
      </c>
      <c r="J963" s="2">
        <v>0</v>
      </c>
      <c r="K963" s="2">
        <v>0</v>
      </c>
      <c r="L963" s="2">
        <v>0</v>
      </c>
      <c r="M963" s="2">
        <v>0</v>
      </c>
      <c r="N963" s="2">
        <v>0</v>
      </c>
      <c r="O963" s="2">
        <v>0</v>
      </c>
      <c r="P963" s="2" t="s">
        <v>440</v>
      </c>
      <c r="Q963" s="2" t="str">
        <f t="shared" si="131"/>
        <v>SI_P_LE_POWERFUL_BOWSTRING</v>
      </c>
      <c r="R963" s="2" t="b">
        <v>0</v>
      </c>
      <c r="S963" s="2" t="b">
        <v>1</v>
      </c>
      <c r="T963" s="2">
        <v>0</v>
      </c>
      <c r="V963" s="2" t="s">
        <v>244</v>
      </c>
      <c r="W963" s="2">
        <v>1.04</v>
      </c>
      <c r="X963" s="2" t="s">
        <v>256</v>
      </c>
      <c r="Y963" s="2">
        <v>0</v>
      </c>
    </row>
    <row r="964" spans="1:25">
      <c r="A964" s="4">
        <v>2402</v>
      </c>
      <c r="B964" s="7" t="str">
        <f>VLOOKUP($A964,SkillEnum!$A$2:$C$1020,2,FALSE)</f>
        <v>SI_P_LE_POWERFUL_BOWSTRING</v>
      </c>
      <c r="C964" s="7">
        <v>8</v>
      </c>
      <c r="D964" s="2" t="str">
        <f>VLOOKUP($C964,SkillEnum!$D$2:$E$10,2,FALSE)</f>
        <v>ST_PASSIVE</v>
      </c>
      <c r="E964" s="7" t="str">
        <f>VLOOKUP($A964,SkillEnum!$A$2:$C$1020,3,FALSE)</f>
        <v>강화된 보우스트링</v>
      </c>
      <c r="F964" s="7" t="str">
        <f>"일반 화살의 데미지가 "&amp;ROUND((W964-1)*100,0)&amp;" % 증가한다."</f>
        <v>일반 화살의 데미지가 6 % 증가한다.</v>
      </c>
      <c r="G964" s="2">
        <v>3</v>
      </c>
      <c r="H964" s="2">
        <v>1</v>
      </c>
      <c r="I964" s="2">
        <v>0</v>
      </c>
      <c r="J964" s="2">
        <v>0</v>
      </c>
      <c r="K964" s="2">
        <v>0</v>
      </c>
      <c r="L964" s="2">
        <v>0</v>
      </c>
      <c r="M964" s="2">
        <v>0</v>
      </c>
      <c r="N964" s="2">
        <v>0</v>
      </c>
      <c r="O964" s="2">
        <v>0</v>
      </c>
      <c r="P964" s="2" t="s">
        <v>440</v>
      </c>
      <c r="Q964" s="2" t="str">
        <f t="shared" si="131"/>
        <v>SI_P_LE_POWERFUL_BOWSTRING</v>
      </c>
      <c r="R964" s="2" t="b">
        <v>0</v>
      </c>
      <c r="S964" s="2" t="b">
        <v>1</v>
      </c>
      <c r="T964" s="2">
        <v>0</v>
      </c>
      <c r="V964" s="2" t="s">
        <v>244</v>
      </c>
      <c r="W964" s="2">
        <v>1.06</v>
      </c>
      <c r="X964" s="2" t="s">
        <v>256</v>
      </c>
      <c r="Y964" s="2">
        <v>0</v>
      </c>
    </row>
    <row r="965" spans="1:25">
      <c r="A965" s="4">
        <v>2402</v>
      </c>
      <c r="B965" s="7" t="str">
        <f>VLOOKUP($A965,SkillEnum!$A$2:$C$1020,2,FALSE)</f>
        <v>SI_P_LE_POWERFUL_BOWSTRING</v>
      </c>
      <c r="C965" s="7">
        <v>8</v>
      </c>
      <c r="D965" s="2" t="str">
        <f>VLOOKUP($C965,SkillEnum!$D$2:$E$10,2,FALSE)</f>
        <v>ST_PASSIVE</v>
      </c>
      <c r="E965" s="7" t="str">
        <f>VLOOKUP($A965,SkillEnum!$A$2:$C$1020,3,FALSE)</f>
        <v>강화된 보우스트링</v>
      </c>
      <c r="F965" s="7" t="str">
        <f>"일반 화살의 데미지가 "&amp;ROUND((W965-1)*100,0)&amp;" % 증가하고, 관통 수가 "&amp;Y965&amp;" 증가한다."</f>
        <v>일반 화살의 데미지가 8 % 증가하고, 관통 수가 1 증가한다.</v>
      </c>
      <c r="G965" s="2">
        <v>4</v>
      </c>
      <c r="H965" s="2">
        <v>1</v>
      </c>
      <c r="I965" s="2">
        <v>0</v>
      </c>
      <c r="J965" s="2">
        <v>0</v>
      </c>
      <c r="K965" s="2">
        <v>0</v>
      </c>
      <c r="L965" s="2">
        <v>0</v>
      </c>
      <c r="M965" s="2">
        <v>0</v>
      </c>
      <c r="N965" s="2">
        <v>0</v>
      </c>
      <c r="O965" s="2">
        <v>0</v>
      </c>
      <c r="P965" s="2" t="s">
        <v>440</v>
      </c>
      <c r="Q965" s="2" t="str">
        <f t="shared" si="131"/>
        <v>SI_P_LE_POWERFUL_BOWSTRING</v>
      </c>
      <c r="R965" s="2" t="b">
        <v>0</v>
      </c>
      <c r="S965" s="2" t="b">
        <v>1</v>
      </c>
      <c r="T965" s="2">
        <v>0</v>
      </c>
      <c r="V965" s="2" t="s">
        <v>244</v>
      </c>
      <c r="W965" s="2">
        <v>1.08</v>
      </c>
      <c r="X965" s="2" t="s">
        <v>256</v>
      </c>
      <c r="Y965" s="2">
        <v>1</v>
      </c>
    </row>
    <row r="966" spans="1:25">
      <c r="A966" s="4">
        <v>2402</v>
      </c>
      <c r="B966" s="7" t="str">
        <f>VLOOKUP($A966,SkillEnum!$A$2:$C$1020,2,FALSE)</f>
        <v>SI_P_LE_POWERFUL_BOWSTRING</v>
      </c>
      <c r="C966" s="7">
        <v>8</v>
      </c>
      <c r="D966" s="2" t="str">
        <f>VLOOKUP($C966,SkillEnum!$D$2:$E$10,2,FALSE)</f>
        <v>ST_PASSIVE</v>
      </c>
      <c r="E966" s="7" t="str">
        <f>VLOOKUP($A966,SkillEnum!$A$2:$C$1020,3,FALSE)</f>
        <v>강화된 보우스트링</v>
      </c>
      <c r="F966" s="7" t="str">
        <f t="shared" ref="F966:F971" si="132">"일반 화살의 데미지가 "&amp;ROUND((W966-1)*100,0)&amp;" % 증가하고, 관통 수가 "&amp;Y966&amp;" 증가한다."</f>
        <v>일반 화살의 데미지가 10 % 증가하고, 관통 수가 1 증가한다.</v>
      </c>
      <c r="G966" s="2">
        <v>5</v>
      </c>
      <c r="H966" s="2">
        <v>1</v>
      </c>
      <c r="I966" s="2">
        <v>0</v>
      </c>
      <c r="J966" s="2">
        <v>0</v>
      </c>
      <c r="K966" s="2">
        <v>0</v>
      </c>
      <c r="L966" s="2">
        <v>0</v>
      </c>
      <c r="M966" s="2">
        <v>0</v>
      </c>
      <c r="N966" s="2">
        <v>0</v>
      </c>
      <c r="O966" s="2">
        <v>0</v>
      </c>
      <c r="P966" s="2" t="s">
        <v>440</v>
      </c>
      <c r="Q966" s="2" t="str">
        <f t="shared" si="131"/>
        <v>SI_P_LE_POWERFUL_BOWSTRING</v>
      </c>
      <c r="R966" s="2" t="b">
        <v>0</v>
      </c>
      <c r="S966" s="2" t="b">
        <v>1</v>
      </c>
      <c r="T966" s="2">
        <v>0</v>
      </c>
      <c r="V966" s="2" t="s">
        <v>244</v>
      </c>
      <c r="W966" s="2">
        <v>1.1000000000000001</v>
      </c>
      <c r="X966" s="2" t="s">
        <v>256</v>
      </c>
      <c r="Y966" s="2">
        <v>1</v>
      </c>
    </row>
    <row r="967" spans="1:25">
      <c r="A967" s="4">
        <v>2402</v>
      </c>
      <c r="B967" s="7" t="str">
        <f>VLOOKUP($A967,SkillEnum!$A$2:$C$1020,2,FALSE)</f>
        <v>SI_P_LE_POWERFUL_BOWSTRING</v>
      </c>
      <c r="C967" s="7">
        <v>8</v>
      </c>
      <c r="D967" s="2" t="str">
        <f>VLOOKUP($C967,SkillEnum!$D$2:$E$10,2,FALSE)</f>
        <v>ST_PASSIVE</v>
      </c>
      <c r="E967" s="7" t="str">
        <f>VLOOKUP($A967,SkillEnum!$A$2:$C$1020,3,FALSE)</f>
        <v>강화된 보우스트링</v>
      </c>
      <c r="F967" s="7" t="str">
        <f t="shared" si="132"/>
        <v>일반 화살의 데미지가 12 % 증가하고, 관통 수가 1 증가한다.</v>
      </c>
      <c r="G967" s="2">
        <v>6</v>
      </c>
      <c r="H967" s="2">
        <v>1</v>
      </c>
      <c r="I967" s="2">
        <v>0</v>
      </c>
      <c r="J967" s="2">
        <v>0</v>
      </c>
      <c r="K967" s="2">
        <v>0</v>
      </c>
      <c r="L967" s="2">
        <v>0</v>
      </c>
      <c r="M967" s="2">
        <v>0</v>
      </c>
      <c r="N967" s="2">
        <v>0</v>
      </c>
      <c r="O967" s="2">
        <v>0</v>
      </c>
      <c r="P967" s="2" t="s">
        <v>440</v>
      </c>
      <c r="Q967" s="2" t="str">
        <f t="shared" si="131"/>
        <v>SI_P_LE_POWERFUL_BOWSTRING</v>
      </c>
      <c r="R967" s="2" t="b">
        <v>0</v>
      </c>
      <c r="S967" s="2" t="b">
        <v>1</v>
      </c>
      <c r="T967" s="2">
        <v>0</v>
      </c>
      <c r="V967" s="2" t="s">
        <v>244</v>
      </c>
      <c r="W967" s="2">
        <v>1.1200000000000001</v>
      </c>
      <c r="X967" s="2" t="s">
        <v>256</v>
      </c>
      <c r="Y967" s="2">
        <v>1</v>
      </c>
    </row>
    <row r="968" spans="1:25">
      <c r="A968" s="4">
        <v>2402</v>
      </c>
      <c r="B968" s="7" t="str">
        <f>VLOOKUP($A968,SkillEnum!$A$2:$C$1020,2,FALSE)</f>
        <v>SI_P_LE_POWERFUL_BOWSTRING</v>
      </c>
      <c r="C968" s="7">
        <v>8</v>
      </c>
      <c r="D968" s="2" t="str">
        <f>VLOOKUP($C968,SkillEnum!$D$2:$E$10,2,FALSE)</f>
        <v>ST_PASSIVE</v>
      </c>
      <c r="E968" s="7" t="str">
        <f>VLOOKUP($A968,SkillEnum!$A$2:$C$1020,3,FALSE)</f>
        <v>강화된 보우스트링</v>
      </c>
      <c r="F968" s="7" t="str">
        <f t="shared" si="132"/>
        <v>일반 화살의 데미지가 14 % 증가하고, 관통 수가 2 증가한다.</v>
      </c>
      <c r="G968" s="2">
        <v>7</v>
      </c>
      <c r="H968" s="2">
        <v>1</v>
      </c>
      <c r="I968" s="2">
        <v>0</v>
      </c>
      <c r="J968" s="2">
        <v>0</v>
      </c>
      <c r="K968" s="2">
        <v>0</v>
      </c>
      <c r="L968" s="2">
        <v>0</v>
      </c>
      <c r="M968" s="2">
        <v>0</v>
      </c>
      <c r="N968" s="2">
        <v>0</v>
      </c>
      <c r="O968" s="2">
        <v>0</v>
      </c>
      <c r="P968" s="2" t="s">
        <v>440</v>
      </c>
      <c r="Q968" s="2" t="str">
        <f t="shared" si="131"/>
        <v>SI_P_LE_POWERFUL_BOWSTRING</v>
      </c>
      <c r="R968" s="2" t="b">
        <v>0</v>
      </c>
      <c r="S968" s="2" t="b">
        <v>1</v>
      </c>
      <c r="T968" s="2">
        <v>0</v>
      </c>
      <c r="V968" s="2" t="s">
        <v>244</v>
      </c>
      <c r="W968" s="2">
        <v>1.1399999999999999</v>
      </c>
      <c r="X968" s="2" t="s">
        <v>256</v>
      </c>
      <c r="Y968" s="2">
        <v>2</v>
      </c>
    </row>
    <row r="969" spans="1:25">
      <c r="A969" s="4">
        <v>2402</v>
      </c>
      <c r="B969" s="7" t="str">
        <f>VLOOKUP($A969,SkillEnum!$A$2:$C$1020,2,FALSE)</f>
        <v>SI_P_LE_POWERFUL_BOWSTRING</v>
      </c>
      <c r="C969" s="7">
        <v>8</v>
      </c>
      <c r="D969" s="2" t="str">
        <f>VLOOKUP($C969,SkillEnum!$D$2:$E$10,2,FALSE)</f>
        <v>ST_PASSIVE</v>
      </c>
      <c r="E969" s="7" t="str">
        <f>VLOOKUP($A969,SkillEnum!$A$2:$C$1020,3,FALSE)</f>
        <v>강화된 보우스트링</v>
      </c>
      <c r="F969" s="7" t="str">
        <f t="shared" si="132"/>
        <v>일반 화살의 데미지가 16 % 증가하고, 관통 수가 2 증가한다.</v>
      </c>
      <c r="G969" s="2">
        <v>8</v>
      </c>
      <c r="H969" s="2">
        <v>1</v>
      </c>
      <c r="I969" s="2">
        <v>0</v>
      </c>
      <c r="J969" s="2">
        <v>0</v>
      </c>
      <c r="K969" s="2">
        <v>0</v>
      </c>
      <c r="L969" s="2">
        <v>0</v>
      </c>
      <c r="M969" s="2">
        <v>0</v>
      </c>
      <c r="N969" s="2">
        <v>0</v>
      </c>
      <c r="O969" s="2">
        <v>0</v>
      </c>
      <c r="P969" s="2" t="s">
        <v>440</v>
      </c>
      <c r="Q969" s="2" t="str">
        <f t="shared" si="131"/>
        <v>SI_P_LE_POWERFUL_BOWSTRING</v>
      </c>
      <c r="R969" s="2" t="b">
        <v>0</v>
      </c>
      <c r="S969" s="2" t="b">
        <v>1</v>
      </c>
      <c r="T969" s="2">
        <v>0</v>
      </c>
      <c r="V969" s="2" t="s">
        <v>244</v>
      </c>
      <c r="W969" s="2">
        <v>1.1599999999999999</v>
      </c>
      <c r="X969" s="2" t="s">
        <v>256</v>
      </c>
      <c r="Y969" s="2">
        <v>2</v>
      </c>
    </row>
    <row r="970" spans="1:25">
      <c r="A970" s="4">
        <v>2402</v>
      </c>
      <c r="B970" s="7" t="str">
        <f>VLOOKUP($A970,SkillEnum!$A$2:$C$1020,2,FALSE)</f>
        <v>SI_P_LE_POWERFUL_BOWSTRING</v>
      </c>
      <c r="C970" s="7">
        <v>8</v>
      </c>
      <c r="D970" s="2" t="str">
        <f>VLOOKUP($C970,SkillEnum!$D$2:$E$10,2,FALSE)</f>
        <v>ST_PASSIVE</v>
      </c>
      <c r="E970" s="7" t="str">
        <f>VLOOKUP($A970,SkillEnum!$A$2:$C$1020,3,FALSE)</f>
        <v>강화된 보우스트링</v>
      </c>
      <c r="F970" s="7" t="str">
        <f t="shared" si="132"/>
        <v>일반 화살의 데미지가 18 % 증가하고, 관통 수가 2 증가한다.</v>
      </c>
      <c r="G970" s="2">
        <v>9</v>
      </c>
      <c r="H970" s="2">
        <v>1</v>
      </c>
      <c r="I970" s="2">
        <v>0</v>
      </c>
      <c r="J970" s="2">
        <v>0</v>
      </c>
      <c r="K970" s="2">
        <v>0</v>
      </c>
      <c r="L970" s="2">
        <v>0</v>
      </c>
      <c r="M970" s="2">
        <v>0</v>
      </c>
      <c r="N970" s="2">
        <v>0</v>
      </c>
      <c r="O970" s="2">
        <v>0</v>
      </c>
      <c r="P970" s="2" t="s">
        <v>440</v>
      </c>
      <c r="Q970" s="2" t="str">
        <f t="shared" si="131"/>
        <v>SI_P_LE_POWERFUL_BOWSTRING</v>
      </c>
      <c r="R970" s="2" t="b">
        <v>0</v>
      </c>
      <c r="S970" s="2" t="b">
        <v>1</v>
      </c>
      <c r="T970" s="2">
        <v>0</v>
      </c>
      <c r="V970" s="2" t="s">
        <v>244</v>
      </c>
      <c r="W970" s="2">
        <v>1.18</v>
      </c>
      <c r="X970" s="2" t="s">
        <v>256</v>
      </c>
      <c r="Y970" s="2">
        <v>2</v>
      </c>
    </row>
    <row r="971" spans="1:25" s="5" customFormat="1">
      <c r="A971" s="6">
        <v>2402</v>
      </c>
      <c r="B971" s="8" t="str">
        <f>VLOOKUP($A971,SkillEnum!$A$2:$C$1020,2,FALSE)</f>
        <v>SI_P_LE_POWERFUL_BOWSTRING</v>
      </c>
      <c r="C971" s="8">
        <v>8</v>
      </c>
      <c r="D971" s="5" t="str">
        <f>VLOOKUP($C971,SkillEnum!$D$2:$E$10,2,FALSE)</f>
        <v>ST_PASSIVE</v>
      </c>
      <c r="E971" s="8" t="str">
        <f>VLOOKUP($A971,SkillEnum!$A$2:$C$1020,3,FALSE)</f>
        <v>강화된 보우스트링</v>
      </c>
      <c r="F971" s="7" t="str">
        <f t="shared" si="132"/>
        <v>일반 화살의 데미지가 20 % 증가하고, 관통 수가 3 증가한다.</v>
      </c>
      <c r="G971" s="5">
        <v>10</v>
      </c>
      <c r="H971" s="5">
        <v>1</v>
      </c>
      <c r="I971" s="5">
        <v>0</v>
      </c>
      <c r="J971" s="5">
        <v>0</v>
      </c>
      <c r="K971" s="5">
        <v>0</v>
      </c>
      <c r="L971" s="5">
        <v>0</v>
      </c>
      <c r="M971" s="5">
        <v>0</v>
      </c>
      <c r="N971" s="5">
        <v>0</v>
      </c>
      <c r="O971" s="5">
        <v>0</v>
      </c>
      <c r="P971" s="2" t="s">
        <v>440</v>
      </c>
      <c r="Q971" s="2" t="str">
        <f t="shared" si="131"/>
        <v>SI_P_LE_POWERFUL_BOWSTRING</v>
      </c>
      <c r="R971" s="5" t="b">
        <v>0</v>
      </c>
      <c r="S971" s="2" t="b">
        <v>1</v>
      </c>
      <c r="T971" s="2">
        <v>0</v>
      </c>
      <c r="U971" s="2"/>
      <c r="V971" s="5" t="s">
        <v>244</v>
      </c>
      <c r="W971" s="5">
        <v>1.2</v>
      </c>
      <c r="X971" s="5" t="s">
        <v>256</v>
      </c>
      <c r="Y971" s="5">
        <v>3</v>
      </c>
    </row>
    <row r="972" spans="1:25" s="10" customFormat="1">
      <c r="A972" s="9">
        <v>2403</v>
      </c>
      <c r="B972" s="11" t="str">
        <f>VLOOKUP($A972,SkillEnum!$A$2:$C$1020,2,FALSE)</f>
        <v>SI_P_LE_HAWK_EYE</v>
      </c>
      <c r="C972" s="11">
        <v>8</v>
      </c>
      <c r="D972" s="10" t="str">
        <f>VLOOKUP($C972,SkillEnum!$D$2:$E$10,2,FALSE)</f>
        <v>ST_PASSIVE</v>
      </c>
      <c r="E972" s="11" t="str">
        <f>VLOOKUP($A972,SkillEnum!$A$2:$C$1020,3,FALSE)</f>
        <v>호크 아이</v>
      </c>
      <c r="F972" s="11" t="str">
        <f t="shared" ref="F972:F981" si="133">"일반 화살의 사정거리가 "&amp;ROUND((W972-1)*100,0)&amp;" % 증가한다."</f>
        <v>일반 화살의 사정거리가 5 % 증가한다.</v>
      </c>
      <c r="G972" s="10">
        <v>1</v>
      </c>
      <c r="H972" s="2">
        <v>1</v>
      </c>
      <c r="I972" s="2">
        <v>0</v>
      </c>
      <c r="J972" s="10">
        <v>0</v>
      </c>
      <c r="K972" s="2">
        <v>0</v>
      </c>
      <c r="L972" s="2">
        <v>0</v>
      </c>
      <c r="M972" s="2">
        <v>0</v>
      </c>
      <c r="N972" s="2">
        <v>0</v>
      </c>
      <c r="O972" s="2">
        <v>0</v>
      </c>
      <c r="P972" s="2" t="s">
        <v>440</v>
      </c>
      <c r="Q972" s="2" t="str">
        <f t="shared" si="131"/>
        <v>SI_P_LE_HAWK_EYE</v>
      </c>
      <c r="R972" s="2" t="b">
        <v>0</v>
      </c>
      <c r="S972" s="2" t="b">
        <v>1</v>
      </c>
      <c r="T972" s="2">
        <v>0</v>
      </c>
      <c r="U972" s="2"/>
      <c r="V972" s="10" t="s">
        <v>259</v>
      </c>
      <c r="W972" s="10">
        <v>1.05</v>
      </c>
    </row>
    <row r="973" spans="1:25">
      <c r="A973" s="4">
        <v>2403</v>
      </c>
      <c r="B973" s="7" t="str">
        <f>VLOOKUP($A973,SkillEnum!$A$2:$C$1020,2,FALSE)</f>
        <v>SI_P_LE_HAWK_EYE</v>
      </c>
      <c r="C973" s="7">
        <v>8</v>
      </c>
      <c r="D973" s="2" t="str">
        <f>VLOOKUP($C973,SkillEnum!$D$2:$E$10,2,FALSE)</f>
        <v>ST_PASSIVE</v>
      </c>
      <c r="E973" s="7" t="str">
        <f>VLOOKUP($A973,SkillEnum!$A$2:$C$1020,3,FALSE)</f>
        <v>호크 아이</v>
      </c>
      <c r="F973" s="7" t="str">
        <f t="shared" si="133"/>
        <v>일반 화살의 사정거리가 10 % 증가한다.</v>
      </c>
      <c r="G973" s="2">
        <v>2</v>
      </c>
      <c r="H973" s="2">
        <v>1</v>
      </c>
      <c r="I973" s="2">
        <v>0</v>
      </c>
      <c r="J973" s="2">
        <v>0</v>
      </c>
      <c r="K973" s="2">
        <v>0</v>
      </c>
      <c r="L973" s="2">
        <v>0</v>
      </c>
      <c r="M973" s="2">
        <v>0</v>
      </c>
      <c r="N973" s="2">
        <v>0</v>
      </c>
      <c r="O973" s="2">
        <v>0</v>
      </c>
      <c r="P973" s="2" t="s">
        <v>440</v>
      </c>
      <c r="Q973" s="2" t="str">
        <f t="shared" si="131"/>
        <v>SI_P_LE_HAWK_EYE</v>
      </c>
      <c r="R973" s="2" t="b">
        <v>0</v>
      </c>
      <c r="S973" s="2" t="b">
        <v>1</v>
      </c>
      <c r="T973" s="2">
        <v>0</v>
      </c>
      <c r="V973" s="2" t="s">
        <v>259</v>
      </c>
      <c r="W973" s="2">
        <v>1.1000000000000001</v>
      </c>
    </row>
    <row r="974" spans="1:25">
      <c r="A974" s="4">
        <v>2403</v>
      </c>
      <c r="B974" s="7" t="str">
        <f>VLOOKUP($A974,SkillEnum!$A$2:$C$1020,2,FALSE)</f>
        <v>SI_P_LE_HAWK_EYE</v>
      </c>
      <c r="C974" s="7">
        <v>8</v>
      </c>
      <c r="D974" s="2" t="str">
        <f>VLOOKUP($C974,SkillEnum!$D$2:$E$10,2,FALSE)</f>
        <v>ST_PASSIVE</v>
      </c>
      <c r="E974" s="7" t="str">
        <f>VLOOKUP($A974,SkillEnum!$A$2:$C$1020,3,FALSE)</f>
        <v>호크 아이</v>
      </c>
      <c r="F974" s="7" t="str">
        <f t="shared" si="133"/>
        <v>일반 화살의 사정거리가 15 % 증가한다.</v>
      </c>
      <c r="G974" s="2">
        <v>3</v>
      </c>
      <c r="H974" s="2">
        <v>1</v>
      </c>
      <c r="I974" s="2">
        <v>0</v>
      </c>
      <c r="J974" s="2">
        <v>0</v>
      </c>
      <c r="K974" s="2">
        <v>0</v>
      </c>
      <c r="L974" s="2">
        <v>0</v>
      </c>
      <c r="M974" s="2">
        <v>0</v>
      </c>
      <c r="N974" s="2">
        <v>0</v>
      </c>
      <c r="O974" s="2">
        <v>0</v>
      </c>
      <c r="P974" s="2" t="s">
        <v>440</v>
      </c>
      <c r="Q974" s="2" t="str">
        <f t="shared" si="131"/>
        <v>SI_P_LE_HAWK_EYE</v>
      </c>
      <c r="R974" s="2" t="b">
        <v>0</v>
      </c>
      <c r="S974" s="2" t="b">
        <v>1</v>
      </c>
      <c r="T974" s="2">
        <v>0</v>
      </c>
      <c r="V974" s="2" t="s">
        <v>259</v>
      </c>
      <c r="W974" s="2">
        <v>1.1499999999999999</v>
      </c>
    </row>
    <row r="975" spans="1:25">
      <c r="A975" s="4">
        <v>2403</v>
      </c>
      <c r="B975" s="7" t="str">
        <f>VLOOKUP($A975,SkillEnum!$A$2:$C$1020,2,FALSE)</f>
        <v>SI_P_LE_HAWK_EYE</v>
      </c>
      <c r="C975" s="7">
        <v>8</v>
      </c>
      <c r="D975" s="2" t="str">
        <f>VLOOKUP($C975,SkillEnum!$D$2:$E$10,2,FALSE)</f>
        <v>ST_PASSIVE</v>
      </c>
      <c r="E975" s="7" t="str">
        <f>VLOOKUP($A975,SkillEnum!$A$2:$C$1020,3,FALSE)</f>
        <v>호크 아이</v>
      </c>
      <c r="F975" s="7" t="str">
        <f t="shared" si="133"/>
        <v>일반 화살의 사정거리가 20 % 증가한다.</v>
      </c>
      <c r="G975" s="2">
        <v>4</v>
      </c>
      <c r="H975" s="2">
        <v>1</v>
      </c>
      <c r="I975" s="2">
        <v>0</v>
      </c>
      <c r="J975" s="2">
        <v>0</v>
      </c>
      <c r="K975" s="2">
        <v>0</v>
      </c>
      <c r="L975" s="2">
        <v>0</v>
      </c>
      <c r="M975" s="2">
        <v>0</v>
      </c>
      <c r="N975" s="2">
        <v>0</v>
      </c>
      <c r="O975" s="2">
        <v>0</v>
      </c>
      <c r="P975" s="2" t="s">
        <v>440</v>
      </c>
      <c r="Q975" s="2" t="str">
        <f t="shared" si="131"/>
        <v>SI_P_LE_HAWK_EYE</v>
      </c>
      <c r="R975" s="2" t="b">
        <v>0</v>
      </c>
      <c r="S975" s="2" t="b">
        <v>1</v>
      </c>
      <c r="T975" s="2">
        <v>0</v>
      </c>
      <c r="V975" s="2" t="s">
        <v>259</v>
      </c>
      <c r="W975" s="2">
        <v>1.2</v>
      </c>
    </row>
    <row r="976" spans="1:25">
      <c r="A976" s="4">
        <v>2403</v>
      </c>
      <c r="B976" s="7" t="str">
        <f>VLOOKUP($A976,SkillEnum!$A$2:$C$1020,2,FALSE)</f>
        <v>SI_P_LE_HAWK_EYE</v>
      </c>
      <c r="C976" s="7">
        <v>8</v>
      </c>
      <c r="D976" s="2" t="str">
        <f>VLOOKUP($C976,SkillEnum!$D$2:$E$10,2,FALSE)</f>
        <v>ST_PASSIVE</v>
      </c>
      <c r="E976" s="7" t="str">
        <f>VLOOKUP($A976,SkillEnum!$A$2:$C$1020,3,FALSE)</f>
        <v>호크 아이</v>
      </c>
      <c r="F976" s="7" t="str">
        <f t="shared" si="133"/>
        <v>일반 화살의 사정거리가 25 % 증가한다.</v>
      </c>
      <c r="G976" s="2">
        <v>5</v>
      </c>
      <c r="H976" s="2">
        <v>1</v>
      </c>
      <c r="I976" s="2">
        <v>0</v>
      </c>
      <c r="J976" s="2">
        <v>0</v>
      </c>
      <c r="K976" s="2">
        <v>0</v>
      </c>
      <c r="L976" s="2">
        <v>0</v>
      </c>
      <c r="M976" s="2">
        <v>0</v>
      </c>
      <c r="N976" s="2">
        <v>0</v>
      </c>
      <c r="O976" s="2">
        <v>0</v>
      </c>
      <c r="P976" s="2" t="s">
        <v>440</v>
      </c>
      <c r="Q976" s="2" t="str">
        <f t="shared" si="131"/>
        <v>SI_P_LE_HAWK_EYE</v>
      </c>
      <c r="R976" s="2" t="b">
        <v>0</v>
      </c>
      <c r="S976" s="2" t="b">
        <v>1</v>
      </c>
      <c r="T976" s="2">
        <v>0</v>
      </c>
      <c r="V976" s="2" t="s">
        <v>259</v>
      </c>
      <c r="W976" s="2">
        <v>1.25</v>
      </c>
    </row>
    <row r="977" spans="1:23">
      <c r="A977" s="4">
        <v>2403</v>
      </c>
      <c r="B977" s="7" t="str">
        <f>VLOOKUP($A977,SkillEnum!$A$2:$C$1020,2,FALSE)</f>
        <v>SI_P_LE_HAWK_EYE</v>
      </c>
      <c r="C977" s="7">
        <v>8</v>
      </c>
      <c r="D977" s="2" t="str">
        <f>VLOOKUP($C977,SkillEnum!$D$2:$E$10,2,FALSE)</f>
        <v>ST_PASSIVE</v>
      </c>
      <c r="E977" s="7" t="str">
        <f>VLOOKUP($A977,SkillEnum!$A$2:$C$1020,3,FALSE)</f>
        <v>호크 아이</v>
      </c>
      <c r="F977" s="7" t="str">
        <f t="shared" si="133"/>
        <v>일반 화살의 사정거리가 30 % 증가한다.</v>
      </c>
      <c r="G977" s="2">
        <v>6</v>
      </c>
      <c r="H977" s="2">
        <v>1</v>
      </c>
      <c r="I977" s="2">
        <v>0</v>
      </c>
      <c r="J977" s="2">
        <v>0</v>
      </c>
      <c r="K977" s="2">
        <v>0</v>
      </c>
      <c r="L977" s="2">
        <v>0</v>
      </c>
      <c r="M977" s="2">
        <v>0</v>
      </c>
      <c r="N977" s="2">
        <v>0</v>
      </c>
      <c r="O977" s="2">
        <v>0</v>
      </c>
      <c r="P977" s="2" t="s">
        <v>440</v>
      </c>
      <c r="Q977" s="2" t="str">
        <f t="shared" si="131"/>
        <v>SI_P_LE_HAWK_EYE</v>
      </c>
      <c r="R977" s="2" t="b">
        <v>0</v>
      </c>
      <c r="S977" s="2" t="b">
        <v>1</v>
      </c>
      <c r="T977" s="2">
        <v>0</v>
      </c>
      <c r="V977" s="2" t="s">
        <v>259</v>
      </c>
      <c r="W977" s="2">
        <v>1.3</v>
      </c>
    </row>
    <row r="978" spans="1:23">
      <c r="A978" s="4">
        <v>2403</v>
      </c>
      <c r="B978" s="7" t="str">
        <f>VLOOKUP($A978,SkillEnum!$A$2:$C$1020,2,FALSE)</f>
        <v>SI_P_LE_HAWK_EYE</v>
      </c>
      <c r="C978" s="7">
        <v>8</v>
      </c>
      <c r="D978" s="2" t="str">
        <f>VLOOKUP($C978,SkillEnum!$D$2:$E$10,2,FALSE)</f>
        <v>ST_PASSIVE</v>
      </c>
      <c r="E978" s="7" t="str">
        <f>VLOOKUP($A978,SkillEnum!$A$2:$C$1020,3,FALSE)</f>
        <v>호크 아이</v>
      </c>
      <c r="F978" s="7" t="str">
        <f t="shared" si="133"/>
        <v>일반 화살의 사정거리가 35 % 증가한다.</v>
      </c>
      <c r="G978" s="2">
        <v>7</v>
      </c>
      <c r="H978" s="2">
        <v>1</v>
      </c>
      <c r="I978" s="2">
        <v>0</v>
      </c>
      <c r="J978" s="2">
        <v>0</v>
      </c>
      <c r="K978" s="2">
        <v>0</v>
      </c>
      <c r="L978" s="2">
        <v>0</v>
      </c>
      <c r="M978" s="2">
        <v>0</v>
      </c>
      <c r="N978" s="2">
        <v>0</v>
      </c>
      <c r="O978" s="2">
        <v>0</v>
      </c>
      <c r="P978" s="2" t="s">
        <v>440</v>
      </c>
      <c r="Q978" s="2" t="str">
        <f t="shared" si="131"/>
        <v>SI_P_LE_HAWK_EYE</v>
      </c>
      <c r="R978" s="2" t="b">
        <v>0</v>
      </c>
      <c r="S978" s="2" t="b">
        <v>1</v>
      </c>
      <c r="T978" s="2">
        <v>0</v>
      </c>
      <c r="V978" s="2" t="s">
        <v>259</v>
      </c>
      <c r="W978" s="2">
        <v>1.35</v>
      </c>
    </row>
    <row r="979" spans="1:23">
      <c r="A979" s="4">
        <v>2403</v>
      </c>
      <c r="B979" s="7" t="str">
        <f>VLOOKUP($A979,SkillEnum!$A$2:$C$1020,2,FALSE)</f>
        <v>SI_P_LE_HAWK_EYE</v>
      </c>
      <c r="C979" s="7">
        <v>8</v>
      </c>
      <c r="D979" s="2" t="str">
        <f>VLOOKUP($C979,SkillEnum!$D$2:$E$10,2,FALSE)</f>
        <v>ST_PASSIVE</v>
      </c>
      <c r="E979" s="7" t="str">
        <f>VLOOKUP($A979,SkillEnum!$A$2:$C$1020,3,FALSE)</f>
        <v>호크 아이</v>
      </c>
      <c r="F979" s="7" t="str">
        <f t="shared" si="133"/>
        <v>일반 화살의 사정거리가 40 % 증가한다.</v>
      </c>
      <c r="G979" s="2">
        <v>8</v>
      </c>
      <c r="H979" s="2">
        <v>1</v>
      </c>
      <c r="I979" s="2">
        <v>0</v>
      </c>
      <c r="J979" s="2">
        <v>0</v>
      </c>
      <c r="K979" s="2">
        <v>0</v>
      </c>
      <c r="L979" s="2">
        <v>0</v>
      </c>
      <c r="M979" s="2">
        <v>0</v>
      </c>
      <c r="N979" s="2">
        <v>0</v>
      </c>
      <c r="O979" s="2">
        <v>0</v>
      </c>
      <c r="P979" s="2" t="s">
        <v>440</v>
      </c>
      <c r="Q979" s="2" t="str">
        <f t="shared" si="131"/>
        <v>SI_P_LE_HAWK_EYE</v>
      </c>
      <c r="R979" s="2" t="b">
        <v>0</v>
      </c>
      <c r="S979" s="2" t="b">
        <v>1</v>
      </c>
      <c r="T979" s="2">
        <v>0</v>
      </c>
      <c r="V979" s="2" t="s">
        <v>259</v>
      </c>
      <c r="W979" s="2">
        <v>1.4</v>
      </c>
    </row>
    <row r="980" spans="1:23">
      <c r="A980" s="4">
        <v>2403</v>
      </c>
      <c r="B980" s="7" t="str">
        <f>VLOOKUP($A980,SkillEnum!$A$2:$C$1020,2,FALSE)</f>
        <v>SI_P_LE_HAWK_EYE</v>
      </c>
      <c r="C980" s="7">
        <v>8</v>
      </c>
      <c r="D980" s="2" t="str">
        <f>VLOOKUP($C980,SkillEnum!$D$2:$E$10,2,FALSE)</f>
        <v>ST_PASSIVE</v>
      </c>
      <c r="E980" s="7" t="str">
        <f>VLOOKUP($A980,SkillEnum!$A$2:$C$1020,3,FALSE)</f>
        <v>호크 아이</v>
      </c>
      <c r="F980" s="7" t="str">
        <f t="shared" si="133"/>
        <v>일반 화살의 사정거리가 45 % 증가한다.</v>
      </c>
      <c r="G980" s="2">
        <v>9</v>
      </c>
      <c r="H980" s="2">
        <v>1</v>
      </c>
      <c r="I980" s="2">
        <v>0</v>
      </c>
      <c r="J980" s="2">
        <v>0</v>
      </c>
      <c r="K980" s="2">
        <v>0</v>
      </c>
      <c r="L980" s="2">
        <v>0</v>
      </c>
      <c r="M980" s="2">
        <v>0</v>
      </c>
      <c r="N980" s="2">
        <v>0</v>
      </c>
      <c r="O980" s="2">
        <v>0</v>
      </c>
      <c r="P980" s="2" t="s">
        <v>440</v>
      </c>
      <c r="Q980" s="2" t="str">
        <f t="shared" si="131"/>
        <v>SI_P_LE_HAWK_EYE</v>
      </c>
      <c r="R980" s="2" t="b">
        <v>0</v>
      </c>
      <c r="S980" s="2" t="b">
        <v>1</v>
      </c>
      <c r="T980" s="2">
        <v>0</v>
      </c>
      <c r="V980" s="2" t="s">
        <v>259</v>
      </c>
      <c r="W980" s="2">
        <v>1.45</v>
      </c>
    </row>
    <row r="981" spans="1:23" s="5" customFormat="1">
      <c r="A981" s="6">
        <v>2403</v>
      </c>
      <c r="B981" s="8" t="str">
        <f>VLOOKUP($A981,SkillEnum!$A$2:$C$1020,2,FALSE)</f>
        <v>SI_P_LE_HAWK_EYE</v>
      </c>
      <c r="C981" s="8">
        <v>8</v>
      </c>
      <c r="D981" s="5" t="str">
        <f>VLOOKUP($C981,SkillEnum!$D$2:$E$10,2,FALSE)</f>
        <v>ST_PASSIVE</v>
      </c>
      <c r="E981" s="8" t="str">
        <f>VLOOKUP($A981,SkillEnum!$A$2:$C$1020,3,FALSE)</f>
        <v>호크 아이</v>
      </c>
      <c r="F981" s="8" t="str">
        <f t="shared" si="133"/>
        <v>일반 화살의 사정거리가 50 % 증가한다.</v>
      </c>
      <c r="G981" s="5">
        <v>10</v>
      </c>
      <c r="H981" s="5">
        <v>1</v>
      </c>
      <c r="I981" s="5">
        <v>0</v>
      </c>
      <c r="J981" s="5">
        <v>0</v>
      </c>
      <c r="K981" s="5">
        <v>0</v>
      </c>
      <c r="L981" s="5">
        <v>0</v>
      </c>
      <c r="M981" s="5">
        <v>0</v>
      </c>
      <c r="N981" s="5">
        <v>0</v>
      </c>
      <c r="O981" s="5">
        <v>0</v>
      </c>
      <c r="P981" s="2" t="s">
        <v>440</v>
      </c>
      <c r="Q981" s="2" t="str">
        <f t="shared" si="131"/>
        <v>SI_P_LE_HAWK_EYE</v>
      </c>
      <c r="R981" s="5" t="b">
        <v>0</v>
      </c>
      <c r="S981" s="2" t="b">
        <v>1</v>
      </c>
      <c r="T981" s="2">
        <v>0</v>
      </c>
      <c r="U981" s="2"/>
      <c r="V981" s="5" t="s">
        <v>259</v>
      </c>
      <c r="W981" s="5">
        <v>1.5</v>
      </c>
    </row>
    <row r="982" spans="1:23" s="10" customFormat="1">
      <c r="A982" s="9">
        <v>2404</v>
      </c>
      <c r="B982" s="11" t="str">
        <f>VLOOKUP($A982,SkillEnum!$A$2:$C$1020,2,FALSE)</f>
        <v>SI_P_LE_SHARP_ARROW</v>
      </c>
      <c r="C982" s="11">
        <v>8</v>
      </c>
      <c r="D982" s="10" t="str">
        <f>VLOOKUP($C982,SkillEnum!$D$2:$E$10,2,FALSE)</f>
        <v>ST_PASSIVE</v>
      </c>
      <c r="E982" s="11" t="str">
        <f>VLOOKUP($A982,SkillEnum!$A$2:$C$1020,3,FALSE)</f>
        <v>다듬어진 화살</v>
      </c>
      <c r="F982" s="11" t="str">
        <f t="shared" ref="F982:F991" si="134">"화살을 이용한 일반공격의 다운수치가 "&amp;ROUND((1-W982)*100,0)&amp;" % 감소한다."</f>
        <v>화살을 이용한 일반공격의 다운수치가 5 % 감소한다.</v>
      </c>
      <c r="G982" s="10">
        <v>1</v>
      </c>
      <c r="H982" s="2">
        <v>1</v>
      </c>
      <c r="I982" s="2">
        <v>0</v>
      </c>
      <c r="J982" s="10">
        <v>0</v>
      </c>
      <c r="K982" s="2">
        <v>0</v>
      </c>
      <c r="L982" s="2">
        <v>0</v>
      </c>
      <c r="M982" s="2">
        <v>0</v>
      </c>
      <c r="N982" s="2">
        <v>0</v>
      </c>
      <c r="O982" s="2">
        <v>0</v>
      </c>
      <c r="P982" s="2" t="s">
        <v>440</v>
      </c>
      <c r="Q982" s="2" t="str">
        <f t="shared" si="131"/>
        <v>SI_P_LE_SHARP_ARROW</v>
      </c>
      <c r="R982" s="2" t="b">
        <v>0</v>
      </c>
      <c r="S982" s="2" t="b">
        <v>1</v>
      </c>
      <c r="T982" s="2">
        <v>0</v>
      </c>
      <c r="U982" s="2"/>
      <c r="V982" s="10" t="s">
        <v>260</v>
      </c>
      <c r="W982" s="10">
        <v>0.95</v>
      </c>
    </row>
    <row r="983" spans="1:23">
      <c r="A983" s="4">
        <v>2404</v>
      </c>
      <c r="B983" s="7" t="str">
        <f>VLOOKUP($A983,SkillEnum!$A$2:$C$1020,2,FALSE)</f>
        <v>SI_P_LE_SHARP_ARROW</v>
      </c>
      <c r="C983" s="7">
        <v>8</v>
      </c>
      <c r="D983" s="2" t="str">
        <f>VLOOKUP($C983,SkillEnum!$D$2:$E$10,2,FALSE)</f>
        <v>ST_PASSIVE</v>
      </c>
      <c r="E983" s="7" t="str">
        <f>VLOOKUP($A983,SkillEnum!$A$2:$C$1020,3,FALSE)</f>
        <v>다듬어진 화살</v>
      </c>
      <c r="F983" s="7" t="str">
        <f t="shared" si="134"/>
        <v>화살을 이용한 일반공격의 다운수치가 10 % 감소한다.</v>
      </c>
      <c r="G983" s="2">
        <v>2</v>
      </c>
      <c r="H983" s="2">
        <v>1</v>
      </c>
      <c r="I983" s="2">
        <v>0</v>
      </c>
      <c r="J983" s="2">
        <v>0</v>
      </c>
      <c r="K983" s="2">
        <v>0</v>
      </c>
      <c r="L983" s="2">
        <v>0</v>
      </c>
      <c r="M983" s="2">
        <v>0</v>
      </c>
      <c r="N983" s="2">
        <v>0</v>
      </c>
      <c r="O983" s="2">
        <v>0</v>
      </c>
      <c r="P983" s="2" t="s">
        <v>440</v>
      </c>
      <c r="Q983" s="2" t="str">
        <f t="shared" si="131"/>
        <v>SI_P_LE_SHARP_ARROW</v>
      </c>
      <c r="R983" s="2" t="b">
        <v>0</v>
      </c>
      <c r="S983" s="2" t="b">
        <v>1</v>
      </c>
      <c r="T983" s="2">
        <v>0</v>
      </c>
      <c r="V983" s="2" t="s">
        <v>260</v>
      </c>
      <c r="W983" s="2">
        <v>0.9</v>
      </c>
    </row>
    <row r="984" spans="1:23">
      <c r="A984" s="4">
        <v>2404</v>
      </c>
      <c r="B984" s="7" t="str">
        <f>VLOOKUP($A984,SkillEnum!$A$2:$C$1020,2,FALSE)</f>
        <v>SI_P_LE_SHARP_ARROW</v>
      </c>
      <c r="C984" s="7">
        <v>8</v>
      </c>
      <c r="D984" s="2" t="str">
        <f>VLOOKUP($C984,SkillEnum!$D$2:$E$10,2,FALSE)</f>
        <v>ST_PASSIVE</v>
      </c>
      <c r="E984" s="7" t="str">
        <f>VLOOKUP($A984,SkillEnum!$A$2:$C$1020,3,FALSE)</f>
        <v>다듬어진 화살</v>
      </c>
      <c r="F984" s="7" t="str">
        <f t="shared" si="134"/>
        <v>화살을 이용한 일반공격의 다운수치가 15 % 감소한다.</v>
      </c>
      <c r="G984" s="2">
        <v>3</v>
      </c>
      <c r="H984" s="2">
        <v>1</v>
      </c>
      <c r="I984" s="2">
        <v>0</v>
      </c>
      <c r="J984" s="2">
        <v>0</v>
      </c>
      <c r="K984" s="2">
        <v>0</v>
      </c>
      <c r="L984" s="2">
        <v>0</v>
      </c>
      <c r="M984" s="2">
        <v>0</v>
      </c>
      <c r="N984" s="2">
        <v>0</v>
      </c>
      <c r="O984" s="2">
        <v>0</v>
      </c>
      <c r="P984" s="2" t="s">
        <v>440</v>
      </c>
      <c r="Q984" s="2" t="str">
        <f t="shared" si="131"/>
        <v>SI_P_LE_SHARP_ARROW</v>
      </c>
      <c r="R984" s="2" t="b">
        <v>0</v>
      </c>
      <c r="S984" s="2" t="b">
        <v>1</v>
      </c>
      <c r="T984" s="2">
        <v>0</v>
      </c>
      <c r="V984" s="2" t="s">
        <v>260</v>
      </c>
      <c r="W984" s="2">
        <v>0.85</v>
      </c>
    </row>
    <row r="985" spans="1:23">
      <c r="A985" s="4">
        <v>2404</v>
      </c>
      <c r="B985" s="7" t="str">
        <f>VLOOKUP($A985,SkillEnum!$A$2:$C$1020,2,FALSE)</f>
        <v>SI_P_LE_SHARP_ARROW</v>
      </c>
      <c r="C985" s="7">
        <v>8</v>
      </c>
      <c r="D985" s="2" t="str">
        <f>VLOOKUP($C985,SkillEnum!$D$2:$E$10,2,FALSE)</f>
        <v>ST_PASSIVE</v>
      </c>
      <c r="E985" s="7" t="str">
        <f>VLOOKUP($A985,SkillEnum!$A$2:$C$1020,3,FALSE)</f>
        <v>다듬어진 화살</v>
      </c>
      <c r="F985" s="7" t="str">
        <f t="shared" si="134"/>
        <v>화살을 이용한 일반공격의 다운수치가 20 % 감소한다.</v>
      </c>
      <c r="G985" s="2">
        <v>4</v>
      </c>
      <c r="H985" s="2">
        <v>1</v>
      </c>
      <c r="I985" s="2">
        <v>0</v>
      </c>
      <c r="J985" s="2">
        <v>0</v>
      </c>
      <c r="K985" s="2">
        <v>0</v>
      </c>
      <c r="L985" s="2">
        <v>0</v>
      </c>
      <c r="M985" s="2">
        <v>0</v>
      </c>
      <c r="N985" s="2">
        <v>0</v>
      </c>
      <c r="O985" s="2">
        <v>0</v>
      </c>
      <c r="P985" s="2" t="s">
        <v>440</v>
      </c>
      <c r="Q985" s="2" t="str">
        <f t="shared" si="131"/>
        <v>SI_P_LE_SHARP_ARROW</v>
      </c>
      <c r="R985" s="2" t="b">
        <v>0</v>
      </c>
      <c r="S985" s="2" t="b">
        <v>1</v>
      </c>
      <c r="T985" s="2">
        <v>0</v>
      </c>
      <c r="V985" s="2" t="s">
        <v>260</v>
      </c>
      <c r="W985" s="2">
        <v>0.8</v>
      </c>
    </row>
    <row r="986" spans="1:23">
      <c r="A986" s="4">
        <v>2404</v>
      </c>
      <c r="B986" s="7" t="str">
        <f>VLOOKUP($A986,SkillEnum!$A$2:$C$1020,2,FALSE)</f>
        <v>SI_P_LE_SHARP_ARROW</v>
      </c>
      <c r="C986" s="7">
        <v>8</v>
      </c>
      <c r="D986" s="2" t="str">
        <f>VLOOKUP($C986,SkillEnum!$D$2:$E$10,2,FALSE)</f>
        <v>ST_PASSIVE</v>
      </c>
      <c r="E986" s="7" t="str">
        <f>VLOOKUP($A986,SkillEnum!$A$2:$C$1020,3,FALSE)</f>
        <v>다듬어진 화살</v>
      </c>
      <c r="F986" s="7" t="str">
        <f t="shared" si="134"/>
        <v>화살을 이용한 일반공격의 다운수치가 25 % 감소한다.</v>
      </c>
      <c r="G986" s="2">
        <v>5</v>
      </c>
      <c r="H986" s="2">
        <v>1</v>
      </c>
      <c r="I986" s="2">
        <v>0</v>
      </c>
      <c r="J986" s="2">
        <v>0</v>
      </c>
      <c r="K986" s="2">
        <v>0</v>
      </c>
      <c r="L986" s="2">
        <v>0</v>
      </c>
      <c r="M986" s="2">
        <v>0</v>
      </c>
      <c r="N986" s="2">
        <v>0</v>
      </c>
      <c r="O986" s="2">
        <v>0</v>
      </c>
      <c r="P986" s="2" t="s">
        <v>440</v>
      </c>
      <c r="Q986" s="2" t="str">
        <f t="shared" si="131"/>
        <v>SI_P_LE_SHARP_ARROW</v>
      </c>
      <c r="R986" s="2" t="b">
        <v>0</v>
      </c>
      <c r="S986" s="2" t="b">
        <v>1</v>
      </c>
      <c r="T986" s="2">
        <v>0</v>
      </c>
      <c r="V986" s="2" t="s">
        <v>260</v>
      </c>
      <c r="W986" s="2">
        <v>0.75</v>
      </c>
    </row>
    <row r="987" spans="1:23">
      <c r="A987" s="4">
        <v>2404</v>
      </c>
      <c r="B987" s="7" t="str">
        <f>VLOOKUP($A987,SkillEnum!$A$2:$C$1020,2,FALSE)</f>
        <v>SI_P_LE_SHARP_ARROW</v>
      </c>
      <c r="C987" s="7">
        <v>8</v>
      </c>
      <c r="D987" s="2" t="str">
        <f>VLOOKUP($C987,SkillEnum!$D$2:$E$10,2,FALSE)</f>
        <v>ST_PASSIVE</v>
      </c>
      <c r="E987" s="7" t="str">
        <f>VLOOKUP($A987,SkillEnum!$A$2:$C$1020,3,FALSE)</f>
        <v>다듬어진 화살</v>
      </c>
      <c r="F987" s="7" t="str">
        <f t="shared" si="134"/>
        <v>화살을 이용한 일반공격의 다운수치가 30 % 감소한다.</v>
      </c>
      <c r="G987" s="2">
        <v>6</v>
      </c>
      <c r="H987" s="2">
        <v>1</v>
      </c>
      <c r="I987" s="2">
        <v>0</v>
      </c>
      <c r="J987" s="2">
        <v>0</v>
      </c>
      <c r="K987" s="2">
        <v>0</v>
      </c>
      <c r="L987" s="2">
        <v>0</v>
      </c>
      <c r="M987" s="2">
        <v>0</v>
      </c>
      <c r="N987" s="2">
        <v>0</v>
      </c>
      <c r="O987" s="2">
        <v>0</v>
      </c>
      <c r="P987" s="2" t="s">
        <v>440</v>
      </c>
      <c r="Q987" s="2" t="str">
        <f t="shared" si="131"/>
        <v>SI_P_LE_SHARP_ARROW</v>
      </c>
      <c r="R987" s="2" t="b">
        <v>0</v>
      </c>
      <c r="S987" s="2" t="b">
        <v>1</v>
      </c>
      <c r="T987" s="2">
        <v>0</v>
      </c>
      <c r="V987" s="2" t="s">
        <v>260</v>
      </c>
      <c r="W987" s="2">
        <v>0.7</v>
      </c>
    </row>
    <row r="988" spans="1:23">
      <c r="A988" s="4">
        <v>2404</v>
      </c>
      <c r="B988" s="7" t="str">
        <f>VLOOKUP($A988,SkillEnum!$A$2:$C$1020,2,FALSE)</f>
        <v>SI_P_LE_SHARP_ARROW</v>
      </c>
      <c r="C988" s="7">
        <v>8</v>
      </c>
      <c r="D988" s="2" t="str">
        <f>VLOOKUP($C988,SkillEnum!$D$2:$E$10,2,FALSE)</f>
        <v>ST_PASSIVE</v>
      </c>
      <c r="E988" s="7" t="str">
        <f>VLOOKUP($A988,SkillEnum!$A$2:$C$1020,3,FALSE)</f>
        <v>다듬어진 화살</v>
      </c>
      <c r="F988" s="7" t="str">
        <f t="shared" si="134"/>
        <v>화살을 이용한 일반공격의 다운수치가 35 % 감소한다.</v>
      </c>
      <c r="G988" s="2">
        <v>7</v>
      </c>
      <c r="H988" s="2">
        <v>1</v>
      </c>
      <c r="I988" s="2">
        <v>0</v>
      </c>
      <c r="J988" s="2">
        <v>0</v>
      </c>
      <c r="K988" s="2">
        <v>0</v>
      </c>
      <c r="L988" s="2">
        <v>0</v>
      </c>
      <c r="M988" s="2">
        <v>0</v>
      </c>
      <c r="N988" s="2">
        <v>0</v>
      </c>
      <c r="O988" s="2">
        <v>0</v>
      </c>
      <c r="P988" s="2" t="s">
        <v>440</v>
      </c>
      <c r="Q988" s="2" t="str">
        <f t="shared" si="131"/>
        <v>SI_P_LE_SHARP_ARROW</v>
      </c>
      <c r="R988" s="2" t="b">
        <v>0</v>
      </c>
      <c r="S988" s="2" t="b">
        <v>1</v>
      </c>
      <c r="T988" s="2">
        <v>0</v>
      </c>
      <c r="V988" s="2" t="s">
        <v>260</v>
      </c>
      <c r="W988" s="2">
        <v>0.65</v>
      </c>
    </row>
    <row r="989" spans="1:23">
      <c r="A989" s="4">
        <v>2404</v>
      </c>
      <c r="B989" s="7" t="str">
        <f>VLOOKUP($A989,SkillEnum!$A$2:$C$1020,2,FALSE)</f>
        <v>SI_P_LE_SHARP_ARROW</v>
      </c>
      <c r="C989" s="7">
        <v>8</v>
      </c>
      <c r="D989" s="2" t="str">
        <f>VLOOKUP($C989,SkillEnum!$D$2:$E$10,2,FALSE)</f>
        <v>ST_PASSIVE</v>
      </c>
      <c r="E989" s="7" t="str">
        <f>VLOOKUP($A989,SkillEnum!$A$2:$C$1020,3,FALSE)</f>
        <v>다듬어진 화살</v>
      </c>
      <c r="F989" s="7" t="str">
        <f t="shared" si="134"/>
        <v>화살을 이용한 일반공격의 다운수치가 40 % 감소한다.</v>
      </c>
      <c r="G989" s="2">
        <v>8</v>
      </c>
      <c r="H989" s="2">
        <v>1</v>
      </c>
      <c r="I989" s="2">
        <v>0</v>
      </c>
      <c r="J989" s="2">
        <v>0</v>
      </c>
      <c r="K989" s="2">
        <v>0</v>
      </c>
      <c r="L989" s="2">
        <v>0</v>
      </c>
      <c r="M989" s="2">
        <v>0</v>
      </c>
      <c r="N989" s="2">
        <v>0</v>
      </c>
      <c r="O989" s="2">
        <v>0</v>
      </c>
      <c r="P989" s="2" t="s">
        <v>440</v>
      </c>
      <c r="Q989" s="2" t="str">
        <f t="shared" si="131"/>
        <v>SI_P_LE_SHARP_ARROW</v>
      </c>
      <c r="R989" s="2" t="b">
        <v>0</v>
      </c>
      <c r="S989" s="2" t="b">
        <v>1</v>
      </c>
      <c r="T989" s="2">
        <v>0</v>
      </c>
      <c r="V989" s="2" t="s">
        <v>260</v>
      </c>
      <c r="W989" s="2">
        <v>0.6</v>
      </c>
    </row>
    <row r="990" spans="1:23">
      <c r="A990" s="4">
        <v>2404</v>
      </c>
      <c r="B990" s="7" t="str">
        <f>VLOOKUP($A990,SkillEnum!$A$2:$C$1020,2,FALSE)</f>
        <v>SI_P_LE_SHARP_ARROW</v>
      </c>
      <c r="C990" s="7">
        <v>8</v>
      </c>
      <c r="D990" s="2" t="str">
        <f>VLOOKUP($C990,SkillEnum!$D$2:$E$10,2,FALSE)</f>
        <v>ST_PASSIVE</v>
      </c>
      <c r="E990" s="7" t="str">
        <f>VLOOKUP($A990,SkillEnum!$A$2:$C$1020,3,FALSE)</f>
        <v>다듬어진 화살</v>
      </c>
      <c r="F990" s="7" t="str">
        <f t="shared" si="134"/>
        <v>화살을 이용한 일반공격의 다운수치가 45 % 감소한다.</v>
      </c>
      <c r="G990" s="2">
        <v>9</v>
      </c>
      <c r="H990" s="2">
        <v>1</v>
      </c>
      <c r="I990" s="2">
        <v>0</v>
      </c>
      <c r="J990" s="2">
        <v>0</v>
      </c>
      <c r="K990" s="2">
        <v>0</v>
      </c>
      <c r="L990" s="2">
        <v>0</v>
      </c>
      <c r="M990" s="2">
        <v>0</v>
      </c>
      <c r="N990" s="2">
        <v>0</v>
      </c>
      <c r="O990" s="2">
        <v>0</v>
      </c>
      <c r="P990" s="2" t="s">
        <v>440</v>
      </c>
      <c r="Q990" s="2" t="str">
        <f t="shared" si="131"/>
        <v>SI_P_LE_SHARP_ARROW</v>
      </c>
      <c r="R990" s="2" t="b">
        <v>0</v>
      </c>
      <c r="S990" s="2" t="b">
        <v>1</v>
      </c>
      <c r="T990" s="2">
        <v>0</v>
      </c>
      <c r="V990" s="2" t="s">
        <v>260</v>
      </c>
      <c r="W990" s="2">
        <v>0.55000000000000004</v>
      </c>
    </row>
    <row r="991" spans="1:23" s="5" customFormat="1">
      <c r="A991" s="6">
        <v>2404</v>
      </c>
      <c r="B991" s="8" t="str">
        <f>VLOOKUP($A991,SkillEnum!$A$2:$C$1020,2,FALSE)</f>
        <v>SI_P_LE_SHARP_ARROW</v>
      </c>
      <c r="C991" s="8">
        <v>8</v>
      </c>
      <c r="D991" s="5" t="str">
        <f>VLOOKUP($C991,SkillEnum!$D$2:$E$10,2,FALSE)</f>
        <v>ST_PASSIVE</v>
      </c>
      <c r="E991" s="8" t="str">
        <f>VLOOKUP($A991,SkillEnum!$A$2:$C$1020,3,FALSE)</f>
        <v>다듬어진 화살</v>
      </c>
      <c r="F991" s="8" t="str">
        <f t="shared" si="134"/>
        <v>화살을 이용한 일반공격의 다운수치가 50 % 감소한다.</v>
      </c>
      <c r="G991" s="5">
        <v>10</v>
      </c>
      <c r="H991" s="5">
        <v>1</v>
      </c>
      <c r="I991" s="5">
        <v>0</v>
      </c>
      <c r="J991" s="5">
        <v>0</v>
      </c>
      <c r="K991" s="5">
        <v>0</v>
      </c>
      <c r="L991" s="5">
        <v>0</v>
      </c>
      <c r="M991" s="5">
        <v>0</v>
      </c>
      <c r="N991" s="5">
        <v>0</v>
      </c>
      <c r="O991" s="5">
        <v>0</v>
      </c>
      <c r="P991" s="2" t="s">
        <v>440</v>
      </c>
      <c r="Q991" s="2" t="str">
        <f t="shared" si="131"/>
        <v>SI_P_LE_SHARP_ARROW</v>
      </c>
      <c r="R991" s="5" t="b">
        <v>0</v>
      </c>
      <c r="S991" s="2" t="b">
        <v>1</v>
      </c>
      <c r="T991" s="2">
        <v>0</v>
      </c>
      <c r="U991" s="2"/>
      <c r="V991" s="5" t="s">
        <v>260</v>
      </c>
      <c r="W991" s="5">
        <v>0.5</v>
      </c>
    </row>
    <row r="992" spans="1:23" s="10" customFormat="1">
      <c r="A992" s="9">
        <v>2500</v>
      </c>
      <c r="B992" s="11" t="str">
        <f>VLOOKUP($A992,SkillEnum!$A$2:$C$1020,2,FALSE)</f>
        <v>SI_SA_RF_MAXIMUM_CANNON</v>
      </c>
      <c r="C992" s="11">
        <v>7</v>
      </c>
      <c r="D992" s="10" t="str">
        <f>VLOOKUP($C992,SkillEnum!$D$2:$E$10,2,FALSE)</f>
        <v>ST_SPECIAL_ACTIVE</v>
      </c>
      <c r="E992" s="11" t="str">
        <f>VLOOKUP($A992,SkillEnum!$A$2:$C$1020,3,FALSE)</f>
        <v>맥시멈 캐논</v>
      </c>
      <c r="F992" s="11" t="str">
        <f>"나소드의 힘으로 전방에 회전하는 힘의 구체를 만들어 내어 마법공격력의 "&amp;ROUND(1*H992*100,0)&amp;" %로 연속타격을 가하고 적을 날려 버린다."</f>
        <v>나소드의 힘으로 전방에 회전하는 힘의 구체를 만들어 내어 마법공격력의 70 %로 연속타격을 가하고 적을 날려 버린다.</v>
      </c>
      <c r="G992" s="10">
        <v>1</v>
      </c>
      <c r="H992" s="2">
        <v>0.7</v>
      </c>
      <c r="I992" s="2">
        <v>3</v>
      </c>
      <c r="J992" s="10">
        <v>100</v>
      </c>
      <c r="K992" s="2">
        <v>0</v>
      </c>
      <c r="L992" s="2">
        <v>0</v>
      </c>
      <c r="M992" s="2">
        <v>0</v>
      </c>
      <c r="N992" s="2">
        <v>0</v>
      </c>
      <c r="O992" s="2">
        <v>0</v>
      </c>
      <c r="P992" s="2" t="s">
        <v>441</v>
      </c>
      <c r="Q992" s="2" t="str">
        <f t="shared" si="131"/>
        <v>SI_SA_RF_MAXIMUM_CANNON</v>
      </c>
      <c r="R992" s="2" t="b">
        <v>0</v>
      </c>
      <c r="S992" s="2" t="b">
        <v>1</v>
      </c>
      <c r="T992" s="2">
        <v>1</v>
      </c>
      <c r="U992" s="2"/>
    </row>
    <row r="993" spans="1:21">
      <c r="A993" s="4">
        <v>2500</v>
      </c>
      <c r="B993" s="7" t="str">
        <f>VLOOKUP($A993,SkillEnum!$A$2:$C$1020,2,FALSE)</f>
        <v>SI_SA_RF_MAXIMUM_CANNON</v>
      </c>
      <c r="C993" s="7">
        <v>7</v>
      </c>
      <c r="D993" s="2" t="str">
        <f>VLOOKUP($C993,SkillEnum!$D$2:$E$10,2,FALSE)</f>
        <v>ST_SPECIAL_ACTIVE</v>
      </c>
      <c r="E993" s="7" t="str">
        <f>VLOOKUP($A993,SkillEnum!$A$2:$C$1020,3,FALSE)</f>
        <v>맥시멈 캐논</v>
      </c>
      <c r="F993" s="7" t="str">
        <f t="shared" ref="F993:F1001" si="135">"나소드의 힘으로 전방에 회전하는 힘의 구체를 만들어 내어 마법공격력의 "&amp;ROUND(1*H993*100,0)&amp;" %로 연속타격을 가하고 적을 날려 버린다."</f>
        <v>나소드의 힘으로 전방에 회전하는 힘의 구체를 만들어 내어 마법공격력의 84 %로 연속타격을 가하고 적을 날려 버린다.</v>
      </c>
      <c r="G993" s="2">
        <v>2</v>
      </c>
      <c r="H993" s="2">
        <v>0.84</v>
      </c>
      <c r="I993" s="2">
        <v>3</v>
      </c>
      <c r="J993" s="2">
        <v>100</v>
      </c>
      <c r="K993" s="2">
        <v>0</v>
      </c>
      <c r="L993" s="2">
        <v>0</v>
      </c>
      <c r="M993" s="2">
        <v>0</v>
      </c>
      <c r="N993" s="2">
        <v>0</v>
      </c>
      <c r="O993" s="2">
        <v>0</v>
      </c>
      <c r="P993" s="2" t="s">
        <v>441</v>
      </c>
      <c r="Q993" s="2" t="str">
        <f t="shared" si="131"/>
        <v>SI_SA_RF_MAXIMUM_CANNON</v>
      </c>
      <c r="R993" s="2" t="b">
        <v>0</v>
      </c>
      <c r="S993" s="2" t="b">
        <v>1</v>
      </c>
      <c r="T993" s="2">
        <v>1</v>
      </c>
    </row>
    <row r="994" spans="1:21">
      <c r="A994" s="4">
        <v>2500</v>
      </c>
      <c r="B994" s="7" t="str">
        <f>VLOOKUP($A994,SkillEnum!$A$2:$C$1020,2,FALSE)</f>
        <v>SI_SA_RF_MAXIMUM_CANNON</v>
      </c>
      <c r="C994" s="7">
        <v>7</v>
      </c>
      <c r="D994" s="2" t="str">
        <f>VLOOKUP($C994,SkillEnum!$D$2:$E$10,2,FALSE)</f>
        <v>ST_SPECIAL_ACTIVE</v>
      </c>
      <c r="E994" s="7" t="str">
        <f>VLOOKUP($A994,SkillEnum!$A$2:$C$1020,3,FALSE)</f>
        <v>맥시멈 캐논</v>
      </c>
      <c r="F994" s="7" t="str">
        <f t="shared" si="135"/>
        <v>나소드의 힘으로 전방에 회전하는 힘의 구체를 만들어 내어 마법공격력의 98 %로 연속타격을 가하고 적을 날려 버린다.</v>
      </c>
      <c r="G994" s="2">
        <v>3</v>
      </c>
      <c r="H994" s="2">
        <v>0.98</v>
      </c>
      <c r="I994" s="2">
        <v>3</v>
      </c>
      <c r="J994" s="2">
        <v>100</v>
      </c>
      <c r="K994" s="2">
        <v>0</v>
      </c>
      <c r="L994" s="2">
        <v>0</v>
      </c>
      <c r="M994" s="2">
        <v>0</v>
      </c>
      <c r="N994" s="2">
        <v>0</v>
      </c>
      <c r="O994" s="2">
        <v>0</v>
      </c>
      <c r="P994" s="2" t="s">
        <v>441</v>
      </c>
      <c r="Q994" s="2" t="str">
        <f t="shared" si="131"/>
        <v>SI_SA_RF_MAXIMUM_CANNON</v>
      </c>
      <c r="R994" s="2" t="b">
        <v>0</v>
      </c>
      <c r="S994" s="2" t="b">
        <v>1</v>
      </c>
      <c r="T994" s="2">
        <v>1</v>
      </c>
    </row>
    <row r="995" spans="1:21">
      <c r="A995" s="4">
        <v>2500</v>
      </c>
      <c r="B995" s="7" t="str">
        <f>VLOOKUP($A995,SkillEnum!$A$2:$C$1020,2,FALSE)</f>
        <v>SI_SA_RF_MAXIMUM_CANNON</v>
      </c>
      <c r="C995" s="7">
        <v>7</v>
      </c>
      <c r="D995" s="2" t="str">
        <f>VLOOKUP($C995,SkillEnum!$D$2:$E$10,2,FALSE)</f>
        <v>ST_SPECIAL_ACTIVE</v>
      </c>
      <c r="E995" s="7" t="str">
        <f>VLOOKUP($A995,SkillEnum!$A$2:$C$1020,3,FALSE)</f>
        <v>맥시멈 캐논</v>
      </c>
      <c r="F995" s="7" t="str">
        <f t="shared" si="135"/>
        <v>나소드의 힘으로 전방에 회전하는 힘의 구체를 만들어 내어 마법공격력의 112 %로 연속타격을 가하고 적을 날려 버린다.</v>
      </c>
      <c r="G995" s="2">
        <v>4</v>
      </c>
      <c r="H995" s="2">
        <v>1.1200000000000001</v>
      </c>
      <c r="I995" s="2">
        <v>3</v>
      </c>
      <c r="J995" s="2">
        <v>100</v>
      </c>
      <c r="K995" s="2">
        <v>0</v>
      </c>
      <c r="L995" s="2">
        <v>0</v>
      </c>
      <c r="M995" s="2">
        <v>0</v>
      </c>
      <c r="N995" s="2">
        <v>0</v>
      </c>
      <c r="O995" s="2">
        <v>0</v>
      </c>
      <c r="P995" s="2" t="s">
        <v>441</v>
      </c>
      <c r="Q995" s="2" t="str">
        <f t="shared" si="131"/>
        <v>SI_SA_RF_MAXIMUM_CANNON</v>
      </c>
      <c r="R995" s="2" t="b">
        <v>0</v>
      </c>
      <c r="S995" s="2" t="b">
        <v>1</v>
      </c>
      <c r="T995" s="2">
        <v>1</v>
      </c>
    </row>
    <row r="996" spans="1:21">
      <c r="A996" s="4">
        <v>2500</v>
      </c>
      <c r="B996" s="7" t="str">
        <f>VLOOKUP($A996,SkillEnum!$A$2:$C$1020,2,FALSE)</f>
        <v>SI_SA_RF_MAXIMUM_CANNON</v>
      </c>
      <c r="C996" s="7">
        <v>7</v>
      </c>
      <c r="D996" s="2" t="str">
        <f>VLOOKUP($C996,SkillEnum!$D$2:$E$10,2,FALSE)</f>
        <v>ST_SPECIAL_ACTIVE</v>
      </c>
      <c r="E996" s="7" t="str">
        <f>VLOOKUP($A996,SkillEnum!$A$2:$C$1020,3,FALSE)</f>
        <v>맥시멈 캐논</v>
      </c>
      <c r="F996" s="7" t="str">
        <f t="shared" si="135"/>
        <v>나소드의 힘으로 전방에 회전하는 힘의 구체를 만들어 내어 마법공격력의 133 %로 연속타격을 가하고 적을 날려 버린다.</v>
      </c>
      <c r="G996" s="2">
        <v>5</v>
      </c>
      <c r="H996" s="2">
        <v>1.33</v>
      </c>
      <c r="I996" s="2">
        <v>3</v>
      </c>
      <c r="J996" s="2">
        <v>100</v>
      </c>
      <c r="K996" s="2">
        <v>0</v>
      </c>
      <c r="L996" s="2">
        <v>0</v>
      </c>
      <c r="M996" s="2">
        <v>0</v>
      </c>
      <c r="N996" s="2">
        <v>0</v>
      </c>
      <c r="O996" s="2">
        <v>0</v>
      </c>
      <c r="P996" s="2" t="s">
        <v>441</v>
      </c>
      <c r="Q996" s="2" t="str">
        <f t="shared" si="131"/>
        <v>SI_SA_RF_MAXIMUM_CANNON</v>
      </c>
      <c r="R996" s="2" t="b">
        <v>0</v>
      </c>
      <c r="S996" s="2" t="b">
        <v>1</v>
      </c>
      <c r="T996" s="2">
        <v>1</v>
      </c>
    </row>
    <row r="997" spans="1:21">
      <c r="A997" s="4">
        <v>2500</v>
      </c>
      <c r="B997" s="7" t="str">
        <f>VLOOKUP($A997,SkillEnum!$A$2:$C$1020,2,FALSE)</f>
        <v>SI_SA_RF_MAXIMUM_CANNON</v>
      </c>
      <c r="C997" s="7">
        <v>7</v>
      </c>
      <c r="D997" s="2" t="str">
        <f>VLOOKUP($C997,SkillEnum!$D$2:$E$10,2,FALSE)</f>
        <v>ST_SPECIAL_ACTIVE</v>
      </c>
      <c r="E997" s="7" t="str">
        <f>VLOOKUP($A997,SkillEnum!$A$2:$C$1020,3,FALSE)</f>
        <v>맥시멈 캐논</v>
      </c>
      <c r="F997" s="7" t="str">
        <f t="shared" si="135"/>
        <v>나소드의 힘으로 전방에 회전하는 힘의 구체를 만들어 내어 마법공격력의 154 %로 연속타격을 가하고 적을 날려 버린다.</v>
      </c>
      <c r="G997" s="2">
        <v>6</v>
      </c>
      <c r="H997" s="2">
        <v>1.54</v>
      </c>
      <c r="I997" s="2">
        <v>3</v>
      </c>
      <c r="J997" s="2">
        <v>100</v>
      </c>
      <c r="K997" s="2">
        <v>0</v>
      </c>
      <c r="L997" s="2">
        <v>0</v>
      </c>
      <c r="M997" s="2">
        <v>0</v>
      </c>
      <c r="N997" s="2">
        <v>0</v>
      </c>
      <c r="O997" s="2">
        <v>0</v>
      </c>
      <c r="P997" s="2" t="s">
        <v>441</v>
      </c>
      <c r="Q997" s="2" t="str">
        <f t="shared" si="131"/>
        <v>SI_SA_RF_MAXIMUM_CANNON</v>
      </c>
      <c r="R997" s="2" t="b">
        <v>0</v>
      </c>
      <c r="S997" s="2" t="b">
        <v>1</v>
      </c>
      <c r="T997" s="2">
        <v>1</v>
      </c>
    </row>
    <row r="998" spans="1:21">
      <c r="A998" s="4">
        <v>2500</v>
      </c>
      <c r="B998" s="7" t="str">
        <f>VLOOKUP($A998,SkillEnum!$A$2:$C$1020,2,FALSE)</f>
        <v>SI_SA_RF_MAXIMUM_CANNON</v>
      </c>
      <c r="C998" s="7">
        <v>7</v>
      </c>
      <c r="D998" s="2" t="str">
        <f>VLOOKUP($C998,SkillEnum!$D$2:$E$10,2,FALSE)</f>
        <v>ST_SPECIAL_ACTIVE</v>
      </c>
      <c r="E998" s="7" t="str">
        <f>VLOOKUP($A998,SkillEnum!$A$2:$C$1020,3,FALSE)</f>
        <v>맥시멈 캐논</v>
      </c>
      <c r="F998" s="7" t="str">
        <f t="shared" si="135"/>
        <v>나소드의 힘으로 전방에 회전하는 힘의 구체를 만들어 내어 마법공격력의 175 %로 연속타격을 가하고 적을 날려 버린다.</v>
      </c>
      <c r="G998" s="2">
        <v>7</v>
      </c>
      <c r="H998" s="2">
        <v>1.75</v>
      </c>
      <c r="I998" s="2">
        <v>3</v>
      </c>
      <c r="J998" s="2">
        <v>100</v>
      </c>
      <c r="K998" s="2">
        <v>0</v>
      </c>
      <c r="L998" s="2">
        <v>0</v>
      </c>
      <c r="M998" s="2">
        <v>0</v>
      </c>
      <c r="N998" s="2">
        <v>0</v>
      </c>
      <c r="O998" s="2">
        <v>0</v>
      </c>
      <c r="P998" s="2" t="s">
        <v>441</v>
      </c>
      <c r="Q998" s="2" t="str">
        <f t="shared" si="131"/>
        <v>SI_SA_RF_MAXIMUM_CANNON</v>
      </c>
      <c r="R998" s="2" t="b">
        <v>0</v>
      </c>
      <c r="S998" s="2" t="b">
        <v>1</v>
      </c>
      <c r="T998" s="2">
        <v>1</v>
      </c>
    </row>
    <row r="999" spans="1:21">
      <c r="A999" s="4">
        <v>2500</v>
      </c>
      <c r="B999" s="7" t="str">
        <f>VLOOKUP($A999,SkillEnum!$A$2:$C$1020,2,FALSE)</f>
        <v>SI_SA_RF_MAXIMUM_CANNON</v>
      </c>
      <c r="C999" s="7">
        <v>7</v>
      </c>
      <c r="D999" s="2" t="str">
        <f>VLOOKUP($C999,SkillEnum!$D$2:$E$10,2,FALSE)</f>
        <v>ST_SPECIAL_ACTIVE</v>
      </c>
      <c r="E999" s="7" t="str">
        <f>VLOOKUP($A999,SkillEnum!$A$2:$C$1020,3,FALSE)</f>
        <v>맥시멈 캐논</v>
      </c>
      <c r="F999" s="7" t="str">
        <f t="shared" si="135"/>
        <v>나소드의 힘으로 전방에 회전하는 힘의 구체를 만들어 내어 마법공격력의 196 %로 연속타격을 가하고 적을 날려 버린다.</v>
      </c>
      <c r="G999" s="2">
        <v>8</v>
      </c>
      <c r="H999" s="2">
        <v>1.96</v>
      </c>
      <c r="I999" s="2">
        <v>3</v>
      </c>
      <c r="J999" s="2">
        <v>100</v>
      </c>
      <c r="K999" s="2">
        <v>0</v>
      </c>
      <c r="L999" s="2">
        <v>0</v>
      </c>
      <c r="M999" s="2">
        <v>0</v>
      </c>
      <c r="N999" s="2">
        <v>0</v>
      </c>
      <c r="O999" s="2">
        <v>0</v>
      </c>
      <c r="P999" s="2" t="s">
        <v>441</v>
      </c>
      <c r="Q999" s="2" t="str">
        <f t="shared" si="131"/>
        <v>SI_SA_RF_MAXIMUM_CANNON</v>
      </c>
      <c r="R999" s="2" t="b">
        <v>0</v>
      </c>
      <c r="S999" s="2" t="b">
        <v>1</v>
      </c>
      <c r="T999" s="2">
        <v>1</v>
      </c>
    </row>
    <row r="1000" spans="1:21">
      <c r="A1000" s="4">
        <v>2500</v>
      </c>
      <c r="B1000" s="7" t="str">
        <f>VLOOKUP($A1000,SkillEnum!$A$2:$C$1020,2,FALSE)</f>
        <v>SI_SA_RF_MAXIMUM_CANNON</v>
      </c>
      <c r="C1000" s="7">
        <v>7</v>
      </c>
      <c r="D1000" s="2" t="str">
        <f>VLOOKUP($C1000,SkillEnum!$D$2:$E$10,2,FALSE)</f>
        <v>ST_SPECIAL_ACTIVE</v>
      </c>
      <c r="E1000" s="7" t="str">
        <f>VLOOKUP($A1000,SkillEnum!$A$2:$C$1020,3,FALSE)</f>
        <v>맥시멈 캐논</v>
      </c>
      <c r="F1000" s="7" t="str">
        <f t="shared" si="135"/>
        <v>나소드의 힘으로 전방에 회전하는 힘의 구체를 만들어 내어 마법공격력의 224 %로 연속타격을 가하고 적을 날려 버린다.</v>
      </c>
      <c r="G1000" s="2">
        <v>9</v>
      </c>
      <c r="H1000" s="2">
        <v>2.2400000000000002</v>
      </c>
      <c r="I1000" s="2">
        <v>3</v>
      </c>
      <c r="J1000" s="2">
        <v>100</v>
      </c>
      <c r="K1000" s="2">
        <v>0</v>
      </c>
      <c r="L1000" s="2">
        <v>0</v>
      </c>
      <c r="M1000" s="2">
        <v>0</v>
      </c>
      <c r="N1000" s="2">
        <v>0</v>
      </c>
      <c r="O1000" s="2">
        <v>0</v>
      </c>
      <c r="P1000" s="2" t="s">
        <v>441</v>
      </c>
      <c r="Q1000" s="2" t="str">
        <f t="shared" si="131"/>
        <v>SI_SA_RF_MAXIMUM_CANNON</v>
      </c>
      <c r="R1000" s="2" t="b">
        <v>0</v>
      </c>
      <c r="S1000" s="2" t="b">
        <v>1</v>
      </c>
      <c r="T1000" s="2">
        <v>1</v>
      </c>
    </row>
    <row r="1001" spans="1:21" s="5" customFormat="1">
      <c r="A1001" s="6">
        <v>2500</v>
      </c>
      <c r="B1001" s="8" t="str">
        <f>VLOOKUP($A1001,SkillEnum!$A$2:$C$1020,2,FALSE)</f>
        <v>SI_SA_RF_MAXIMUM_CANNON</v>
      </c>
      <c r="C1001" s="8">
        <v>7</v>
      </c>
      <c r="D1001" s="5" t="str">
        <f>VLOOKUP($C1001,SkillEnum!$D$2:$E$10,2,FALSE)</f>
        <v>ST_SPECIAL_ACTIVE</v>
      </c>
      <c r="E1001" s="8" t="str">
        <f>VLOOKUP($A1001,SkillEnum!$A$2:$C$1020,3,FALSE)</f>
        <v>맥시멈 캐논</v>
      </c>
      <c r="F1001" s="8" t="str">
        <f t="shared" si="135"/>
        <v>나소드의 힘으로 전방에 회전하는 힘의 구체를 만들어 내어 마법공격력의 252 %로 연속타격을 가하고 적을 날려 버린다.</v>
      </c>
      <c r="G1001" s="5">
        <v>10</v>
      </c>
      <c r="H1001" s="5">
        <v>2.52</v>
      </c>
      <c r="I1001" s="5">
        <v>3</v>
      </c>
      <c r="J1001" s="5">
        <v>100</v>
      </c>
      <c r="K1001" s="5">
        <v>0</v>
      </c>
      <c r="L1001" s="5">
        <v>0</v>
      </c>
      <c r="M1001" s="5">
        <v>0</v>
      </c>
      <c r="N1001" s="5">
        <v>0</v>
      </c>
      <c r="O1001" s="5">
        <v>0</v>
      </c>
      <c r="P1001" s="2" t="s">
        <v>441</v>
      </c>
      <c r="Q1001" s="2" t="str">
        <f t="shared" si="131"/>
        <v>SI_SA_RF_MAXIMUM_CANNON</v>
      </c>
      <c r="R1001" s="5" t="b">
        <v>0</v>
      </c>
      <c r="S1001" s="2" t="b">
        <v>1</v>
      </c>
      <c r="T1001" s="2">
        <v>1</v>
      </c>
      <c r="U1001" s="2"/>
    </row>
    <row r="1002" spans="1:21" s="10" customFormat="1">
      <c r="A1002" s="9">
        <v>2501</v>
      </c>
      <c r="B1002" s="11" t="str">
        <f>VLOOKUP($A1002,SkillEnum!$A$2:$C$1020,2,FALSE)</f>
        <v>SI_SA_RF_EARTH_BREAKER</v>
      </c>
      <c r="C1002" s="11">
        <v>7</v>
      </c>
      <c r="D1002" s="10" t="str">
        <f>VLOOKUP($C1002,SkillEnum!$D$2:$E$10,2,FALSE)</f>
        <v>ST_SPECIAL_ACTIVE</v>
      </c>
      <c r="E1002" s="11" t="str">
        <f>VLOOKUP($A1002,SkillEnum!$A$2:$C$1020,3,FALSE)</f>
        <v>어스 브레이크</v>
      </c>
      <c r="F1002" s="11" t="str">
        <f>"주먹으로 지면을 터트려, 그 충격파로 가까운 적에게 마법공격력의 "&amp;ROUND(1*H1002*100,0)&amp;" % 데미지를 주고 만들어진 바위파편에 맞은 적에게는 물리공격력의 "&amp;ROUND(3.2*H1002*100,0)&amp;" % 데미지를 준다."</f>
        <v>주먹으로 지면을 터트려, 그 충격파로 가까운 적에게 마법공격력의 70 % 데미지를 주고 만들어진 바위파편에 맞은 적에게는 물리공격력의 224 % 데미지를 준다.</v>
      </c>
      <c r="G1002" s="10">
        <v>1</v>
      </c>
      <c r="H1002" s="2">
        <v>0.7</v>
      </c>
      <c r="I1002" s="2">
        <v>3</v>
      </c>
      <c r="J1002" s="10">
        <v>100</v>
      </c>
      <c r="K1002" s="2">
        <v>0</v>
      </c>
      <c r="L1002" s="2">
        <v>0</v>
      </c>
      <c r="M1002" s="2">
        <v>0</v>
      </c>
      <c r="N1002" s="2">
        <v>0</v>
      </c>
      <c r="O1002" s="2">
        <v>0</v>
      </c>
      <c r="P1002" s="2" t="s">
        <v>441</v>
      </c>
      <c r="Q1002" s="2" t="str">
        <f t="shared" si="131"/>
        <v>SI_SA_RF_EARTH_BREAKER</v>
      </c>
      <c r="R1002" s="2" t="b">
        <v>0</v>
      </c>
      <c r="S1002" s="2" t="b">
        <v>1</v>
      </c>
      <c r="T1002" s="2">
        <v>1</v>
      </c>
      <c r="U1002" s="2"/>
    </row>
    <row r="1003" spans="1:21">
      <c r="A1003" s="4">
        <v>2501</v>
      </c>
      <c r="B1003" s="7" t="str">
        <f>VLOOKUP($A1003,SkillEnum!$A$2:$C$1020,2,FALSE)</f>
        <v>SI_SA_RF_EARTH_BREAKER</v>
      </c>
      <c r="C1003" s="7">
        <v>7</v>
      </c>
      <c r="D1003" s="2" t="str">
        <f>VLOOKUP($C1003,SkillEnum!$D$2:$E$10,2,FALSE)</f>
        <v>ST_SPECIAL_ACTIVE</v>
      </c>
      <c r="E1003" s="7" t="str">
        <f>VLOOKUP($A1003,SkillEnum!$A$2:$C$1020,3,FALSE)</f>
        <v>어스 브레이크</v>
      </c>
      <c r="F1003" s="7" t="str">
        <f t="shared" ref="F1003:F1011" si="136">"주먹으로 지면을 터트려, 그 충격파로 가까운 적에게 마법공격력의 "&amp;ROUND(1*H1003*100,0)&amp;" % 데미지를 주고 만들어진 바위파편에 맞은 적에게는 물리공격력의 "&amp;ROUND(3.2*H1003*100,0)&amp;" % 데미지를 준다."</f>
        <v>주먹으로 지면을 터트려, 그 충격파로 가까운 적에게 마법공격력의 84 % 데미지를 주고 만들어진 바위파편에 맞은 적에게는 물리공격력의 269 % 데미지를 준다.</v>
      </c>
      <c r="G1003" s="2">
        <v>2</v>
      </c>
      <c r="H1003" s="2">
        <v>0.84</v>
      </c>
      <c r="I1003" s="2">
        <v>3</v>
      </c>
      <c r="J1003" s="2">
        <v>100</v>
      </c>
      <c r="K1003" s="2">
        <v>0</v>
      </c>
      <c r="L1003" s="2">
        <v>0</v>
      </c>
      <c r="M1003" s="2">
        <v>0</v>
      </c>
      <c r="N1003" s="2">
        <v>0</v>
      </c>
      <c r="O1003" s="2">
        <v>0</v>
      </c>
      <c r="P1003" s="2" t="s">
        <v>441</v>
      </c>
      <c r="Q1003" s="2" t="str">
        <f t="shared" si="131"/>
        <v>SI_SA_RF_EARTH_BREAKER</v>
      </c>
      <c r="R1003" s="2" t="b">
        <v>0</v>
      </c>
      <c r="S1003" s="2" t="b">
        <v>1</v>
      </c>
      <c r="T1003" s="2">
        <v>1</v>
      </c>
    </row>
    <row r="1004" spans="1:21">
      <c r="A1004" s="4">
        <v>2501</v>
      </c>
      <c r="B1004" s="7" t="str">
        <f>VLOOKUP($A1004,SkillEnum!$A$2:$C$1020,2,FALSE)</f>
        <v>SI_SA_RF_EARTH_BREAKER</v>
      </c>
      <c r="C1004" s="7">
        <v>7</v>
      </c>
      <c r="D1004" s="2" t="str">
        <f>VLOOKUP($C1004,SkillEnum!$D$2:$E$10,2,FALSE)</f>
        <v>ST_SPECIAL_ACTIVE</v>
      </c>
      <c r="E1004" s="7" t="str">
        <f>VLOOKUP($A1004,SkillEnum!$A$2:$C$1020,3,FALSE)</f>
        <v>어스 브레이크</v>
      </c>
      <c r="F1004" s="7" t="str">
        <f t="shared" si="136"/>
        <v>주먹으로 지면을 터트려, 그 충격파로 가까운 적에게 마법공격력의 98 % 데미지를 주고 만들어진 바위파편에 맞은 적에게는 물리공격력의 314 % 데미지를 준다.</v>
      </c>
      <c r="G1004" s="2">
        <v>3</v>
      </c>
      <c r="H1004" s="2">
        <v>0.98</v>
      </c>
      <c r="I1004" s="2">
        <v>3</v>
      </c>
      <c r="J1004" s="2">
        <v>100</v>
      </c>
      <c r="K1004" s="2">
        <v>0</v>
      </c>
      <c r="L1004" s="2">
        <v>0</v>
      </c>
      <c r="M1004" s="2">
        <v>0</v>
      </c>
      <c r="N1004" s="2">
        <v>0</v>
      </c>
      <c r="O1004" s="2">
        <v>0</v>
      </c>
      <c r="P1004" s="2" t="s">
        <v>441</v>
      </c>
      <c r="Q1004" s="2" t="str">
        <f t="shared" si="131"/>
        <v>SI_SA_RF_EARTH_BREAKER</v>
      </c>
      <c r="R1004" s="2" t="b">
        <v>0</v>
      </c>
      <c r="S1004" s="2" t="b">
        <v>1</v>
      </c>
      <c r="T1004" s="2">
        <v>1</v>
      </c>
    </row>
    <row r="1005" spans="1:21">
      <c r="A1005" s="4">
        <v>2501</v>
      </c>
      <c r="B1005" s="7" t="str">
        <f>VLOOKUP($A1005,SkillEnum!$A$2:$C$1020,2,FALSE)</f>
        <v>SI_SA_RF_EARTH_BREAKER</v>
      </c>
      <c r="C1005" s="7">
        <v>7</v>
      </c>
      <c r="D1005" s="2" t="str">
        <f>VLOOKUP($C1005,SkillEnum!$D$2:$E$10,2,FALSE)</f>
        <v>ST_SPECIAL_ACTIVE</v>
      </c>
      <c r="E1005" s="7" t="str">
        <f>VLOOKUP($A1005,SkillEnum!$A$2:$C$1020,3,FALSE)</f>
        <v>어스 브레이크</v>
      </c>
      <c r="F1005" s="7" t="str">
        <f t="shared" si="136"/>
        <v>주먹으로 지면을 터트려, 그 충격파로 가까운 적에게 마법공격력의 112 % 데미지를 주고 만들어진 바위파편에 맞은 적에게는 물리공격력의 358 % 데미지를 준다.</v>
      </c>
      <c r="G1005" s="2">
        <v>4</v>
      </c>
      <c r="H1005" s="2">
        <v>1.1200000000000001</v>
      </c>
      <c r="I1005" s="2">
        <v>3</v>
      </c>
      <c r="J1005" s="2">
        <v>100</v>
      </c>
      <c r="K1005" s="2">
        <v>0</v>
      </c>
      <c r="L1005" s="2">
        <v>0</v>
      </c>
      <c r="M1005" s="2">
        <v>0</v>
      </c>
      <c r="N1005" s="2">
        <v>0</v>
      </c>
      <c r="O1005" s="2">
        <v>0</v>
      </c>
      <c r="P1005" s="2" t="s">
        <v>441</v>
      </c>
      <c r="Q1005" s="2" t="str">
        <f t="shared" si="131"/>
        <v>SI_SA_RF_EARTH_BREAKER</v>
      </c>
      <c r="R1005" s="2" t="b">
        <v>0</v>
      </c>
      <c r="S1005" s="2" t="b">
        <v>1</v>
      </c>
      <c r="T1005" s="2">
        <v>1</v>
      </c>
    </row>
    <row r="1006" spans="1:21">
      <c r="A1006" s="4">
        <v>2501</v>
      </c>
      <c r="B1006" s="7" t="str">
        <f>VLOOKUP($A1006,SkillEnum!$A$2:$C$1020,2,FALSE)</f>
        <v>SI_SA_RF_EARTH_BREAKER</v>
      </c>
      <c r="C1006" s="7">
        <v>7</v>
      </c>
      <c r="D1006" s="2" t="str">
        <f>VLOOKUP($C1006,SkillEnum!$D$2:$E$10,2,FALSE)</f>
        <v>ST_SPECIAL_ACTIVE</v>
      </c>
      <c r="E1006" s="7" t="str">
        <f>VLOOKUP($A1006,SkillEnum!$A$2:$C$1020,3,FALSE)</f>
        <v>어스 브레이크</v>
      </c>
      <c r="F1006" s="7" t="str">
        <f t="shared" si="136"/>
        <v>주먹으로 지면을 터트려, 그 충격파로 가까운 적에게 마법공격력의 133 % 데미지를 주고 만들어진 바위파편에 맞은 적에게는 물리공격력의 426 % 데미지를 준다.</v>
      </c>
      <c r="G1006" s="2">
        <v>5</v>
      </c>
      <c r="H1006" s="2">
        <v>1.33</v>
      </c>
      <c r="I1006" s="2">
        <v>3</v>
      </c>
      <c r="J1006" s="2">
        <v>100</v>
      </c>
      <c r="K1006" s="2">
        <v>0</v>
      </c>
      <c r="L1006" s="2">
        <v>0</v>
      </c>
      <c r="M1006" s="2">
        <v>0</v>
      </c>
      <c r="N1006" s="2">
        <v>0</v>
      </c>
      <c r="O1006" s="2">
        <v>0</v>
      </c>
      <c r="P1006" s="2" t="s">
        <v>441</v>
      </c>
      <c r="Q1006" s="2" t="str">
        <f t="shared" si="131"/>
        <v>SI_SA_RF_EARTH_BREAKER</v>
      </c>
      <c r="R1006" s="2" t="b">
        <v>0</v>
      </c>
      <c r="S1006" s="2" t="b">
        <v>1</v>
      </c>
      <c r="T1006" s="2">
        <v>1</v>
      </c>
    </row>
    <row r="1007" spans="1:21">
      <c r="A1007" s="4">
        <v>2501</v>
      </c>
      <c r="B1007" s="7" t="str">
        <f>VLOOKUP($A1007,SkillEnum!$A$2:$C$1020,2,FALSE)</f>
        <v>SI_SA_RF_EARTH_BREAKER</v>
      </c>
      <c r="C1007" s="7">
        <v>7</v>
      </c>
      <c r="D1007" s="2" t="str">
        <f>VLOOKUP($C1007,SkillEnum!$D$2:$E$10,2,FALSE)</f>
        <v>ST_SPECIAL_ACTIVE</v>
      </c>
      <c r="E1007" s="7" t="str">
        <f>VLOOKUP($A1007,SkillEnum!$A$2:$C$1020,3,FALSE)</f>
        <v>어스 브레이크</v>
      </c>
      <c r="F1007" s="7" t="str">
        <f t="shared" si="136"/>
        <v>주먹으로 지면을 터트려, 그 충격파로 가까운 적에게 마법공격력의 154 % 데미지를 주고 만들어진 바위파편에 맞은 적에게는 물리공격력의 493 % 데미지를 준다.</v>
      </c>
      <c r="G1007" s="2">
        <v>6</v>
      </c>
      <c r="H1007" s="2">
        <v>1.54</v>
      </c>
      <c r="I1007" s="2">
        <v>3</v>
      </c>
      <c r="J1007" s="2">
        <v>100</v>
      </c>
      <c r="K1007" s="2">
        <v>0</v>
      </c>
      <c r="L1007" s="2">
        <v>0</v>
      </c>
      <c r="M1007" s="2">
        <v>0</v>
      </c>
      <c r="N1007" s="2">
        <v>0</v>
      </c>
      <c r="O1007" s="2">
        <v>0</v>
      </c>
      <c r="P1007" s="2" t="s">
        <v>441</v>
      </c>
      <c r="Q1007" s="2" t="str">
        <f t="shared" si="131"/>
        <v>SI_SA_RF_EARTH_BREAKER</v>
      </c>
      <c r="R1007" s="2" t="b">
        <v>0</v>
      </c>
      <c r="S1007" s="2" t="b">
        <v>1</v>
      </c>
      <c r="T1007" s="2">
        <v>1</v>
      </c>
    </row>
    <row r="1008" spans="1:21">
      <c r="A1008" s="4">
        <v>2501</v>
      </c>
      <c r="B1008" s="7" t="str">
        <f>VLOOKUP($A1008,SkillEnum!$A$2:$C$1020,2,FALSE)</f>
        <v>SI_SA_RF_EARTH_BREAKER</v>
      </c>
      <c r="C1008" s="7">
        <v>7</v>
      </c>
      <c r="D1008" s="2" t="str">
        <f>VLOOKUP($C1008,SkillEnum!$D$2:$E$10,2,FALSE)</f>
        <v>ST_SPECIAL_ACTIVE</v>
      </c>
      <c r="E1008" s="7" t="str">
        <f>VLOOKUP($A1008,SkillEnum!$A$2:$C$1020,3,FALSE)</f>
        <v>어스 브레이크</v>
      </c>
      <c r="F1008" s="7" t="str">
        <f t="shared" si="136"/>
        <v>주먹으로 지면을 터트려, 그 충격파로 가까운 적에게 마법공격력의 175 % 데미지를 주고 만들어진 바위파편에 맞은 적에게는 물리공격력의 560 % 데미지를 준다.</v>
      </c>
      <c r="G1008" s="2">
        <v>7</v>
      </c>
      <c r="H1008" s="2">
        <v>1.75</v>
      </c>
      <c r="I1008" s="2">
        <v>3</v>
      </c>
      <c r="J1008" s="2">
        <v>100</v>
      </c>
      <c r="K1008" s="2">
        <v>0</v>
      </c>
      <c r="L1008" s="2">
        <v>0</v>
      </c>
      <c r="M1008" s="2">
        <v>0</v>
      </c>
      <c r="N1008" s="2">
        <v>0</v>
      </c>
      <c r="O1008" s="2">
        <v>0</v>
      </c>
      <c r="P1008" s="2" t="s">
        <v>441</v>
      </c>
      <c r="Q1008" s="2" t="str">
        <f t="shared" si="131"/>
        <v>SI_SA_RF_EARTH_BREAKER</v>
      </c>
      <c r="R1008" s="2" t="b">
        <v>0</v>
      </c>
      <c r="S1008" s="2" t="b">
        <v>1</v>
      </c>
      <c r="T1008" s="2">
        <v>1</v>
      </c>
    </row>
    <row r="1009" spans="1:21">
      <c r="A1009" s="4">
        <v>2501</v>
      </c>
      <c r="B1009" s="7" t="str">
        <f>VLOOKUP($A1009,SkillEnum!$A$2:$C$1020,2,FALSE)</f>
        <v>SI_SA_RF_EARTH_BREAKER</v>
      </c>
      <c r="C1009" s="7">
        <v>7</v>
      </c>
      <c r="D1009" s="2" t="str">
        <f>VLOOKUP($C1009,SkillEnum!$D$2:$E$10,2,FALSE)</f>
        <v>ST_SPECIAL_ACTIVE</v>
      </c>
      <c r="E1009" s="7" t="str">
        <f>VLOOKUP($A1009,SkillEnum!$A$2:$C$1020,3,FALSE)</f>
        <v>어스 브레이크</v>
      </c>
      <c r="F1009" s="7" t="str">
        <f t="shared" si="136"/>
        <v>주먹으로 지면을 터트려, 그 충격파로 가까운 적에게 마법공격력의 196 % 데미지를 주고 만들어진 바위파편에 맞은 적에게는 물리공격력의 627 % 데미지를 준다.</v>
      </c>
      <c r="G1009" s="2">
        <v>8</v>
      </c>
      <c r="H1009" s="2">
        <v>1.96</v>
      </c>
      <c r="I1009" s="2">
        <v>3</v>
      </c>
      <c r="J1009" s="2">
        <v>100</v>
      </c>
      <c r="K1009" s="2">
        <v>0</v>
      </c>
      <c r="L1009" s="2">
        <v>0</v>
      </c>
      <c r="M1009" s="2">
        <v>0</v>
      </c>
      <c r="N1009" s="2">
        <v>0</v>
      </c>
      <c r="O1009" s="2">
        <v>0</v>
      </c>
      <c r="P1009" s="2" t="s">
        <v>441</v>
      </c>
      <c r="Q1009" s="2" t="str">
        <f t="shared" si="131"/>
        <v>SI_SA_RF_EARTH_BREAKER</v>
      </c>
      <c r="R1009" s="2" t="b">
        <v>0</v>
      </c>
      <c r="S1009" s="2" t="b">
        <v>1</v>
      </c>
      <c r="T1009" s="2">
        <v>1</v>
      </c>
    </row>
    <row r="1010" spans="1:21">
      <c r="A1010" s="4">
        <v>2501</v>
      </c>
      <c r="B1010" s="7" t="str">
        <f>VLOOKUP($A1010,SkillEnum!$A$2:$C$1020,2,FALSE)</f>
        <v>SI_SA_RF_EARTH_BREAKER</v>
      </c>
      <c r="C1010" s="7">
        <v>7</v>
      </c>
      <c r="D1010" s="2" t="str">
        <f>VLOOKUP($C1010,SkillEnum!$D$2:$E$10,2,FALSE)</f>
        <v>ST_SPECIAL_ACTIVE</v>
      </c>
      <c r="E1010" s="7" t="str">
        <f>VLOOKUP($A1010,SkillEnum!$A$2:$C$1020,3,FALSE)</f>
        <v>어스 브레이크</v>
      </c>
      <c r="F1010" s="7" t="str">
        <f t="shared" si="136"/>
        <v>주먹으로 지면을 터트려, 그 충격파로 가까운 적에게 마법공격력의 224 % 데미지를 주고 만들어진 바위파편에 맞은 적에게는 물리공격력의 717 % 데미지를 준다.</v>
      </c>
      <c r="G1010" s="2">
        <v>9</v>
      </c>
      <c r="H1010" s="2">
        <v>2.2400000000000002</v>
      </c>
      <c r="I1010" s="2">
        <v>3</v>
      </c>
      <c r="J1010" s="2">
        <v>100</v>
      </c>
      <c r="K1010" s="2">
        <v>0</v>
      </c>
      <c r="L1010" s="2">
        <v>0</v>
      </c>
      <c r="M1010" s="2">
        <v>0</v>
      </c>
      <c r="N1010" s="2">
        <v>0</v>
      </c>
      <c r="O1010" s="2">
        <v>0</v>
      </c>
      <c r="P1010" s="2" t="s">
        <v>441</v>
      </c>
      <c r="Q1010" s="2" t="str">
        <f t="shared" si="131"/>
        <v>SI_SA_RF_EARTH_BREAKER</v>
      </c>
      <c r="R1010" s="2" t="b">
        <v>0</v>
      </c>
      <c r="S1010" s="2" t="b">
        <v>1</v>
      </c>
      <c r="T1010" s="2">
        <v>1</v>
      </c>
    </row>
    <row r="1011" spans="1:21" s="5" customFormat="1">
      <c r="A1011" s="6">
        <v>2501</v>
      </c>
      <c r="B1011" s="8" t="str">
        <f>VLOOKUP($A1011,SkillEnum!$A$2:$C$1020,2,FALSE)</f>
        <v>SI_SA_RF_EARTH_BREAKER</v>
      </c>
      <c r="C1011" s="8">
        <v>7</v>
      </c>
      <c r="D1011" s="5" t="str">
        <f>VLOOKUP($C1011,SkillEnum!$D$2:$E$10,2,FALSE)</f>
        <v>ST_SPECIAL_ACTIVE</v>
      </c>
      <c r="E1011" s="8" t="str">
        <f>VLOOKUP($A1011,SkillEnum!$A$2:$C$1020,3,FALSE)</f>
        <v>어스 브레이크</v>
      </c>
      <c r="F1011" s="8" t="str">
        <f t="shared" si="136"/>
        <v>주먹으로 지면을 터트려, 그 충격파로 가까운 적에게 마법공격력의 252 % 데미지를 주고 만들어진 바위파편에 맞은 적에게는 물리공격력의 806 % 데미지를 준다.</v>
      </c>
      <c r="G1011" s="5">
        <v>10</v>
      </c>
      <c r="H1011" s="5">
        <v>2.52</v>
      </c>
      <c r="I1011" s="5">
        <v>3</v>
      </c>
      <c r="J1011" s="5">
        <v>100</v>
      </c>
      <c r="K1011" s="5">
        <v>0</v>
      </c>
      <c r="L1011" s="5">
        <v>0</v>
      </c>
      <c r="M1011" s="5">
        <v>0</v>
      </c>
      <c r="N1011" s="5">
        <v>0</v>
      </c>
      <c r="O1011" s="5">
        <v>0</v>
      </c>
      <c r="P1011" s="2" t="s">
        <v>441</v>
      </c>
      <c r="Q1011" s="2" t="str">
        <f t="shared" si="131"/>
        <v>SI_SA_RF_EARTH_BREAKER</v>
      </c>
      <c r="R1011" s="5" t="b">
        <v>0</v>
      </c>
      <c r="S1011" s="2" t="b">
        <v>1</v>
      </c>
      <c r="T1011" s="2">
        <v>1</v>
      </c>
      <c r="U1011" s="2"/>
    </row>
    <row r="1012" spans="1:21" s="10" customFormat="1">
      <c r="A1012" s="9">
        <v>2502</v>
      </c>
      <c r="B1012" s="11" t="str">
        <f>VLOOKUP($A1012,SkillEnum!$A$2:$C$1020,2,FALSE)</f>
        <v>SI_SA_RF_POWER_ASSAULT</v>
      </c>
      <c r="C1012" s="11">
        <v>7</v>
      </c>
      <c r="D1012" s="10" t="str">
        <f>VLOOKUP($C1012,SkillEnum!$D$2:$E$10,2,FALSE)</f>
        <v>ST_SPECIAL_ACTIVE</v>
      </c>
      <c r="E1012" s="11" t="str">
        <f>VLOOKUP($A1012,SkillEnum!$A$2:$C$1020,3,FALSE)</f>
        <v>파워 어설트</v>
      </c>
      <c r="F1012" s="11" t="str">
        <f>"매우 빠른 속도로 돌진, 물리공격력의 "&amp;ROUND(3*H1012*100,0)&amp;" % 로 연속타격을 하고 그 속도와 힘으로 적을 밀어낸다."</f>
        <v>매우 빠른 속도로 돌진, 물리공격력의 210 % 로 연속타격을 하고 그 속도와 힘으로 적을 밀어낸다.</v>
      </c>
      <c r="G1012" s="10">
        <v>1</v>
      </c>
      <c r="H1012" s="2">
        <v>0.7</v>
      </c>
      <c r="I1012" s="2">
        <v>10</v>
      </c>
      <c r="J1012" s="10">
        <v>200</v>
      </c>
      <c r="K1012" s="2">
        <v>0</v>
      </c>
      <c r="L1012" s="2">
        <v>0</v>
      </c>
      <c r="M1012" s="2">
        <v>0</v>
      </c>
      <c r="N1012" s="2">
        <v>0</v>
      </c>
      <c r="O1012" s="2">
        <v>0</v>
      </c>
      <c r="P1012" s="2" t="s">
        <v>441</v>
      </c>
      <c r="Q1012" s="2" t="str">
        <f t="shared" si="131"/>
        <v>SI_SA_RF_POWER_ASSAULT</v>
      </c>
      <c r="R1012" s="2" t="b">
        <v>0</v>
      </c>
      <c r="S1012" s="2" t="b">
        <v>1</v>
      </c>
      <c r="T1012" s="2">
        <v>1</v>
      </c>
      <c r="U1012" s="2"/>
    </row>
    <row r="1013" spans="1:21">
      <c r="A1013" s="4">
        <v>2502</v>
      </c>
      <c r="B1013" s="7" t="str">
        <f>VLOOKUP($A1013,SkillEnum!$A$2:$C$1020,2,FALSE)</f>
        <v>SI_SA_RF_POWER_ASSAULT</v>
      </c>
      <c r="C1013" s="7">
        <v>7</v>
      </c>
      <c r="D1013" s="2" t="str">
        <f>VLOOKUP($C1013,SkillEnum!$D$2:$E$10,2,FALSE)</f>
        <v>ST_SPECIAL_ACTIVE</v>
      </c>
      <c r="E1013" s="7" t="str">
        <f>VLOOKUP($A1013,SkillEnum!$A$2:$C$1020,3,FALSE)</f>
        <v>파워 어설트</v>
      </c>
      <c r="F1013" s="7" t="str">
        <f t="shared" ref="F1013:F1021" si="137">"매우 빠른 속도로 돌진, 물리공격력의 "&amp;ROUND(3*H1013*100,0)&amp;" % 로 연속타격을 하고 그 속도와 힘으로 적을 밀어낸다."</f>
        <v>매우 빠른 속도로 돌진, 물리공격력의 252 % 로 연속타격을 하고 그 속도와 힘으로 적을 밀어낸다.</v>
      </c>
      <c r="G1013" s="2">
        <v>2</v>
      </c>
      <c r="H1013" s="2">
        <v>0.84</v>
      </c>
      <c r="I1013" s="2">
        <v>10</v>
      </c>
      <c r="J1013" s="2">
        <v>200</v>
      </c>
      <c r="K1013" s="2">
        <v>0</v>
      </c>
      <c r="L1013" s="2">
        <v>0</v>
      </c>
      <c r="M1013" s="2">
        <v>0</v>
      </c>
      <c r="N1013" s="2">
        <v>0</v>
      </c>
      <c r="O1013" s="2">
        <v>0</v>
      </c>
      <c r="P1013" s="2" t="s">
        <v>441</v>
      </c>
      <c r="Q1013" s="2" t="str">
        <f t="shared" si="131"/>
        <v>SI_SA_RF_POWER_ASSAULT</v>
      </c>
      <c r="R1013" s="2" t="b">
        <v>0</v>
      </c>
      <c r="S1013" s="2" t="b">
        <v>1</v>
      </c>
      <c r="T1013" s="2">
        <v>1</v>
      </c>
    </row>
    <row r="1014" spans="1:21">
      <c r="A1014" s="4">
        <v>2502</v>
      </c>
      <c r="B1014" s="7" t="str">
        <f>VLOOKUP($A1014,SkillEnum!$A$2:$C$1020,2,FALSE)</f>
        <v>SI_SA_RF_POWER_ASSAULT</v>
      </c>
      <c r="C1014" s="7">
        <v>7</v>
      </c>
      <c r="D1014" s="2" t="str">
        <f>VLOOKUP($C1014,SkillEnum!$D$2:$E$10,2,FALSE)</f>
        <v>ST_SPECIAL_ACTIVE</v>
      </c>
      <c r="E1014" s="7" t="str">
        <f>VLOOKUP($A1014,SkillEnum!$A$2:$C$1020,3,FALSE)</f>
        <v>파워 어설트</v>
      </c>
      <c r="F1014" s="7" t="str">
        <f t="shared" si="137"/>
        <v>매우 빠른 속도로 돌진, 물리공격력의 294 % 로 연속타격을 하고 그 속도와 힘으로 적을 밀어낸다.</v>
      </c>
      <c r="G1014" s="2">
        <v>3</v>
      </c>
      <c r="H1014" s="2">
        <v>0.98</v>
      </c>
      <c r="I1014" s="2">
        <v>10</v>
      </c>
      <c r="J1014" s="2">
        <v>200</v>
      </c>
      <c r="K1014" s="2">
        <v>0</v>
      </c>
      <c r="L1014" s="2">
        <v>0</v>
      </c>
      <c r="M1014" s="2">
        <v>0</v>
      </c>
      <c r="N1014" s="2">
        <v>0</v>
      </c>
      <c r="O1014" s="2">
        <v>0</v>
      </c>
      <c r="P1014" s="2" t="s">
        <v>441</v>
      </c>
      <c r="Q1014" s="2" t="str">
        <f t="shared" si="131"/>
        <v>SI_SA_RF_POWER_ASSAULT</v>
      </c>
      <c r="R1014" s="2" t="b">
        <v>0</v>
      </c>
      <c r="S1014" s="2" t="b">
        <v>1</v>
      </c>
      <c r="T1014" s="2">
        <v>1</v>
      </c>
    </row>
    <row r="1015" spans="1:21">
      <c r="A1015" s="4">
        <v>2502</v>
      </c>
      <c r="B1015" s="7" t="str">
        <f>VLOOKUP($A1015,SkillEnum!$A$2:$C$1020,2,FALSE)</f>
        <v>SI_SA_RF_POWER_ASSAULT</v>
      </c>
      <c r="C1015" s="7">
        <v>7</v>
      </c>
      <c r="D1015" s="2" t="str">
        <f>VLOOKUP($C1015,SkillEnum!$D$2:$E$10,2,FALSE)</f>
        <v>ST_SPECIAL_ACTIVE</v>
      </c>
      <c r="E1015" s="7" t="str">
        <f>VLOOKUP($A1015,SkillEnum!$A$2:$C$1020,3,FALSE)</f>
        <v>파워 어설트</v>
      </c>
      <c r="F1015" s="7" t="str">
        <f t="shared" si="137"/>
        <v>매우 빠른 속도로 돌진, 물리공격력의 336 % 로 연속타격을 하고 그 속도와 힘으로 적을 밀어낸다.</v>
      </c>
      <c r="G1015" s="2">
        <v>4</v>
      </c>
      <c r="H1015" s="2">
        <v>1.1200000000000001</v>
      </c>
      <c r="I1015" s="2">
        <v>10</v>
      </c>
      <c r="J1015" s="2">
        <v>200</v>
      </c>
      <c r="K1015" s="2">
        <v>0</v>
      </c>
      <c r="L1015" s="2">
        <v>0</v>
      </c>
      <c r="M1015" s="2">
        <v>0</v>
      </c>
      <c r="N1015" s="2">
        <v>0</v>
      </c>
      <c r="O1015" s="2">
        <v>0</v>
      </c>
      <c r="P1015" s="2" t="s">
        <v>441</v>
      </c>
      <c r="Q1015" s="2" t="str">
        <f t="shared" si="131"/>
        <v>SI_SA_RF_POWER_ASSAULT</v>
      </c>
      <c r="R1015" s="2" t="b">
        <v>0</v>
      </c>
      <c r="S1015" s="2" t="b">
        <v>1</v>
      </c>
      <c r="T1015" s="2">
        <v>1</v>
      </c>
    </row>
    <row r="1016" spans="1:21">
      <c r="A1016" s="4">
        <v>2502</v>
      </c>
      <c r="B1016" s="7" t="str">
        <f>VLOOKUP($A1016,SkillEnum!$A$2:$C$1020,2,FALSE)</f>
        <v>SI_SA_RF_POWER_ASSAULT</v>
      </c>
      <c r="C1016" s="7">
        <v>7</v>
      </c>
      <c r="D1016" s="2" t="str">
        <f>VLOOKUP($C1016,SkillEnum!$D$2:$E$10,2,FALSE)</f>
        <v>ST_SPECIAL_ACTIVE</v>
      </c>
      <c r="E1016" s="7" t="str">
        <f>VLOOKUP($A1016,SkillEnum!$A$2:$C$1020,3,FALSE)</f>
        <v>파워 어설트</v>
      </c>
      <c r="F1016" s="7" t="str">
        <f t="shared" si="137"/>
        <v>매우 빠른 속도로 돌진, 물리공격력의 399 % 로 연속타격을 하고 그 속도와 힘으로 적을 밀어낸다.</v>
      </c>
      <c r="G1016" s="2">
        <v>5</v>
      </c>
      <c r="H1016" s="2">
        <v>1.33</v>
      </c>
      <c r="I1016" s="2">
        <v>10</v>
      </c>
      <c r="J1016" s="2">
        <v>200</v>
      </c>
      <c r="K1016" s="2">
        <v>0</v>
      </c>
      <c r="L1016" s="2">
        <v>0</v>
      </c>
      <c r="M1016" s="2">
        <v>0</v>
      </c>
      <c r="N1016" s="2">
        <v>0</v>
      </c>
      <c r="O1016" s="2">
        <v>0</v>
      </c>
      <c r="P1016" s="2" t="s">
        <v>441</v>
      </c>
      <c r="Q1016" s="2" t="str">
        <f t="shared" si="131"/>
        <v>SI_SA_RF_POWER_ASSAULT</v>
      </c>
      <c r="R1016" s="2" t="b">
        <v>0</v>
      </c>
      <c r="S1016" s="2" t="b">
        <v>1</v>
      </c>
      <c r="T1016" s="2">
        <v>1</v>
      </c>
    </row>
    <row r="1017" spans="1:21">
      <c r="A1017" s="4">
        <v>2502</v>
      </c>
      <c r="B1017" s="7" t="str">
        <f>VLOOKUP($A1017,SkillEnum!$A$2:$C$1020,2,FALSE)</f>
        <v>SI_SA_RF_POWER_ASSAULT</v>
      </c>
      <c r="C1017" s="7">
        <v>7</v>
      </c>
      <c r="D1017" s="2" t="str">
        <f>VLOOKUP($C1017,SkillEnum!$D$2:$E$10,2,FALSE)</f>
        <v>ST_SPECIAL_ACTIVE</v>
      </c>
      <c r="E1017" s="7" t="str">
        <f>VLOOKUP($A1017,SkillEnum!$A$2:$C$1020,3,FALSE)</f>
        <v>파워 어설트</v>
      </c>
      <c r="F1017" s="7" t="str">
        <f t="shared" si="137"/>
        <v>매우 빠른 속도로 돌진, 물리공격력의 462 % 로 연속타격을 하고 그 속도와 힘으로 적을 밀어낸다.</v>
      </c>
      <c r="G1017" s="2">
        <v>6</v>
      </c>
      <c r="H1017" s="2">
        <v>1.54</v>
      </c>
      <c r="I1017" s="2">
        <v>10</v>
      </c>
      <c r="J1017" s="2">
        <v>200</v>
      </c>
      <c r="K1017" s="2">
        <v>0</v>
      </c>
      <c r="L1017" s="2">
        <v>0</v>
      </c>
      <c r="M1017" s="2">
        <v>0</v>
      </c>
      <c r="N1017" s="2">
        <v>0</v>
      </c>
      <c r="O1017" s="2">
        <v>0</v>
      </c>
      <c r="P1017" s="2" t="s">
        <v>441</v>
      </c>
      <c r="Q1017" s="2" t="str">
        <f t="shared" si="131"/>
        <v>SI_SA_RF_POWER_ASSAULT</v>
      </c>
      <c r="R1017" s="2" t="b">
        <v>0</v>
      </c>
      <c r="S1017" s="2" t="b">
        <v>1</v>
      </c>
      <c r="T1017" s="2">
        <v>1</v>
      </c>
    </row>
    <row r="1018" spans="1:21">
      <c r="A1018" s="4">
        <v>2502</v>
      </c>
      <c r="B1018" s="7" t="str">
        <f>VLOOKUP($A1018,SkillEnum!$A$2:$C$1020,2,FALSE)</f>
        <v>SI_SA_RF_POWER_ASSAULT</v>
      </c>
      <c r="C1018" s="7">
        <v>7</v>
      </c>
      <c r="D1018" s="2" t="str">
        <f>VLOOKUP($C1018,SkillEnum!$D$2:$E$10,2,FALSE)</f>
        <v>ST_SPECIAL_ACTIVE</v>
      </c>
      <c r="E1018" s="7" t="str">
        <f>VLOOKUP($A1018,SkillEnum!$A$2:$C$1020,3,FALSE)</f>
        <v>파워 어설트</v>
      </c>
      <c r="F1018" s="7" t="str">
        <f t="shared" si="137"/>
        <v>매우 빠른 속도로 돌진, 물리공격력의 525 % 로 연속타격을 하고 그 속도와 힘으로 적을 밀어낸다.</v>
      </c>
      <c r="G1018" s="2">
        <v>7</v>
      </c>
      <c r="H1018" s="2">
        <v>1.75</v>
      </c>
      <c r="I1018" s="2">
        <v>10</v>
      </c>
      <c r="J1018" s="2">
        <v>200</v>
      </c>
      <c r="K1018" s="2">
        <v>0</v>
      </c>
      <c r="L1018" s="2">
        <v>0</v>
      </c>
      <c r="M1018" s="2">
        <v>0</v>
      </c>
      <c r="N1018" s="2">
        <v>0</v>
      </c>
      <c r="O1018" s="2">
        <v>0</v>
      </c>
      <c r="P1018" s="2" t="s">
        <v>441</v>
      </c>
      <c r="Q1018" s="2" t="str">
        <f t="shared" si="131"/>
        <v>SI_SA_RF_POWER_ASSAULT</v>
      </c>
      <c r="R1018" s="2" t="b">
        <v>0</v>
      </c>
      <c r="S1018" s="2" t="b">
        <v>1</v>
      </c>
      <c r="T1018" s="2">
        <v>1</v>
      </c>
    </row>
    <row r="1019" spans="1:21">
      <c r="A1019" s="4">
        <v>2502</v>
      </c>
      <c r="B1019" s="7" t="str">
        <f>VLOOKUP($A1019,SkillEnum!$A$2:$C$1020,2,FALSE)</f>
        <v>SI_SA_RF_POWER_ASSAULT</v>
      </c>
      <c r="C1019" s="7">
        <v>7</v>
      </c>
      <c r="D1019" s="2" t="str">
        <f>VLOOKUP($C1019,SkillEnum!$D$2:$E$10,2,FALSE)</f>
        <v>ST_SPECIAL_ACTIVE</v>
      </c>
      <c r="E1019" s="7" t="str">
        <f>VLOOKUP($A1019,SkillEnum!$A$2:$C$1020,3,FALSE)</f>
        <v>파워 어설트</v>
      </c>
      <c r="F1019" s="7" t="str">
        <f t="shared" si="137"/>
        <v>매우 빠른 속도로 돌진, 물리공격력의 588 % 로 연속타격을 하고 그 속도와 힘으로 적을 밀어낸다.</v>
      </c>
      <c r="G1019" s="2">
        <v>8</v>
      </c>
      <c r="H1019" s="2">
        <v>1.96</v>
      </c>
      <c r="I1019" s="2">
        <v>10</v>
      </c>
      <c r="J1019" s="2">
        <v>200</v>
      </c>
      <c r="K1019" s="2">
        <v>0</v>
      </c>
      <c r="L1019" s="2">
        <v>0</v>
      </c>
      <c r="M1019" s="2">
        <v>0</v>
      </c>
      <c r="N1019" s="2">
        <v>0</v>
      </c>
      <c r="O1019" s="2">
        <v>0</v>
      </c>
      <c r="P1019" s="2" t="s">
        <v>441</v>
      </c>
      <c r="Q1019" s="2" t="str">
        <f t="shared" ref="Q1019:Q1082" si="138">B1019</f>
        <v>SI_SA_RF_POWER_ASSAULT</v>
      </c>
      <c r="R1019" s="2" t="b">
        <v>0</v>
      </c>
      <c r="S1019" s="2" t="b">
        <v>1</v>
      </c>
      <c r="T1019" s="2">
        <v>1</v>
      </c>
    </row>
    <row r="1020" spans="1:21">
      <c r="A1020" s="4">
        <v>2502</v>
      </c>
      <c r="B1020" s="7" t="str">
        <f>VLOOKUP($A1020,SkillEnum!$A$2:$C$1020,2,FALSE)</f>
        <v>SI_SA_RF_POWER_ASSAULT</v>
      </c>
      <c r="C1020" s="7">
        <v>7</v>
      </c>
      <c r="D1020" s="2" t="str">
        <f>VLOOKUP($C1020,SkillEnum!$D$2:$E$10,2,FALSE)</f>
        <v>ST_SPECIAL_ACTIVE</v>
      </c>
      <c r="E1020" s="7" t="str">
        <f>VLOOKUP($A1020,SkillEnum!$A$2:$C$1020,3,FALSE)</f>
        <v>파워 어설트</v>
      </c>
      <c r="F1020" s="7" t="str">
        <f t="shared" si="137"/>
        <v>매우 빠른 속도로 돌진, 물리공격력의 672 % 로 연속타격을 하고 그 속도와 힘으로 적을 밀어낸다.</v>
      </c>
      <c r="G1020" s="2">
        <v>9</v>
      </c>
      <c r="H1020" s="2">
        <v>2.2400000000000002</v>
      </c>
      <c r="I1020" s="2">
        <v>10</v>
      </c>
      <c r="J1020" s="2">
        <v>200</v>
      </c>
      <c r="K1020" s="2">
        <v>0</v>
      </c>
      <c r="L1020" s="2">
        <v>0</v>
      </c>
      <c r="M1020" s="2">
        <v>0</v>
      </c>
      <c r="N1020" s="2">
        <v>0</v>
      </c>
      <c r="O1020" s="2">
        <v>0</v>
      </c>
      <c r="P1020" s="2" t="s">
        <v>441</v>
      </c>
      <c r="Q1020" s="2" t="str">
        <f t="shared" si="138"/>
        <v>SI_SA_RF_POWER_ASSAULT</v>
      </c>
      <c r="R1020" s="2" t="b">
        <v>0</v>
      </c>
      <c r="S1020" s="2" t="b">
        <v>1</v>
      </c>
      <c r="T1020" s="2">
        <v>1</v>
      </c>
    </row>
    <row r="1021" spans="1:21" s="5" customFormat="1">
      <c r="A1021" s="6">
        <v>2502</v>
      </c>
      <c r="B1021" s="8" t="str">
        <f>VLOOKUP($A1021,SkillEnum!$A$2:$C$1020,2,FALSE)</f>
        <v>SI_SA_RF_POWER_ASSAULT</v>
      </c>
      <c r="C1021" s="8">
        <v>7</v>
      </c>
      <c r="D1021" s="5" t="str">
        <f>VLOOKUP($C1021,SkillEnum!$D$2:$E$10,2,FALSE)</f>
        <v>ST_SPECIAL_ACTIVE</v>
      </c>
      <c r="E1021" s="8" t="str">
        <f>VLOOKUP($A1021,SkillEnum!$A$2:$C$1020,3,FALSE)</f>
        <v>파워 어설트</v>
      </c>
      <c r="F1021" s="8" t="str">
        <f t="shared" si="137"/>
        <v>매우 빠른 속도로 돌진, 물리공격력의 756 % 로 연속타격을 하고 그 속도와 힘으로 적을 밀어낸다.</v>
      </c>
      <c r="G1021" s="5">
        <v>10</v>
      </c>
      <c r="H1021" s="5">
        <v>2.52</v>
      </c>
      <c r="I1021" s="5">
        <v>10</v>
      </c>
      <c r="J1021" s="5">
        <v>200</v>
      </c>
      <c r="K1021" s="5">
        <v>0</v>
      </c>
      <c r="L1021" s="5">
        <v>0</v>
      </c>
      <c r="M1021" s="5">
        <v>0</v>
      </c>
      <c r="N1021" s="5">
        <v>0</v>
      </c>
      <c r="O1021" s="5">
        <v>0</v>
      </c>
      <c r="P1021" s="2" t="s">
        <v>441</v>
      </c>
      <c r="Q1021" s="2" t="str">
        <f t="shared" si="138"/>
        <v>SI_SA_RF_POWER_ASSAULT</v>
      </c>
      <c r="R1021" s="5" t="b">
        <v>0</v>
      </c>
      <c r="S1021" s="2" t="b">
        <v>1</v>
      </c>
      <c r="T1021" s="2">
        <v>1</v>
      </c>
      <c r="U1021" s="2"/>
    </row>
    <row r="1022" spans="1:21" s="10" customFormat="1">
      <c r="A1022" s="9">
        <v>2503</v>
      </c>
      <c r="B1022" s="11" t="str">
        <f>VLOOKUP($A1022,SkillEnum!$A$2:$C$1020,2,FALSE)</f>
        <v>SI_SA_RF_CANNON_BLADE</v>
      </c>
      <c r="C1022" s="11">
        <v>7</v>
      </c>
      <c r="D1022" s="10" t="str">
        <f>VLOOKUP($C1022,SkillEnum!$D$2:$E$10,2,FALSE)</f>
        <v>ST_SPECIAL_ACTIVE</v>
      </c>
      <c r="E1022" s="11" t="str">
        <f>VLOOKUP($A1022,SkillEnum!$A$2:$C$1020,3,FALSE)</f>
        <v>캐논 블레이드</v>
      </c>
      <c r="F1022" s="11" t="str">
        <f>"팔에 이식한 나소드의 힘을 해방시켜 마법공격력의 "&amp;ROUND(2.3*H1022*100,0)&amp;" % 로 연속타격하는 거대한 폭염을 전방으로 발사한다."</f>
        <v>팔에 이식한 나소드의 힘을 해방시켜 마법공격력의 161 % 로 연속타격하는 거대한 폭염을 전방으로 발사한다.</v>
      </c>
      <c r="G1022" s="10">
        <v>1</v>
      </c>
      <c r="H1022" s="2">
        <v>0.7</v>
      </c>
      <c r="I1022" s="2">
        <v>10</v>
      </c>
      <c r="J1022" s="10">
        <v>200</v>
      </c>
      <c r="K1022" s="2">
        <v>0</v>
      </c>
      <c r="L1022" s="2">
        <v>0</v>
      </c>
      <c r="M1022" s="2">
        <v>0</v>
      </c>
      <c r="N1022" s="2">
        <v>0</v>
      </c>
      <c r="O1022" s="2">
        <v>0</v>
      </c>
      <c r="P1022" s="2" t="s">
        <v>441</v>
      </c>
      <c r="Q1022" s="2" t="str">
        <f t="shared" si="138"/>
        <v>SI_SA_RF_CANNON_BLADE</v>
      </c>
      <c r="R1022" s="2" t="b">
        <v>0</v>
      </c>
      <c r="S1022" s="2" t="b">
        <v>1</v>
      </c>
      <c r="T1022" s="2">
        <v>1</v>
      </c>
      <c r="U1022" s="2"/>
    </row>
    <row r="1023" spans="1:21">
      <c r="A1023" s="4">
        <v>2503</v>
      </c>
      <c r="B1023" s="7" t="str">
        <f>VLOOKUP($A1023,SkillEnum!$A$2:$C$1020,2,FALSE)</f>
        <v>SI_SA_RF_CANNON_BLADE</v>
      </c>
      <c r="C1023" s="7">
        <v>7</v>
      </c>
      <c r="D1023" s="2" t="str">
        <f>VLOOKUP($C1023,SkillEnum!$D$2:$E$10,2,FALSE)</f>
        <v>ST_SPECIAL_ACTIVE</v>
      </c>
      <c r="E1023" s="7" t="str">
        <f>VLOOKUP($A1023,SkillEnum!$A$2:$C$1020,3,FALSE)</f>
        <v>캐논 블레이드</v>
      </c>
      <c r="F1023" s="7" t="str">
        <f t="shared" ref="F1023:F1031" si="139">"팔에 이식한 나소드의 힘을 해방시켜 마법공격력의 "&amp;ROUND(2.3*H1023*100,0)&amp;" % 로 연속타격하는 거대한 폭염을 전방으로 발사한다."</f>
        <v>팔에 이식한 나소드의 힘을 해방시켜 마법공격력의 193 % 로 연속타격하는 거대한 폭염을 전방으로 발사한다.</v>
      </c>
      <c r="G1023" s="2">
        <v>2</v>
      </c>
      <c r="H1023" s="2">
        <v>0.84</v>
      </c>
      <c r="I1023" s="2">
        <v>10</v>
      </c>
      <c r="J1023" s="2">
        <v>200</v>
      </c>
      <c r="K1023" s="2">
        <v>0</v>
      </c>
      <c r="L1023" s="2">
        <v>0</v>
      </c>
      <c r="M1023" s="2">
        <v>0</v>
      </c>
      <c r="N1023" s="2">
        <v>0</v>
      </c>
      <c r="O1023" s="2">
        <v>0</v>
      </c>
      <c r="P1023" s="2" t="s">
        <v>441</v>
      </c>
      <c r="Q1023" s="2" t="str">
        <f t="shared" si="138"/>
        <v>SI_SA_RF_CANNON_BLADE</v>
      </c>
      <c r="R1023" s="2" t="b">
        <v>0</v>
      </c>
      <c r="S1023" s="2" t="b">
        <v>1</v>
      </c>
      <c r="T1023" s="2">
        <v>1</v>
      </c>
    </row>
    <row r="1024" spans="1:21">
      <c r="A1024" s="4">
        <v>2503</v>
      </c>
      <c r="B1024" s="7" t="str">
        <f>VLOOKUP($A1024,SkillEnum!$A$2:$C$1020,2,FALSE)</f>
        <v>SI_SA_RF_CANNON_BLADE</v>
      </c>
      <c r="C1024" s="7">
        <v>7</v>
      </c>
      <c r="D1024" s="2" t="str">
        <f>VLOOKUP($C1024,SkillEnum!$D$2:$E$10,2,FALSE)</f>
        <v>ST_SPECIAL_ACTIVE</v>
      </c>
      <c r="E1024" s="7" t="str">
        <f>VLOOKUP($A1024,SkillEnum!$A$2:$C$1020,3,FALSE)</f>
        <v>캐논 블레이드</v>
      </c>
      <c r="F1024" s="7" t="str">
        <f t="shared" si="139"/>
        <v>팔에 이식한 나소드의 힘을 해방시켜 마법공격력의 225 % 로 연속타격하는 거대한 폭염을 전방으로 발사한다.</v>
      </c>
      <c r="G1024" s="2">
        <v>3</v>
      </c>
      <c r="H1024" s="2">
        <v>0.98</v>
      </c>
      <c r="I1024" s="2">
        <v>10</v>
      </c>
      <c r="J1024" s="2">
        <v>200</v>
      </c>
      <c r="K1024" s="2">
        <v>0</v>
      </c>
      <c r="L1024" s="2">
        <v>0</v>
      </c>
      <c r="M1024" s="2">
        <v>0</v>
      </c>
      <c r="N1024" s="2">
        <v>0</v>
      </c>
      <c r="O1024" s="2">
        <v>0</v>
      </c>
      <c r="P1024" s="2" t="s">
        <v>441</v>
      </c>
      <c r="Q1024" s="2" t="str">
        <f t="shared" si="138"/>
        <v>SI_SA_RF_CANNON_BLADE</v>
      </c>
      <c r="R1024" s="2" t="b">
        <v>0</v>
      </c>
      <c r="S1024" s="2" t="b">
        <v>1</v>
      </c>
      <c r="T1024" s="2">
        <v>1</v>
      </c>
    </row>
    <row r="1025" spans="1:21">
      <c r="A1025" s="4">
        <v>2503</v>
      </c>
      <c r="B1025" s="7" t="str">
        <f>VLOOKUP($A1025,SkillEnum!$A$2:$C$1020,2,FALSE)</f>
        <v>SI_SA_RF_CANNON_BLADE</v>
      </c>
      <c r="C1025" s="7">
        <v>7</v>
      </c>
      <c r="D1025" s="2" t="str">
        <f>VLOOKUP($C1025,SkillEnum!$D$2:$E$10,2,FALSE)</f>
        <v>ST_SPECIAL_ACTIVE</v>
      </c>
      <c r="E1025" s="7" t="str">
        <f>VLOOKUP($A1025,SkillEnum!$A$2:$C$1020,3,FALSE)</f>
        <v>캐논 블레이드</v>
      </c>
      <c r="F1025" s="7" t="str">
        <f t="shared" si="139"/>
        <v>팔에 이식한 나소드의 힘을 해방시켜 마법공격력의 258 % 로 연속타격하는 거대한 폭염을 전방으로 발사한다.</v>
      </c>
      <c r="G1025" s="2">
        <v>4</v>
      </c>
      <c r="H1025" s="2">
        <v>1.1200000000000001</v>
      </c>
      <c r="I1025" s="2">
        <v>10</v>
      </c>
      <c r="J1025" s="2">
        <v>200</v>
      </c>
      <c r="K1025" s="2">
        <v>0</v>
      </c>
      <c r="L1025" s="2">
        <v>0</v>
      </c>
      <c r="M1025" s="2">
        <v>0</v>
      </c>
      <c r="N1025" s="2">
        <v>0</v>
      </c>
      <c r="O1025" s="2">
        <v>0</v>
      </c>
      <c r="P1025" s="2" t="s">
        <v>441</v>
      </c>
      <c r="Q1025" s="2" t="str">
        <f t="shared" si="138"/>
        <v>SI_SA_RF_CANNON_BLADE</v>
      </c>
      <c r="R1025" s="2" t="b">
        <v>0</v>
      </c>
      <c r="S1025" s="2" t="b">
        <v>1</v>
      </c>
      <c r="T1025" s="2">
        <v>1</v>
      </c>
    </row>
    <row r="1026" spans="1:21">
      <c r="A1026" s="4">
        <v>2503</v>
      </c>
      <c r="B1026" s="7" t="str">
        <f>VLOOKUP($A1026,SkillEnum!$A$2:$C$1020,2,FALSE)</f>
        <v>SI_SA_RF_CANNON_BLADE</v>
      </c>
      <c r="C1026" s="7">
        <v>7</v>
      </c>
      <c r="D1026" s="2" t="str">
        <f>VLOOKUP($C1026,SkillEnum!$D$2:$E$10,2,FALSE)</f>
        <v>ST_SPECIAL_ACTIVE</v>
      </c>
      <c r="E1026" s="7" t="str">
        <f>VLOOKUP($A1026,SkillEnum!$A$2:$C$1020,3,FALSE)</f>
        <v>캐논 블레이드</v>
      </c>
      <c r="F1026" s="7" t="str">
        <f t="shared" si="139"/>
        <v>팔에 이식한 나소드의 힘을 해방시켜 마법공격력의 306 % 로 연속타격하는 거대한 폭염을 전방으로 발사한다.</v>
      </c>
      <c r="G1026" s="2">
        <v>5</v>
      </c>
      <c r="H1026" s="2">
        <v>1.33</v>
      </c>
      <c r="I1026" s="2">
        <v>10</v>
      </c>
      <c r="J1026" s="2">
        <v>200</v>
      </c>
      <c r="K1026" s="2">
        <v>0</v>
      </c>
      <c r="L1026" s="2">
        <v>0</v>
      </c>
      <c r="M1026" s="2">
        <v>0</v>
      </c>
      <c r="N1026" s="2">
        <v>0</v>
      </c>
      <c r="O1026" s="2">
        <v>0</v>
      </c>
      <c r="P1026" s="2" t="s">
        <v>441</v>
      </c>
      <c r="Q1026" s="2" t="str">
        <f t="shared" si="138"/>
        <v>SI_SA_RF_CANNON_BLADE</v>
      </c>
      <c r="R1026" s="2" t="b">
        <v>0</v>
      </c>
      <c r="S1026" s="2" t="b">
        <v>1</v>
      </c>
      <c r="T1026" s="2">
        <v>1</v>
      </c>
    </row>
    <row r="1027" spans="1:21">
      <c r="A1027" s="4">
        <v>2503</v>
      </c>
      <c r="B1027" s="7" t="str">
        <f>VLOOKUP($A1027,SkillEnum!$A$2:$C$1020,2,FALSE)</f>
        <v>SI_SA_RF_CANNON_BLADE</v>
      </c>
      <c r="C1027" s="7">
        <v>7</v>
      </c>
      <c r="D1027" s="2" t="str">
        <f>VLOOKUP($C1027,SkillEnum!$D$2:$E$10,2,FALSE)</f>
        <v>ST_SPECIAL_ACTIVE</v>
      </c>
      <c r="E1027" s="7" t="str">
        <f>VLOOKUP($A1027,SkillEnum!$A$2:$C$1020,3,FALSE)</f>
        <v>캐논 블레이드</v>
      </c>
      <c r="F1027" s="7" t="str">
        <f t="shared" si="139"/>
        <v>팔에 이식한 나소드의 힘을 해방시켜 마법공격력의 354 % 로 연속타격하는 거대한 폭염을 전방으로 발사한다.</v>
      </c>
      <c r="G1027" s="2">
        <v>6</v>
      </c>
      <c r="H1027" s="2">
        <v>1.54</v>
      </c>
      <c r="I1027" s="2">
        <v>10</v>
      </c>
      <c r="J1027" s="2">
        <v>200</v>
      </c>
      <c r="K1027" s="2">
        <v>0</v>
      </c>
      <c r="L1027" s="2">
        <v>0</v>
      </c>
      <c r="M1027" s="2">
        <v>0</v>
      </c>
      <c r="N1027" s="2">
        <v>0</v>
      </c>
      <c r="O1027" s="2">
        <v>0</v>
      </c>
      <c r="P1027" s="2" t="s">
        <v>441</v>
      </c>
      <c r="Q1027" s="2" t="str">
        <f t="shared" si="138"/>
        <v>SI_SA_RF_CANNON_BLADE</v>
      </c>
      <c r="R1027" s="2" t="b">
        <v>0</v>
      </c>
      <c r="S1027" s="2" t="b">
        <v>1</v>
      </c>
      <c r="T1027" s="2">
        <v>1</v>
      </c>
    </row>
    <row r="1028" spans="1:21">
      <c r="A1028" s="4">
        <v>2503</v>
      </c>
      <c r="B1028" s="7" t="str">
        <f>VLOOKUP($A1028,SkillEnum!$A$2:$C$1020,2,FALSE)</f>
        <v>SI_SA_RF_CANNON_BLADE</v>
      </c>
      <c r="C1028" s="7">
        <v>7</v>
      </c>
      <c r="D1028" s="2" t="str">
        <f>VLOOKUP($C1028,SkillEnum!$D$2:$E$10,2,FALSE)</f>
        <v>ST_SPECIAL_ACTIVE</v>
      </c>
      <c r="E1028" s="7" t="str">
        <f>VLOOKUP($A1028,SkillEnum!$A$2:$C$1020,3,FALSE)</f>
        <v>캐논 블레이드</v>
      </c>
      <c r="F1028" s="7" t="str">
        <f t="shared" si="139"/>
        <v>팔에 이식한 나소드의 힘을 해방시켜 마법공격력의 403 % 로 연속타격하는 거대한 폭염을 전방으로 발사한다.</v>
      </c>
      <c r="G1028" s="2">
        <v>7</v>
      </c>
      <c r="H1028" s="2">
        <v>1.75</v>
      </c>
      <c r="I1028" s="2">
        <v>10</v>
      </c>
      <c r="J1028" s="2">
        <v>200</v>
      </c>
      <c r="K1028" s="2">
        <v>0</v>
      </c>
      <c r="L1028" s="2">
        <v>0</v>
      </c>
      <c r="M1028" s="2">
        <v>0</v>
      </c>
      <c r="N1028" s="2">
        <v>0</v>
      </c>
      <c r="O1028" s="2">
        <v>0</v>
      </c>
      <c r="P1028" s="2" t="s">
        <v>441</v>
      </c>
      <c r="Q1028" s="2" t="str">
        <f t="shared" si="138"/>
        <v>SI_SA_RF_CANNON_BLADE</v>
      </c>
      <c r="R1028" s="2" t="b">
        <v>0</v>
      </c>
      <c r="S1028" s="2" t="b">
        <v>1</v>
      </c>
      <c r="T1028" s="2">
        <v>1</v>
      </c>
    </row>
    <row r="1029" spans="1:21">
      <c r="A1029" s="4">
        <v>2503</v>
      </c>
      <c r="B1029" s="7" t="str">
        <f>VLOOKUP($A1029,SkillEnum!$A$2:$C$1020,2,FALSE)</f>
        <v>SI_SA_RF_CANNON_BLADE</v>
      </c>
      <c r="C1029" s="7">
        <v>7</v>
      </c>
      <c r="D1029" s="2" t="str">
        <f>VLOOKUP($C1029,SkillEnum!$D$2:$E$10,2,FALSE)</f>
        <v>ST_SPECIAL_ACTIVE</v>
      </c>
      <c r="E1029" s="7" t="str">
        <f>VLOOKUP($A1029,SkillEnum!$A$2:$C$1020,3,FALSE)</f>
        <v>캐논 블레이드</v>
      </c>
      <c r="F1029" s="7" t="str">
        <f t="shared" si="139"/>
        <v>팔에 이식한 나소드의 힘을 해방시켜 마법공격력의 451 % 로 연속타격하는 거대한 폭염을 전방으로 발사한다.</v>
      </c>
      <c r="G1029" s="2">
        <v>8</v>
      </c>
      <c r="H1029" s="2">
        <v>1.96</v>
      </c>
      <c r="I1029" s="2">
        <v>10</v>
      </c>
      <c r="J1029" s="2">
        <v>200</v>
      </c>
      <c r="K1029" s="2">
        <v>0</v>
      </c>
      <c r="L1029" s="2">
        <v>0</v>
      </c>
      <c r="M1029" s="2">
        <v>0</v>
      </c>
      <c r="N1029" s="2">
        <v>0</v>
      </c>
      <c r="O1029" s="2">
        <v>0</v>
      </c>
      <c r="P1029" s="2" t="s">
        <v>441</v>
      </c>
      <c r="Q1029" s="2" t="str">
        <f t="shared" si="138"/>
        <v>SI_SA_RF_CANNON_BLADE</v>
      </c>
      <c r="R1029" s="2" t="b">
        <v>0</v>
      </c>
      <c r="S1029" s="2" t="b">
        <v>1</v>
      </c>
      <c r="T1029" s="2">
        <v>1</v>
      </c>
    </row>
    <row r="1030" spans="1:21">
      <c r="A1030" s="4">
        <v>2503</v>
      </c>
      <c r="B1030" s="7" t="str">
        <f>VLOOKUP($A1030,SkillEnum!$A$2:$C$1020,2,FALSE)</f>
        <v>SI_SA_RF_CANNON_BLADE</v>
      </c>
      <c r="C1030" s="7">
        <v>7</v>
      </c>
      <c r="D1030" s="2" t="str">
        <f>VLOOKUP($C1030,SkillEnum!$D$2:$E$10,2,FALSE)</f>
        <v>ST_SPECIAL_ACTIVE</v>
      </c>
      <c r="E1030" s="7" t="str">
        <f>VLOOKUP($A1030,SkillEnum!$A$2:$C$1020,3,FALSE)</f>
        <v>캐논 블레이드</v>
      </c>
      <c r="F1030" s="7" t="str">
        <f t="shared" si="139"/>
        <v>팔에 이식한 나소드의 힘을 해방시켜 마법공격력의 515 % 로 연속타격하는 거대한 폭염을 전방으로 발사한다.</v>
      </c>
      <c r="G1030" s="2">
        <v>9</v>
      </c>
      <c r="H1030" s="2">
        <v>2.2400000000000002</v>
      </c>
      <c r="I1030" s="2">
        <v>10</v>
      </c>
      <c r="J1030" s="2">
        <v>200</v>
      </c>
      <c r="K1030" s="2">
        <v>0</v>
      </c>
      <c r="L1030" s="2">
        <v>0</v>
      </c>
      <c r="M1030" s="2">
        <v>0</v>
      </c>
      <c r="N1030" s="2">
        <v>0</v>
      </c>
      <c r="O1030" s="2">
        <v>0</v>
      </c>
      <c r="P1030" s="2" t="s">
        <v>441</v>
      </c>
      <c r="Q1030" s="2" t="str">
        <f t="shared" si="138"/>
        <v>SI_SA_RF_CANNON_BLADE</v>
      </c>
      <c r="R1030" s="2" t="b">
        <v>0</v>
      </c>
      <c r="S1030" s="2" t="b">
        <v>1</v>
      </c>
      <c r="T1030" s="2">
        <v>1</v>
      </c>
    </row>
    <row r="1031" spans="1:21" s="5" customFormat="1">
      <c r="A1031" s="6">
        <v>2503</v>
      </c>
      <c r="B1031" s="8" t="str">
        <f>VLOOKUP($A1031,SkillEnum!$A$2:$C$1020,2,FALSE)</f>
        <v>SI_SA_RF_CANNON_BLADE</v>
      </c>
      <c r="C1031" s="8">
        <v>7</v>
      </c>
      <c r="D1031" s="5" t="str">
        <f>VLOOKUP($C1031,SkillEnum!$D$2:$E$10,2,FALSE)</f>
        <v>ST_SPECIAL_ACTIVE</v>
      </c>
      <c r="E1031" s="8" t="str">
        <f>VLOOKUP($A1031,SkillEnum!$A$2:$C$1020,3,FALSE)</f>
        <v>캐논 블레이드</v>
      </c>
      <c r="F1031" s="8" t="str">
        <f t="shared" si="139"/>
        <v>팔에 이식한 나소드의 힘을 해방시켜 마법공격력의 580 % 로 연속타격하는 거대한 폭염을 전방으로 발사한다.</v>
      </c>
      <c r="G1031" s="5">
        <v>10</v>
      </c>
      <c r="H1031" s="5">
        <v>2.52</v>
      </c>
      <c r="I1031" s="5">
        <v>10</v>
      </c>
      <c r="J1031" s="5">
        <v>200</v>
      </c>
      <c r="K1031" s="5">
        <v>0</v>
      </c>
      <c r="L1031" s="5">
        <v>0</v>
      </c>
      <c r="M1031" s="5">
        <v>0</v>
      </c>
      <c r="N1031" s="5">
        <v>0</v>
      </c>
      <c r="O1031" s="5">
        <v>0</v>
      </c>
      <c r="P1031" s="2" t="s">
        <v>441</v>
      </c>
      <c r="Q1031" s="2" t="str">
        <f t="shared" si="138"/>
        <v>SI_SA_RF_CANNON_BLADE</v>
      </c>
      <c r="R1031" s="5" t="b">
        <v>0</v>
      </c>
      <c r="S1031" s="2" t="b">
        <v>1</v>
      </c>
      <c r="T1031" s="2">
        <v>1</v>
      </c>
      <c r="U1031" s="2"/>
    </row>
    <row r="1032" spans="1:21">
      <c r="A1032" s="4">
        <v>2504</v>
      </c>
      <c r="B1032" s="7" t="str">
        <f>VLOOKUP($A1032,SkillEnum!$A$2:$C$1020,2,FALSE)</f>
        <v>SI_SA_RF_MAGNUM_BLASTER</v>
      </c>
      <c r="C1032" s="7">
        <v>7</v>
      </c>
      <c r="D1032" s="2" t="str">
        <f>VLOOKUP($C1032,SkillEnum!$D$2:$E$10,2,FALSE)</f>
        <v>ST_SPECIAL_ACTIVE</v>
      </c>
      <c r="E1032" s="11" t="str">
        <f>VLOOKUP($A1032,SkillEnum!$A$2:$C$1020,3,FALSE)</f>
        <v>매그넘 블래스터</v>
      </c>
      <c r="F1032" s="7" t="str">
        <f>"검과 나소드 핸드를 이용해 연계공격을 펼쳐 공격마다 물리공격력의 "&amp;ROUND(1.5*H1032*100,0)&amp;" % 데미지를 주고, 나소드 핸드로 부터 화염을 폭발시켜, 마법공격력의 "&amp;ROUND(1.8*H1032*100,0)&amp;" % 로 연속타격 하여 마무리 한다."</f>
        <v>검과 나소드 핸드를 이용해 연계공격을 펼쳐 공격마다 물리공격력의 105 % 데미지를 주고, 나소드 핸드로 부터 화염을 폭발시켜, 마법공격력의 126 % 로 연속타격 하여 마무리 한다.</v>
      </c>
      <c r="G1032" s="10">
        <v>1</v>
      </c>
      <c r="H1032" s="2">
        <v>0.7</v>
      </c>
      <c r="I1032" s="2">
        <v>25</v>
      </c>
      <c r="J1032" s="10">
        <v>270</v>
      </c>
      <c r="K1032" s="2">
        <v>0</v>
      </c>
      <c r="L1032" s="2">
        <v>0</v>
      </c>
      <c r="M1032" s="2">
        <v>0</v>
      </c>
      <c r="N1032" s="2">
        <v>0</v>
      </c>
      <c r="O1032" s="2">
        <v>0</v>
      </c>
      <c r="P1032" s="2" t="s">
        <v>441</v>
      </c>
      <c r="Q1032" s="2" t="str">
        <f t="shared" si="138"/>
        <v>SI_SA_RF_MAGNUM_BLASTER</v>
      </c>
      <c r="R1032" s="2" t="b">
        <v>0</v>
      </c>
      <c r="S1032" s="2" t="b">
        <v>1</v>
      </c>
      <c r="T1032" s="2">
        <v>1</v>
      </c>
    </row>
    <row r="1033" spans="1:21">
      <c r="A1033" s="4">
        <v>2504</v>
      </c>
      <c r="B1033" s="7" t="str">
        <f>VLOOKUP($A1033,SkillEnum!$A$2:$C$1020,2,FALSE)</f>
        <v>SI_SA_RF_MAGNUM_BLASTER</v>
      </c>
      <c r="C1033" s="7">
        <v>7</v>
      </c>
      <c r="D1033" s="2" t="str">
        <f>VLOOKUP($C1033,SkillEnum!$D$2:$E$10,2,FALSE)</f>
        <v>ST_SPECIAL_ACTIVE</v>
      </c>
      <c r="E1033" s="7" t="str">
        <f>VLOOKUP($A1033,SkillEnum!$A$2:$C$1020,3,FALSE)</f>
        <v>매그넘 블래스터</v>
      </c>
      <c r="F1033" s="7" t="str">
        <f t="shared" ref="F1033:F1041" si="140">"검과 나소드 핸드를 이용해 연계공격을 펼쳐 공격마다 물리공격력의 "&amp;ROUND(1.5*H1033*100,0)&amp;" % 데미지를 주고, 나소드 핸드로 부터 화염을 폭발시켜, 마법공격력의 "&amp;ROUND(1.8*H1033*100,0)&amp;" % 로 연속타격 하여 마무리 한다."</f>
        <v>검과 나소드 핸드를 이용해 연계공격을 펼쳐 공격마다 물리공격력의 126 % 데미지를 주고, 나소드 핸드로 부터 화염을 폭발시켜, 마법공격력의 151 % 로 연속타격 하여 마무리 한다.</v>
      </c>
      <c r="G1033" s="2">
        <v>2</v>
      </c>
      <c r="H1033" s="2">
        <v>0.84</v>
      </c>
      <c r="I1033" s="2">
        <v>25</v>
      </c>
      <c r="J1033" s="2">
        <v>270</v>
      </c>
      <c r="K1033" s="2">
        <v>0</v>
      </c>
      <c r="L1033" s="2">
        <v>0</v>
      </c>
      <c r="M1033" s="2">
        <v>0</v>
      </c>
      <c r="N1033" s="2">
        <v>0</v>
      </c>
      <c r="O1033" s="2">
        <v>0</v>
      </c>
      <c r="P1033" s="2" t="s">
        <v>441</v>
      </c>
      <c r="Q1033" s="2" t="str">
        <f t="shared" si="138"/>
        <v>SI_SA_RF_MAGNUM_BLASTER</v>
      </c>
      <c r="R1033" s="2" t="b">
        <v>0</v>
      </c>
      <c r="S1033" s="2" t="b">
        <v>1</v>
      </c>
      <c r="T1033" s="2">
        <v>1</v>
      </c>
    </row>
    <row r="1034" spans="1:21">
      <c r="A1034" s="4">
        <v>2504</v>
      </c>
      <c r="B1034" s="7" t="str">
        <f>VLOOKUP($A1034,SkillEnum!$A$2:$C$1020,2,FALSE)</f>
        <v>SI_SA_RF_MAGNUM_BLASTER</v>
      </c>
      <c r="C1034" s="7">
        <v>7</v>
      </c>
      <c r="D1034" s="2" t="str">
        <f>VLOOKUP($C1034,SkillEnum!$D$2:$E$10,2,FALSE)</f>
        <v>ST_SPECIAL_ACTIVE</v>
      </c>
      <c r="E1034" s="7" t="str">
        <f>VLOOKUP($A1034,SkillEnum!$A$2:$C$1020,3,FALSE)</f>
        <v>매그넘 블래스터</v>
      </c>
      <c r="F1034" s="7" t="str">
        <f t="shared" si="140"/>
        <v>검과 나소드 핸드를 이용해 연계공격을 펼쳐 공격마다 물리공격력의 147 % 데미지를 주고, 나소드 핸드로 부터 화염을 폭발시켜, 마법공격력의 176 % 로 연속타격 하여 마무리 한다.</v>
      </c>
      <c r="G1034" s="2">
        <v>3</v>
      </c>
      <c r="H1034" s="2">
        <v>0.98</v>
      </c>
      <c r="I1034" s="2">
        <v>25</v>
      </c>
      <c r="J1034" s="2">
        <v>270</v>
      </c>
      <c r="K1034" s="2">
        <v>0</v>
      </c>
      <c r="L1034" s="2">
        <v>0</v>
      </c>
      <c r="M1034" s="2">
        <v>0</v>
      </c>
      <c r="N1034" s="2">
        <v>0</v>
      </c>
      <c r="O1034" s="2">
        <v>0</v>
      </c>
      <c r="P1034" s="2" t="s">
        <v>441</v>
      </c>
      <c r="Q1034" s="2" t="str">
        <f t="shared" si="138"/>
        <v>SI_SA_RF_MAGNUM_BLASTER</v>
      </c>
      <c r="R1034" s="2" t="b">
        <v>0</v>
      </c>
      <c r="S1034" s="2" t="b">
        <v>1</v>
      </c>
      <c r="T1034" s="2">
        <v>1</v>
      </c>
    </row>
    <row r="1035" spans="1:21">
      <c r="A1035" s="4">
        <v>2504</v>
      </c>
      <c r="B1035" s="7" t="str">
        <f>VLOOKUP($A1035,SkillEnum!$A$2:$C$1020,2,FALSE)</f>
        <v>SI_SA_RF_MAGNUM_BLASTER</v>
      </c>
      <c r="C1035" s="7">
        <v>7</v>
      </c>
      <c r="D1035" s="2" t="str">
        <f>VLOOKUP($C1035,SkillEnum!$D$2:$E$10,2,FALSE)</f>
        <v>ST_SPECIAL_ACTIVE</v>
      </c>
      <c r="E1035" s="7" t="str">
        <f>VLOOKUP($A1035,SkillEnum!$A$2:$C$1020,3,FALSE)</f>
        <v>매그넘 블래스터</v>
      </c>
      <c r="F1035" s="7" t="str">
        <f t="shared" si="140"/>
        <v>검과 나소드 핸드를 이용해 연계공격을 펼쳐 공격마다 물리공격력의 168 % 데미지를 주고, 나소드 핸드로 부터 화염을 폭발시켜, 마법공격력의 202 % 로 연속타격 하여 마무리 한다.</v>
      </c>
      <c r="G1035" s="2">
        <v>4</v>
      </c>
      <c r="H1035" s="2">
        <v>1.1200000000000001</v>
      </c>
      <c r="I1035" s="2">
        <v>25</v>
      </c>
      <c r="J1035" s="2">
        <v>270</v>
      </c>
      <c r="K1035" s="2">
        <v>0</v>
      </c>
      <c r="L1035" s="2">
        <v>0</v>
      </c>
      <c r="M1035" s="2">
        <v>0</v>
      </c>
      <c r="N1035" s="2">
        <v>0</v>
      </c>
      <c r="O1035" s="2">
        <v>0</v>
      </c>
      <c r="P1035" s="2" t="s">
        <v>441</v>
      </c>
      <c r="Q1035" s="2" t="str">
        <f t="shared" si="138"/>
        <v>SI_SA_RF_MAGNUM_BLASTER</v>
      </c>
      <c r="R1035" s="2" t="b">
        <v>0</v>
      </c>
      <c r="S1035" s="2" t="b">
        <v>1</v>
      </c>
      <c r="T1035" s="2">
        <v>1</v>
      </c>
    </row>
    <row r="1036" spans="1:21">
      <c r="A1036" s="4">
        <v>2504</v>
      </c>
      <c r="B1036" s="7" t="str">
        <f>VLOOKUP($A1036,SkillEnum!$A$2:$C$1020,2,FALSE)</f>
        <v>SI_SA_RF_MAGNUM_BLASTER</v>
      </c>
      <c r="C1036" s="7">
        <v>7</v>
      </c>
      <c r="D1036" s="2" t="str">
        <f>VLOOKUP($C1036,SkillEnum!$D$2:$E$10,2,FALSE)</f>
        <v>ST_SPECIAL_ACTIVE</v>
      </c>
      <c r="E1036" s="7" t="str">
        <f>VLOOKUP($A1036,SkillEnum!$A$2:$C$1020,3,FALSE)</f>
        <v>매그넘 블래스터</v>
      </c>
      <c r="F1036" s="7" t="str">
        <f t="shared" si="140"/>
        <v>검과 나소드 핸드를 이용해 연계공격을 펼쳐 공격마다 물리공격력의 200 % 데미지를 주고, 나소드 핸드로 부터 화염을 폭발시켜, 마법공격력의 239 % 로 연속타격 하여 마무리 한다.</v>
      </c>
      <c r="G1036" s="2">
        <v>5</v>
      </c>
      <c r="H1036" s="2">
        <v>1.33</v>
      </c>
      <c r="I1036" s="2">
        <v>25</v>
      </c>
      <c r="J1036" s="2">
        <v>270</v>
      </c>
      <c r="K1036" s="2">
        <v>0</v>
      </c>
      <c r="L1036" s="2">
        <v>0</v>
      </c>
      <c r="M1036" s="2">
        <v>0</v>
      </c>
      <c r="N1036" s="2">
        <v>0</v>
      </c>
      <c r="O1036" s="2">
        <v>0</v>
      </c>
      <c r="P1036" s="2" t="s">
        <v>441</v>
      </c>
      <c r="Q1036" s="2" t="str">
        <f t="shared" si="138"/>
        <v>SI_SA_RF_MAGNUM_BLASTER</v>
      </c>
      <c r="R1036" s="2" t="b">
        <v>0</v>
      </c>
      <c r="S1036" s="2" t="b">
        <v>1</v>
      </c>
      <c r="T1036" s="2">
        <v>1</v>
      </c>
    </row>
    <row r="1037" spans="1:21">
      <c r="A1037" s="4">
        <v>2504</v>
      </c>
      <c r="B1037" s="7" t="str">
        <f>VLOOKUP($A1037,SkillEnum!$A$2:$C$1020,2,FALSE)</f>
        <v>SI_SA_RF_MAGNUM_BLASTER</v>
      </c>
      <c r="C1037" s="7">
        <v>7</v>
      </c>
      <c r="D1037" s="2" t="str">
        <f>VLOOKUP($C1037,SkillEnum!$D$2:$E$10,2,FALSE)</f>
        <v>ST_SPECIAL_ACTIVE</v>
      </c>
      <c r="E1037" s="7" t="str">
        <f>VLOOKUP($A1037,SkillEnum!$A$2:$C$1020,3,FALSE)</f>
        <v>매그넘 블래스터</v>
      </c>
      <c r="F1037" s="7" t="str">
        <f t="shared" si="140"/>
        <v>검과 나소드 핸드를 이용해 연계공격을 펼쳐 공격마다 물리공격력의 231 % 데미지를 주고, 나소드 핸드로 부터 화염을 폭발시켜, 마법공격력의 277 % 로 연속타격 하여 마무리 한다.</v>
      </c>
      <c r="G1037" s="2">
        <v>6</v>
      </c>
      <c r="H1037" s="2">
        <v>1.54</v>
      </c>
      <c r="I1037" s="2">
        <v>25</v>
      </c>
      <c r="J1037" s="2">
        <v>270</v>
      </c>
      <c r="K1037" s="2">
        <v>0</v>
      </c>
      <c r="L1037" s="2">
        <v>0</v>
      </c>
      <c r="M1037" s="2">
        <v>0</v>
      </c>
      <c r="N1037" s="2">
        <v>0</v>
      </c>
      <c r="O1037" s="2">
        <v>0</v>
      </c>
      <c r="P1037" s="2" t="s">
        <v>441</v>
      </c>
      <c r="Q1037" s="2" t="str">
        <f t="shared" si="138"/>
        <v>SI_SA_RF_MAGNUM_BLASTER</v>
      </c>
      <c r="R1037" s="2" t="b">
        <v>0</v>
      </c>
      <c r="S1037" s="2" t="b">
        <v>1</v>
      </c>
      <c r="T1037" s="2">
        <v>1</v>
      </c>
    </row>
    <row r="1038" spans="1:21">
      <c r="A1038" s="4">
        <v>2504</v>
      </c>
      <c r="B1038" s="7" t="str">
        <f>VLOOKUP($A1038,SkillEnum!$A$2:$C$1020,2,FALSE)</f>
        <v>SI_SA_RF_MAGNUM_BLASTER</v>
      </c>
      <c r="C1038" s="7">
        <v>7</v>
      </c>
      <c r="D1038" s="2" t="str">
        <f>VLOOKUP($C1038,SkillEnum!$D$2:$E$10,2,FALSE)</f>
        <v>ST_SPECIAL_ACTIVE</v>
      </c>
      <c r="E1038" s="7" t="str">
        <f>VLOOKUP($A1038,SkillEnum!$A$2:$C$1020,3,FALSE)</f>
        <v>매그넘 블래스터</v>
      </c>
      <c r="F1038" s="7" t="str">
        <f t="shared" si="140"/>
        <v>검과 나소드 핸드를 이용해 연계공격을 펼쳐 공격마다 물리공격력의 263 % 데미지를 주고, 나소드 핸드로 부터 화염을 폭발시켜, 마법공격력의 315 % 로 연속타격 하여 마무리 한다.</v>
      </c>
      <c r="G1038" s="2">
        <v>7</v>
      </c>
      <c r="H1038" s="2">
        <v>1.75</v>
      </c>
      <c r="I1038" s="2">
        <v>25</v>
      </c>
      <c r="J1038" s="2">
        <v>270</v>
      </c>
      <c r="K1038" s="2">
        <v>0</v>
      </c>
      <c r="L1038" s="2">
        <v>0</v>
      </c>
      <c r="M1038" s="2">
        <v>0</v>
      </c>
      <c r="N1038" s="2">
        <v>0</v>
      </c>
      <c r="O1038" s="2">
        <v>0</v>
      </c>
      <c r="P1038" s="2" t="s">
        <v>441</v>
      </c>
      <c r="Q1038" s="2" t="str">
        <f t="shared" si="138"/>
        <v>SI_SA_RF_MAGNUM_BLASTER</v>
      </c>
      <c r="R1038" s="2" t="b">
        <v>0</v>
      </c>
      <c r="S1038" s="2" t="b">
        <v>1</v>
      </c>
      <c r="T1038" s="2">
        <v>1</v>
      </c>
    </row>
    <row r="1039" spans="1:21">
      <c r="A1039" s="4">
        <v>2504</v>
      </c>
      <c r="B1039" s="7" t="str">
        <f>VLOOKUP($A1039,SkillEnum!$A$2:$C$1020,2,FALSE)</f>
        <v>SI_SA_RF_MAGNUM_BLASTER</v>
      </c>
      <c r="C1039" s="7">
        <v>7</v>
      </c>
      <c r="D1039" s="2" t="str">
        <f>VLOOKUP($C1039,SkillEnum!$D$2:$E$10,2,FALSE)</f>
        <v>ST_SPECIAL_ACTIVE</v>
      </c>
      <c r="E1039" s="7" t="str">
        <f>VLOOKUP($A1039,SkillEnum!$A$2:$C$1020,3,FALSE)</f>
        <v>매그넘 블래스터</v>
      </c>
      <c r="F1039" s="7" t="str">
        <f t="shared" si="140"/>
        <v>검과 나소드 핸드를 이용해 연계공격을 펼쳐 공격마다 물리공격력의 294 % 데미지를 주고, 나소드 핸드로 부터 화염을 폭발시켜, 마법공격력의 353 % 로 연속타격 하여 마무리 한다.</v>
      </c>
      <c r="G1039" s="2">
        <v>8</v>
      </c>
      <c r="H1039" s="2">
        <v>1.96</v>
      </c>
      <c r="I1039" s="2">
        <v>25</v>
      </c>
      <c r="J1039" s="2">
        <v>270</v>
      </c>
      <c r="K1039" s="2">
        <v>0</v>
      </c>
      <c r="L1039" s="2">
        <v>0</v>
      </c>
      <c r="M1039" s="2">
        <v>0</v>
      </c>
      <c r="N1039" s="2">
        <v>0</v>
      </c>
      <c r="O1039" s="2">
        <v>0</v>
      </c>
      <c r="P1039" s="2" t="s">
        <v>441</v>
      </c>
      <c r="Q1039" s="2" t="str">
        <f t="shared" si="138"/>
        <v>SI_SA_RF_MAGNUM_BLASTER</v>
      </c>
      <c r="R1039" s="2" t="b">
        <v>0</v>
      </c>
      <c r="S1039" s="2" t="b">
        <v>1</v>
      </c>
      <c r="T1039" s="2">
        <v>1</v>
      </c>
    </row>
    <row r="1040" spans="1:21">
      <c r="A1040" s="4">
        <v>2504</v>
      </c>
      <c r="B1040" s="7" t="str">
        <f>VLOOKUP($A1040,SkillEnum!$A$2:$C$1020,2,FALSE)</f>
        <v>SI_SA_RF_MAGNUM_BLASTER</v>
      </c>
      <c r="C1040" s="7">
        <v>7</v>
      </c>
      <c r="D1040" s="2" t="str">
        <f>VLOOKUP($C1040,SkillEnum!$D$2:$E$10,2,FALSE)</f>
        <v>ST_SPECIAL_ACTIVE</v>
      </c>
      <c r="E1040" s="7" t="str">
        <f>VLOOKUP($A1040,SkillEnum!$A$2:$C$1020,3,FALSE)</f>
        <v>매그넘 블래스터</v>
      </c>
      <c r="F1040" s="7" t="str">
        <f t="shared" si="140"/>
        <v>검과 나소드 핸드를 이용해 연계공격을 펼쳐 공격마다 물리공격력의 336 % 데미지를 주고, 나소드 핸드로 부터 화염을 폭발시켜, 마법공격력의 403 % 로 연속타격 하여 마무리 한다.</v>
      </c>
      <c r="G1040" s="2">
        <v>9</v>
      </c>
      <c r="H1040" s="2">
        <v>2.2400000000000002</v>
      </c>
      <c r="I1040" s="2">
        <v>25</v>
      </c>
      <c r="J1040" s="2">
        <v>270</v>
      </c>
      <c r="K1040" s="2">
        <v>0</v>
      </c>
      <c r="L1040" s="2">
        <v>0</v>
      </c>
      <c r="M1040" s="2">
        <v>0</v>
      </c>
      <c r="N1040" s="2">
        <v>0</v>
      </c>
      <c r="O1040" s="2">
        <v>0</v>
      </c>
      <c r="P1040" s="2" t="s">
        <v>441</v>
      </c>
      <c r="Q1040" s="2" t="str">
        <f t="shared" si="138"/>
        <v>SI_SA_RF_MAGNUM_BLASTER</v>
      </c>
      <c r="R1040" s="2" t="b">
        <v>0</v>
      </c>
      <c r="S1040" s="2" t="b">
        <v>1</v>
      </c>
      <c r="T1040" s="2">
        <v>1</v>
      </c>
    </row>
    <row r="1041" spans="1:21">
      <c r="A1041" s="4">
        <v>2504</v>
      </c>
      <c r="B1041" s="7" t="str">
        <f>VLOOKUP($A1041,SkillEnum!$A$2:$C$1020,2,FALSE)</f>
        <v>SI_SA_RF_MAGNUM_BLASTER</v>
      </c>
      <c r="C1041" s="7">
        <v>7</v>
      </c>
      <c r="D1041" s="2" t="str">
        <f>VLOOKUP($C1041,SkillEnum!$D$2:$E$10,2,FALSE)</f>
        <v>ST_SPECIAL_ACTIVE</v>
      </c>
      <c r="E1041" s="8" t="str">
        <f>VLOOKUP($A1041,SkillEnum!$A$2:$C$1020,3,FALSE)</f>
        <v>매그넘 블래스터</v>
      </c>
      <c r="F1041" s="7" t="str">
        <f t="shared" si="140"/>
        <v>검과 나소드 핸드를 이용해 연계공격을 펼쳐 공격마다 물리공격력의 378 % 데미지를 주고, 나소드 핸드로 부터 화염을 폭발시켜, 마법공격력의 454 % 로 연속타격 하여 마무리 한다.</v>
      </c>
      <c r="G1041" s="5">
        <v>10</v>
      </c>
      <c r="H1041" s="5">
        <v>2.52</v>
      </c>
      <c r="I1041" s="5">
        <v>25</v>
      </c>
      <c r="J1041" s="5">
        <v>270</v>
      </c>
      <c r="K1041" s="5">
        <v>0</v>
      </c>
      <c r="L1041" s="5">
        <v>0</v>
      </c>
      <c r="M1041" s="5">
        <v>0</v>
      </c>
      <c r="N1041" s="5">
        <v>0</v>
      </c>
      <c r="O1041" s="5">
        <v>0</v>
      </c>
      <c r="P1041" s="2" t="s">
        <v>441</v>
      </c>
      <c r="Q1041" s="2" t="str">
        <f t="shared" si="138"/>
        <v>SI_SA_RF_MAGNUM_BLASTER</v>
      </c>
      <c r="R1041" s="5" t="b">
        <v>0</v>
      </c>
      <c r="S1041" s="2" t="b">
        <v>1</v>
      </c>
      <c r="T1041" s="2">
        <v>1</v>
      </c>
    </row>
    <row r="1042" spans="1:21" s="10" customFormat="1">
      <c r="A1042" s="9">
        <v>2505</v>
      </c>
      <c r="B1042" s="11" t="str">
        <f>VLOOKUP($A1042,SkillEnum!$A$2:$C$1020,2,FALSE)</f>
        <v>SI_SA_RF_SEVEN_BURST</v>
      </c>
      <c r="C1042" s="11">
        <v>7</v>
      </c>
      <c r="D1042" s="10" t="str">
        <f>VLOOKUP($C1042,SkillEnum!$D$2:$E$10,2,FALSE)</f>
        <v>ST_SPECIAL_ACTIVE</v>
      </c>
      <c r="E1042" s="11" t="str">
        <f>VLOOKUP($A1042,SkillEnum!$A$2:$C$1020,3,FALSE)</f>
        <v>세븐 버스트</v>
      </c>
      <c r="F1042" s="11" t="str">
        <f>"팔에 깃든 엘의 힘을 극한까지 끌어올려, 마법공격력의 "&amp;ROUND(2.2*H1042*100,0)&amp;" % 데미지를 주는 화염을 6번 발사하고, 7번째의 화염은 폭발시켜, 마법공격력의 "&amp;ROUND(4.1*H1042*100,0)&amp;" % 로 연속타격 하여 마무리 한다."</f>
        <v>팔에 깃든 엘의 힘을 극한까지 끌어올려, 마법공격력의 154 % 데미지를 주는 화염을 6번 발사하고, 7번째의 화염은 폭발시켜, 마법공격력의 287 % 로 연속타격 하여 마무리 한다.</v>
      </c>
      <c r="G1042" s="10">
        <v>1</v>
      </c>
      <c r="H1042" s="2">
        <v>0.7</v>
      </c>
      <c r="I1042" s="2">
        <v>30</v>
      </c>
      <c r="J1042" s="10">
        <v>300</v>
      </c>
      <c r="K1042" s="2">
        <v>0</v>
      </c>
      <c r="L1042" s="2">
        <v>0</v>
      </c>
      <c r="M1042" s="2">
        <v>0</v>
      </c>
      <c r="N1042" s="2">
        <v>0</v>
      </c>
      <c r="O1042" s="2">
        <v>0</v>
      </c>
      <c r="P1042" s="2" t="s">
        <v>441</v>
      </c>
      <c r="Q1042" s="2" t="str">
        <f t="shared" si="138"/>
        <v>SI_SA_RF_SEVEN_BURST</v>
      </c>
      <c r="R1042" s="2" t="b">
        <v>0</v>
      </c>
      <c r="S1042" s="2" t="b">
        <v>1</v>
      </c>
      <c r="T1042" s="2">
        <v>1</v>
      </c>
      <c r="U1042" s="2"/>
    </row>
    <row r="1043" spans="1:21">
      <c r="A1043" s="4">
        <v>2505</v>
      </c>
      <c r="B1043" s="7" t="str">
        <f>VLOOKUP($A1043,SkillEnum!$A$2:$C$1020,2,FALSE)</f>
        <v>SI_SA_RF_SEVEN_BURST</v>
      </c>
      <c r="C1043" s="7">
        <v>7</v>
      </c>
      <c r="D1043" s="2" t="str">
        <f>VLOOKUP($C1043,SkillEnum!$D$2:$E$10,2,FALSE)</f>
        <v>ST_SPECIAL_ACTIVE</v>
      </c>
      <c r="E1043" s="7" t="str">
        <f>VLOOKUP($A1043,SkillEnum!$A$2:$C$1020,3,FALSE)</f>
        <v>세븐 버스트</v>
      </c>
      <c r="F1043" s="7" t="str">
        <f t="shared" ref="F1043:F1051" si="141">"팔에 깃든 엘의 힘을 극한까지 끌어올려, 마법공격력의 "&amp;ROUND(2.2*H1043*100,0)&amp;" % 데미지를 주는 화염을 6번 발사하고, 7번째의 화염은 폭발시켜, 마법공격력의 "&amp;ROUND(4.1*H1043*100,0)&amp;" % 로 연속타격 하여 마무리 한다."</f>
        <v>팔에 깃든 엘의 힘을 극한까지 끌어올려, 마법공격력의 185 % 데미지를 주는 화염을 6번 발사하고, 7번째의 화염은 폭발시켜, 마법공격력의 344 % 로 연속타격 하여 마무리 한다.</v>
      </c>
      <c r="G1043" s="2">
        <v>2</v>
      </c>
      <c r="H1043" s="2">
        <v>0.84</v>
      </c>
      <c r="I1043" s="2">
        <v>30</v>
      </c>
      <c r="J1043" s="2">
        <v>300</v>
      </c>
      <c r="K1043" s="2">
        <v>0</v>
      </c>
      <c r="L1043" s="2">
        <v>0</v>
      </c>
      <c r="M1043" s="2">
        <v>0</v>
      </c>
      <c r="N1043" s="2">
        <v>0</v>
      </c>
      <c r="O1043" s="2">
        <v>0</v>
      </c>
      <c r="P1043" s="2" t="s">
        <v>441</v>
      </c>
      <c r="Q1043" s="2" t="str">
        <f t="shared" si="138"/>
        <v>SI_SA_RF_SEVEN_BURST</v>
      </c>
      <c r="R1043" s="2" t="b">
        <v>0</v>
      </c>
      <c r="S1043" s="2" t="b">
        <v>1</v>
      </c>
      <c r="T1043" s="2">
        <v>1</v>
      </c>
    </row>
    <row r="1044" spans="1:21">
      <c r="A1044" s="4">
        <v>2505</v>
      </c>
      <c r="B1044" s="7" t="str">
        <f>VLOOKUP($A1044,SkillEnum!$A$2:$C$1020,2,FALSE)</f>
        <v>SI_SA_RF_SEVEN_BURST</v>
      </c>
      <c r="C1044" s="7">
        <v>7</v>
      </c>
      <c r="D1044" s="2" t="str">
        <f>VLOOKUP($C1044,SkillEnum!$D$2:$E$10,2,FALSE)</f>
        <v>ST_SPECIAL_ACTIVE</v>
      </c>
      <c r="E1044" s="7" t="str">
        <f>VLOOKUP($A1044,SkillEnum!$A$2:$C$1020,3,FALSE)</f>
        <v>세븐 버스트</v>
      </c>
      <c r="F1044" s="7" t="str">
        <f t="shared" si="141"/>
        <v>팔에 깃든 엘의 힘을 극한까지 끌어올려, 마법공격력의 216 % 데미지를 주는 화염을 6번 발사하고, 7번째의 화염은 폭발시켜, 마법공격력의 402 % 로 연속타격 하여 마무리 한다.</v>
      </c>
      <c r="G1044" s="2">
        <v>3</v>
      </c>
      <c r="H1044" s="2">
        <v>0.98</v>
      </c>
      <c r="I1044" s="2">
        <v>30</v>
      </c>
      <c r="J1044" s="2">
        <v>300</v>
      </c>
      <c r="K1044" s="2">
        <v>0</v>
      </c>
      <c r="L1044" s="2">
        <v>0</v>
      </c>
      <c r="M1044" s="2">
        <v>0</v>
      </c>
      <c r="N1044" s="2">
        <v>0</v>
      </c>
      <c r="O1044" s="2">
        <v>0</v>
      </c>
      <c r="P1044" s="2" t="s">
        <v>441</v>
      </c>
      <c r="Q1044" s="2" t="str">
        <f t="shared" si="138"/>
        <v>SI_SA_RF_SEVEN_BURST</v>
      </c>
      <c r="R1044" s="2" t="b">
        <v>0</v>
      </c>
      <c r="S1044" s="2" t="b">
        <v>1</v>
      </c>
      <c r="T1044" s="2">
        <v>1</v>
      </c>
    </row>
    <row r="1045" spans="1:21">
      <c r="A1045" s="4">
        <v>2505</v>
      </c>
      <c r="B1045" s="7" t="str">
        <f>VLOOKUP($A1045,SkillEnum!$A$2:$C$1020,2,FALSE)</f>
        <v>SI_SA_RF_SEVEN_BURST</v>
      </c>
      <c r="C1045" s="7">
        <v>7</v>
      </c>
      <c r="D1045" s="2" t="str">
        <f>VLOOKUP($C1045,SkillEnum!$D$2:$E$10,2,FALSE)</f>
        <v>ST_SPECIAL_ACTIVE</v>
      </c>
      <c r="E1045" s="7" t="str">
        <f>VLOOKUP($A1045,SkillEnum!$A$2:$C$1020,3,FALSE)</f>
        <v>세븐 버스트</v>
      </c>
      <c r="F1045" s="7" t="str">
        <f t="shared" si="141"/>
        <v>팔에 깃든 엘의 힘을 극한까지 끌어올려, 마법공격력의 246 % 데미지를 주는 화염을 6번 발사하고, 7번째의 화염은 폭발시켜, 마법공격력의 459 % 로 연속타격 하여 마무리 한다.</v>
      </c>
      <c r="G1045" s="2">
        <v>4</v>
      </c>
      <c r="H1045" s="2">
        <v>1.1200000000000001</v>
      </c>
      <c r="I1045" s="2">
        <v>30</v>
      </c>
      <c r="J1045" s="2">
        <v>300</v>
      </c>
      <c r="K1045" s="2">
        <v>0</v>
      </c>
      <c r="L1045" s="2">
        <v>0</v>
      </c>
      <c r="M1045" s="2">
        <v>0</v>
      </c>
      <c r="N1045" s="2">
        <v>0</v>
      </c>
      <c r="O1045" s="2">
        <v>0</v>
      </c>
      <c r="P1045" s="2" t="s">
        <v>441</v>
      </c>
      <c r="Q1045" s="2" t="str">
        <f t="shared" si="138"/>
        <v>SI_SA_RF_SEVEN_BURST</v>
      </c>
      <c r="R1045" s="2" t="b">
        <v>0</v>
      </c>
      <c r="S1045" s="2" t="b">
        <v>1</v>
      </c>
      <c r="T1045" s="2">
        <v>1</v>
      </c>
    </row>
    <row r="1046" spans="1:21">
      <c r="A1046" s="4">
        <v>2505</v>
      </c>
      <c r="B1046" s="7" t="str">
        <f>VLOOKUP($A1046,SkillEnum!$A$2:$C$1020,2,FALSE)</f>
        <v>SI_SA_RF_SEVEN_BURST</v>
      </c>
      <c r="C1046" s="7">
        <v>7</v>
      </c>
      <c r="D1046" s="2" t="str">
        <f>VLOOKUP($C1046,SkillEnum!$D$2:$E$10,2,FALSE)</f>
        <v>ST_SPECIAL_ACTIVE</v>
      </c>
      <c r="E1046" s="7" t="str">
        <f>VLOOKUP($A1046,SkillEnum!$A$2:$C$1020,3,FALSE)</f>
        <v>세븐 버스트</v>
      </c>
      <c r="F1046" s="7" t="str">
        <f t="shared" si="141"/>
        <v>팔에 깃든 엘의 힘을 극한까지 끌어올려, 마법공격력의 293 % 데미지를 주는 화염을 6번 발사하고, 7번째의 화염은 폭발시켜, 마법공격력의 545 % 로 연속타격 하여 마무리 한다.</v>
      </c>
      <c r="G1046" s="2">
        <v>5</v>
      </c>
      <c r="H1046" s="2">
        <v>1.33</v>
      </c>
      <c r="I1046" s="2">
        <v>30</v>
      </c>
      <c r="J1046" s="2">
        <v>300</v>
      </c>
      <c r="K1046" s="2">
        <v>0</v>
      </c>
      <c r="L1046" s="2">
        <v>0</v>
      </c>
      <c r="M1046" s="2">
        <v>0</v>
      </c>
      <c r="N1046" s="2">
        <v>0</v>
      </c>
      <c r="O1046" s="2">
        <v>0</v>
      </c>
      <c r="P1046" s="2" t="s">
        <v>441</v>
      </c>
      <c r="Q1046" s="2" t="str">
        <f t="shared" si="138"/>
        <v>SI_SA_RF_SEVEN_BURST</v>
      </c>
      <c r="R1046" s="2" t="b">
        <v>0</v>
      </c>
      <c r="S1046" s="2" t="b">
        <v>1</v>
      </c>
      <c r="T1046" s="2">
        <v>1</v>
      </c>
    </row>
    <row r="1047" spans="1:21">
      <c r="A1047" s="4">
        <v>2505</v>
      </c>
      <c r="B1047" s="7" t="str">
        <f>VLOOKUP($A1047,SkillEnum!$A$2:$C$1020,2,FALSE)</f>
        <v>SI_SA_RF_SEVEN_BURST</v>
      </c>
      <c r="C1047" s="7">
        <v>7</v>
      </c>
      <c r="D1047" s="2" t="str">
        <f>VLOOKUP($C1047,SkillEnum!$D$2:$E$10,2,FALSE)</f>
        <v>ST_SPECIAL_ACTIVE</v>
      </c>
      <c r="E1047" s="7" t="str">
        <f>VLOOKUP($A1047,SkillEnum!$A$2:$C$1020,3,FALSE)</f>
        <v>세븐 버스트</v>
      </c>
      <c r="F1047" s="7" t="str">
        <f t="shared" si="141"/>
        <v>팔에 깃든 엘의 힘을 극한까지 끌어올려, 마법공격력의 339 % 데미지를 주는 화염을 6번 발사하고, 7번째의 화염은 폭발시켜, 마법공격력의 631 % 로 연속타격 하여 마무리 한다.</v>
      </c>
      <c r="G1047" s="2">
        <v>6</v>
      </c>
      <c r="H1047" s="2">
        <v>1.54</v>
      </c>
      <c r="I1047" s="2">
        <v>30</v>
      </c>
      <c r="J1047" s="2">
        <v>300</v>
      </c>
      <c r="K1047" s="2">
        <v>0</v>
      </c>
      <c r="L1047" s="2">
        <v>0</v>
      </c>
      <c r="M1047" s="2">
        <v>0</v>
      </c>
      <c r="N1047" s="2">
        <v>0</v>
      </c>
      <c r="O1047" s="2">
        <v>0</v>
      </c>
      <c r="P1047" s="2" t="s">
        <v>441</v>
      </c>
      <c r="Q1047" s="2" t="str">
        <f t="shared" si="138"/>
        <v>SI_SA_RF_SEVEN_BURST</v>
      </c>
      <c r="R1047" s="2" t="b">
        <v>0</v>
      </c>
      <c r="S1047" s="2" t="b">
        <v>1</v>
      </c>
      <c r="T1047" s="2">
        <v>1</v>
      </c>
    </row>
    <row r="1048" spans="1:21">
      <c r="A1048" s="4">
        <v>2505</v>
      </c>
      <c r="B1048" s="7" t="str">
        <f>VLOOKUP($A1048,SkillEnum!$A$2:$C$1020,2,FALSE)</f>
        <v>SI_SA_RF_SEVEN_BURST</v>
      </c>
      <c r="C1048" s="7">
        <v>7</v>
      </c>
      <c r="D1048" s="2" t="str">
        <f>VLOOKUP($C1048,SkillEnum!$D$2:$E$10,2,FALSE)</f>
        <v>ST_SPECIAL_ACTIVE</v>
      </c>
      <c r="E1048" s="7" t="str">
        <f>VLOOKUP($A1048,SkillEnum!$A$2:$C$1020,3,FALSE)</f>
        <v>세븐 버스트</v>
      </c>
      <c r="F1048" s="7" t="str">
        <f t="shared" si="141"/>
        <v>팔에 깃든 엘의 힘을 극한까지 끌어올려, 마법공격력의 385 % 데미지를 주는 화염을 6번 발사하고, 7번째의 화염은 폭발시켜, 마법공격력의 718 % 로 연속타격 하여 마무리 한다.</v>
      </c>
      <c r="G1048" s="2">
        <v>7</v>
      </c>
      <c r="H1048" s="2">
        <v>1.75</v>
      </c>
      <c r="I1048" s="2">
        <v>30</v>
      </c>
      <c r="J1048" s="2">
        <v>300</v>
      </c>
      <c r="K1048" s="2">
        <v>0</v>
      </c>
      <c r="L1048" s="2">
        <v>0</v>
      </c>
      <c r="M1048" s="2">
        <v>0</v>
      </c>
      <c r="N1048" s="2">
        <v>0</v>
      </c>
      <c r="O1048" s="2">
        <v>0</v>
      </c>
      <c r="P1048" s="2" t="s">
        <v>441</v>
      </c>
      <c r="Q1048" s="2" t="str">
        <f t="shared" si="138"/>
        <v>SI_SA_RF_SEVEN_BURST</v>
      </c>
      <c r="R1048" s="2" t="b">
        <v>0</v>
      </c>
      <c r="S1048" s="2" t="b">
        <v>1</v>
      </c>
      <c r="T1048" s="2">
        <v>1</v>
      </c>
    </row>
    <row r="1049" spans="1:21">
      <c r="A1049" s="4">
        <v>2505</v>
      </c>
      <c r="B1049" s="7" t="str">
        <f>VLOOKUP($A1049,SkillEnum!$A$2:$C$1020,2,FALSE)</f>
        <v>SI_SA_RF_SEVEN_BURST</v>
      </c>
      <c r="C1049" s="7">
        <v>7</v>
      </c>
      <c r="D1049" s="2" t="str">
        <f>VLOOKUP($C1049,SkillEnum!$D$2:$E$10,2,FALSE)</f>
        <v>ST_SPECIAL_ACTIVE</v>
      </c>
      <c r="E1049" s="7" t="str">
        <f>VLOOKUP($A1049,SkillEnum!$A$2:$C$1020,3,FALSE)</f>
        <v>세븐 버스트</v>
      </c>
      <c r="F1049" s="7" t="str">
        <f t="shared" si="141"/>
        <v>팔에 깃든 엘의 힘을 극한까지 끌어올려, 마법공격력의 431 % 데미지를 주는 화염을 6번 발사하고, 7번째의 화염은 폭발시켜, 마법공격력의 804 % 로 연속타격 하여 마무리 한다.</v>
      </c>
      <c r="G1049" s="2">
        <v>8</v>
      </c>
      <c r="H1049" s="2">
        <v>1.96</v>
      </c>
      <c r="I1049" s="2">
        <v>30</v>
      </c>
      <c r="J1049" s="2">
        <v>300</v>
      </c>
      <c r="K1049" s="2">
        <v>0</v>
      </c>
      <c r="L1049" s="2">
        <v>0</v>
      </c>
      <c r="M1049" s="2">
        <v>0</v>
      </c>
      <c r="N1049" s="2">
        <v>0</v>
      </c>
      <c r="O1049" s="2">
        <v>0</v>
      </c>
      <c r="P1049" s="2" t="s">
        <v>441</v>
      </c>
      <c r="Q1049" s="2" t="str">
        <f t="shared" si="138"/>
        <v>SI_SA_RF_SEVEN_BURST</v>
      </c>
      <c r="R1049" s="2" t="b">
        <v>0</v>
      </c>
      <c r="S1049" s="2" t="b">
        <v>1</v>
      </c>
      <c r="T1049" s="2">
        <v>1</v>
      </c>
    </row>
    <row r="1050" spans="1:21">
      <c r="A1050" s="4">
        <v>2505</v>
      </c>
      <c r="B1050" s="7" t="str">
        <f>VLOOKUP($A1050,SkillEnum!$A$2:$C$1020,2,FALSE)</f>
        <v>SI_SA_RF_SEVEN_BURST</v>
      </c>
      <c r="C1050" s="7">
        <v>7</v>
      </c>
      <c r="D1050" s="2" t="str">
        <f>VLOOKUP($C1050,SkillEnum!$D$2:$E$10,2,FALSE)</f>
        <v>ST_SPECIAL_ACTIVE</v>
      </c>
      <c r="E1050" s="7" t="str">
        <f>VLOOKUP($A1050,SkillEnum!$A$2:$C$1020,3,FALSE)</f>
        <v>세븐 버스트</v>
      </c>
      <c r="F1050" s="7" t="str">
        <f t="shared" si="141"/>
        <v>팔에 깃든 엘의 힘을 극한까지 끌어올려, 마법공격력의 493 % 데미지를 주는 화염을 6번 발사하고, 7번째의 화염은 폭발시켜, 마법공격력의 918 % 로 연속타격 하여 마무리 한다.</v>
      </c>
      <c r="G1050" s="2">
        <v>9</v>
      </c>
      <c r="H1050" s="2">
        <v>2.2400000000000002</v>
      </c>
      <c r="I1050" s="2">
        <v>30</v>
      </c>
      <c r="J1050" s="2">
        <v>300</v>
      </c>
      <c r="K1050" s="2">
        <v>0</v>
      </c>
      <c r="L1050" s="2">
        <v>0</v>
      </c>
      <c r="M1050" s="2">
        <v>0</v>
      </c>
      <c r="N1050" s="2">
        <v>0</v>
      </c>
      <c r="O1050" s="2">
        <v>0</v>
      </c>
      <c r="P1050" s="2" t="s">
        <v>441</v>
      </c>
      <c r="Q1050" s="2" t="str">
        <f t="shared" si="138"/>
        <v>SI_SA_RF_SEVEN_BURST</v>
      </c>
      <c r="R1050" s="2" t="b">
        <v>0</v>
      </c>
      <c r="S1050" s="2" t="b">
        <v>1</v>
      </c>
      <c r="T1050" s="2">
        <v>1</v>
      </c>
    </row>
    <row r="1051" spans="1:21" s="5" customFormat="1">
      <c r="A1051" s="6">
        <v>2505</v>
      </c>
      <c r="B1051" s="8" t="str">
        <f>VLOOKUP($A1051,SkillEnum!$A$2:$C$1020,2,FALSE)</f>
        <v>SI_SA_RF_SEVEN_BURST</v>
      </c>
      <c r="C1051" s="8">
        <v>7</v>
      </c>
      <c r="D1051" s="5" t="str">
        <f>VLOOKUP($C1051,SkillEnum!$D$2:$E$10,2,FALSE)</f>
        <v>ST_SPECIAL_ACTIVE</v>
      </c>
      <c r="E1051" s="8" t="str">
        <f>VLOOKUP($A1051,SkillEnum!$A$2:$C$1020,3,FALSE)</f>
        <v>세븐 버스트</v>
      </c>
      <c r="F1051" s="8" t="str">
        <f t="shared" si="141"/>
        <v>팔에 깃든 엘의 힘을 극한까지 끌어올려, 마법공격력의 554 % 데미지를 주는 화염을 6번 발사하고, 7번째의 화염은 폭발시켜, 마법공격력의 1033 % 로 연속타격 하여 마무리 한다.</v>
      </c>
      <c r="G1051" s="5">
        <v>10</v>
      </c>
      <c r="H1051" s="5">
        <v>2.52</v>
      </c>
      <c r="I1051" s="5">
        <v>30</v>
      </c>
      <c r="J1051" s="5">
        <v>300</v>
      </c>
      <c r="K1051" s="5">
        <v>0</v>
      </c>
      <c r="L1051" s="5">
        <v>0</v>
      </c>
      <c r="M1051" s="5">
        <v>0</v>
      </c>
      <c r="N1051" s="5">
        <v>0</v>
      </c>
      <c r="O1051" s="5">
        <v>0</v>
      </c>
      <c r="P1051" s="2" t="s">
        <v>441</v>
      </c>
      <c r="Q1051" s="2" t="str">
        <f t="shared" si="138"/>
        <v>SI_SA_RF_SEVEN_BURST</v>
      </c>
      <c r="R1051" s="5" t="b">
        <v>0</v>
      </c>
      <c r="S1051" s="2" t="b">
        <v>1</v>
      </c>
      <c r="T1051" s="2">
        <v>1</v>
      </c>
      <c r="U1051" s="2"/>
    </row>
    <row r="1052" spans="1:21" s="10" customFormat="1">
      <c r="A1052" s="9">
        <v>2506</v>
      </c>
      <c r="B1052" s="11" t="str">
        <f>VLOOKUP($A1052,SkillEnum!$A$2:$C$1020,2,FALSE)</f>
        <v>SI_SA_RST_BERSERKER_BLADE</v>
      </c>
      <c r="C1052" s="11">
        <v>7</v>
      </c>
      <c r="D1052" s="10" t="str">
        <f>VLOOKUP($C1052,SkillEnum!$D$2:$E$10,2,FALSE)</f>
        <v>ST_SPECIAL_ACTIVE</v>
      </c>
      <c r="E1052" s="11" t="str">
        <f>VLOOKUP($A1052,SkillEnum!$A$2:$C$1020,3,FALSE)</f>
        <v>버서커 블레이드</v>
      </c>
      <c r="F1052" s="11" t="str">
        <f>"검으로 적을 베어 물리공격력의 "&amp;ROUND(1.8*H1052*100,0)&amp;" % 데미지를 주고, 생성한 검기로 2번 더 타격해 물리공격력의 "&amp;ROUND(1.8*H1052*100,0)&amp;" % , "&amp;ROUND(2*H1052*100,0)&amp;" % 데미지를 준다."</f>
        <v>검으로 적을 베어 물리공격력의 126 % 데미지를 주고, 생성한 검기로 2번 더 타격해 물리공격력의 126 % , 140 % 데미지를 준다.</v>
      </c>
      <c r="G1052" s="10">
        <v>1</v>
      </c>
      <c r="H1052" s="2">
        <v>0.7</v>
      </c>
      <c r="I1052" s="2">
        <v>3</v>
      </c>
      <c r="J1052" s="10">
        <v>100</v>
      </c>
      <c r="K1052" s="2">
        <v>0</v>
      </c>
      <c r="L1052" s="2">
        <v>0</v>
      </c>
      <c r="M1052" s="2">
        <v>0</v>
      </c>
      <c r="N1052" s="2">
        <v>0</v>
      </c>
      <c r="O1052" s="2">
        <v>0</v>
      </c>
      <c r="P1052" s="2" t="s">
        <v>441</v>
      </c>
      <c r="Q1052" s="2" t="str">
        <f t="shared" si="138"/>
        <v>SI_SA_RST_BERSERKER_BLADE</v>
      </c>
      <c r="R1052" s="2" t="b">
        <v>0</v>
      </c>
      <c r="S1052" s="2" t="b">
        <v>1</v>
      </c>
      <c r="T1052" s="2">
        <v>1</v>
      </c>
      <c r="U1052" s="2"/>
    </row>
    <row r="1053" spans="1:21">
      <c r="A1053" s="4">
        <v>2506</v>
      </c>
      <c r="B1053" s="7" t="str">
        <f>VLOOKUP($A1053,SkillEnum!$A$2:$C$1020,2,FALSE)</f>
        <v>SI_SA_RST_BERSERKER_BLADE</v>
      </c>
      <c r="C1053" s="7">
        <v>7</v>
      </c>
      <c r="D1053" s="2" t="str">
        <f>VLOOKUP($C1053,SkillEnum!$D$2:$E$10,2,FALSE)</f>
        <v>ST_SPECIAL_ACTIVE</v>
      </c>
      <c r="E1053" s="7" t="str">
        <f>VLOOKUP($A1053,SkillEnum!$A$2:$C$1020,3,FALSE)</f>
        <v>버서커 블레이드</v>
      </c>
      <c r="F1053" s="7" t="str">
        <f t="shared" ref="F1053:F1061" si="142">"검으로 적을 베어 물리공격력의 "&amp;ROUND(1.8*H1053*100,0)&amp;" % 데미지를 주고, 생성한 검기로 2번 더 타격해 물리공격력의 "&amp;ROUND(1.8*H1053*100,0)&amp;" % , "&amp;ROUND(2*H1053*100,0)&amp;" % 데미지를 준다."</f>
        <v>검으로 적을 베어 물리공격력의 151 % 데미지를 주고, 생성한 검기로 2번 더 타격해 물리공격력의 151 % , 168 % 데미지를 준다.</v>
      </c>
      <c r="G1053" s="2">
        <v>2</v>
      </c>
      <c r="H1053" s="2">
        <v>0.84</v>
      </c>
      <c r="I1053" s="2">
        <v>3</v>
      </c>
      <c r="J1053" s="2">
        <v>100</v>
      </c>
      <c r="K1053" s="2">
        <v>0</v>
      </c>
      <c r="L1053" s="2">
        <v>0</v>
      </c>
      <c r="M1053" s="2">
        <v>0</v>
      </c>
      <c r="N1053" s="2">
        <v>0</v>
      </c>
      <c r="O1053" s="2">
        <v>0</v>
      </c>
      <c r="P1053" s="2" t="s">
        <v>441</v>
      </c>
      <c r="Q1053" s="2" t="str">
        <f t="shared" si="138"/>
        <v>SI_SA_RST_BERSERKER_BLADE</v>
      </c>
      <c r="R1053" s="2" t="b">
        <v>0</v>
      </c>
      <c r="S1053" s="2" t="b">
        <v>1</v>
      </c>
      <c r="T1053" s="2">
        <v>1</v>
      </c>
    </row>
    <row r="1054" spans="1:21">
      <c r="A1054" s="4">
        <v>2506</v>
      </c>
      <c r="B1054" s="7" t="str">
        <f>VLOOKUP($A1054,SkillEnum!$A$2:$C$1020,2,FALSE)</f>
        <v>SI_SA_RST_BERSERKER_BLADE</v>
      </c>
      <c r="C1054" s="7">
        <v>7</v>
      </c>
      <c r="D1054" s="2" t="str">
        <f>VLOOKUP($C1054,SkillEnum!$D$2:$E$10,2,FALSE)</f>
        <v>ST_SPECIAL_ACTIVE</v>
      </c>
      <c r="E1054" s="7" t="str">
        <f>VLOOKUP($A1054,SkillEnum!$A$2:$C$1020,3,FALSE)</f>
        <v>버서커 블레이드</v>
      </c>
      <c r="F1054" s="7" t="str">
        <f t="shared" si="142"/>
        <v>검으로 적을 베어 물리공격력의 176 % 데미지를 주고, 생성한 검기로 2번 더 타격해 물리공격력의 176 % , 196 % 데미지를 준다.</v>
      </c>
      <c r="G1054" s="2">
        <v>3</v>
      </c>
      <c r="H1054" s="2">
        <v>0.98</v>
      </c>
      <c r="I1054" s="2">
        <v>3</v>
      </c>
      <c r="J1054" s="2">
        <v>100</v>
      </c>
      <c r="K1054" s="2">
        <v>0</v>
      </c>
      <c r="L1054" s="2">
        <v>0</v>
      </c>
      <c r="M1054" s="2">
        <v>0</v>
      </c>
      <c r="N1054" s="2">
        <v>0</v>
      </c>
      <c r="O1054" s="2">
        <v>0</v>
      </c>
      <c r="P1054" s="2" t="s">
        <v>441</v>
      </c>
      <c r="Q1054" s="2" t="str">
        <f t="shared" si="138"/>
        <v>SI_SA_RST_BERSERKER_BLADE</v>
      </c>
      <c r="R1054" s="2" t="b">
        <v>0</v>
      </c>
      <c r="S1054" s="2" t="b">
        <v>1</v>
      </c>
      <c r="T1054" s="2">
        <v>1</v>
      </c>
    </row>
    <row r="1055" spans="1:21">
      <c r="A1055" s="4">
        <v>2506</v>
      </c>
      <c r="B1055" s="7" t="str">
        <f>VLOOKUP($A1055,SkillEnum!$A$2:$C$1020,2,FALSE)</f>
        <v>SI_SA_RST_BERSERKER_BLADE</v>
      </c>
      <c r="C1055" s="7">
        <v>7</v>
      </c>
      <c r="D1055" s="2" t="str">
        <f>VLOOKUP($C1055,SkillEnum!$D$2:$E$10,2,FALSE)</f>
        <v>ST_SPECIAL_ACTIVE</v>
      </c>
      <c r="E1055" s="7" t="str">
        <f>VLOOKUP($A1055,SkillEnum!$A$2:$C$1020,3,FALSE)</f>
        <v>버서커 블레이드</v>
      </c>
      <c r="F1055" s="7" t="str">
        <f t="shared" si="142"/>
        <v>검으로 적을 베어 물리공격력의 202 % 데미지를 주고, 생성한 검기로 2번 더 타격해 물리공격력의 202 % , 224 % 데미지를 준다.</v>
      </c>
      <c r="G1055" s="2">
        <v>4</v>
      </c>
      <c r="H1055" s="2">
        <v>1.1200000000000001</v>
      </c>
      <c r="I1055" s="2">
        <v>3</v>
      </c>
      <c r="J1055" s="2">
        <v>100</v>
      </c>
      <c r="K1055" s="2">
        <v>0</v>
      </c>
      <c r="L1055" s="2">
        <v>0</v>
      </c>
      <c r="M1055" s="2">
        <v>0</v>
      </c>
      <c r="N1055" s="2">
        <v>0</v>
      </c>
      <c r="O1055" s="2">
        <v>0</v>
      </c>
      <c r="P1055" s="2" t="s">
        <v>441</v>
      </c>
      <c r="Q1055" s="2" t="str">
        <f t="shared" si="138"/>
        <v>SI_SA_RST_BERSERKER_BLADE</v>
      </c>
      <c r="R1055" s="2" t="b">
        <v>0</v>
      </c>
      <c r="S1055" s="2" t="b">
        <v>1</v>
      </c>
      <c r="T1055" s="2">
        <v>1</v>
      </c>
    </row>
    <row r="1056" spans="1:21">
      <c r="A1056" s="4">
        <v>2506</v>
      </c>
      <c r="B1056" s="7" t="str">
        <f>VLOOKUP($A1056,SkillEnum!$A$2:$C$1020,2,FALSE)</f>
        <v>SI_SA_RST_BERSERKER_BLADE</v>
      </c>
      <c r="C1056" s="7">
        <v>7</v>
      </c>
      <c r="D1056" s="2" t="str">
        <f>VLOOKUP($C1056,SkillEnum!$D$2:$E$10,2,FALSE)</f>
        <v>ST_SPECIAL_ACTIVE</v>
      </c>
      <c r="E1056" s="7" t="str">
        <f>VLOOKUP($A1056,SkillEnum!$A$2:$C$1020,3,FALSE)</f>
        <v>버서커 블레이드</v>
      </c>
      <c r="F1056" s="7" t="str">
        <f t="shared" si="142"/>
        <v>검으로 적을 베어 물리공격력의 239 % 데미지를 주고, 생성한 검기로 2번 더 타격해 물리공격력의 239 % , 266 % 데미지를 준다.</v>
      </c>
      <c r="G1056" s="2">
        <v>5</v>
      </c>
      <c r="H1056" s="2">
        <v>1.33</v>
      </c>
      <c r="I1056" s="2">
        <v>3</v>
      </c>
      <c r="J1056" s="2">
        <v>100</v>
      </c>
      <c r="K1056" s="2">
        <v>0</v>
      </c>
      <c r="L1056" s="2">
        <v>0</v>
      </c>
      <c r="M1056" s="2">
        <v>0</v>
      </c>
      <c r="N1056" s="2">
        <v>0</v>
      </c>
      <c r="O1056" s="2">
        <v>0</v>
      </c>
      <c r="P1056" s="2" t="s">
        <v>441</v>
      </c>
      <c r="Q1056" s="2" t="str">
        <f t="shared" si="138"/>
        <v>SI_SA_RST_BERSERKER_BLADE</v>
      </c>
      <c r="R1056" s="2" t="b">
        <v>0</v>
      </c>
      <c r="S1056" s="2" t="b">
        <v>1</v>
      </c>
      <c r="T1056" s="2">
        <v>1</v>
      </c>
    </row>
    <row r="1057" spans="1:21">
      <c r="A1057" s="4">
        <v>2506</v>
      </c>
      <c r="B1057" s="7" t="str">
        <f>VLOOKUP($A1057,SkillEnum!$A$2:$C$1020,2,FALSE)</f>
        <v>SI_SA_RST_BERSERKER_BLADE</v>
      </c>
      <c r="C1057" s="7">
        <v>7</v>
      </c>
      <c r="D1057" s="2" t="str">
        <f>VLOOKUP($C1057,SkillEnum!$D$2:$E$10,2,FALSE)</f>
        <v>ST_SPECIAL_ACTIVE</v>
      </c>
      <c r="E1057" s="7" t="str">
        <f>VLOOKUP($A1057,SkillEnum!$A$2:$C$1020,3,FALSE)</f>
        <v>버서커 블레이드</v>
      </c>
      <c r="F1057" s="7" t="str">
        <f t="shared" si="142"/>
        <v>검으로 적을 베어 물리공격력의 277 % 데미지를 주고, 생성한 검기로 2번 더 타격해 물리공격력의 277 % , 308 % 데미지를 준다.</v>
      </c>
      <c r="G1057" s="2">
        <v>6</v>
      </c>
      <c r="H1057" s="2">
        <v>1.54</v>
      </c>
      <c r="I1057" s="2">
        <v>3</v>
      </c>
      <c r="J1057" s="2">
        <v>100</v>
      </c>
      <c r="K1057" s="2">
        <v>0</v>
      </c>
      <c r="L1057" s="2">
        <v>0</v>
      </c>
      <c r="M1057" s="2">
        <v>0</v>
      </c>
      <c r="N1057" s="2">
        <v>0</v>
      </c>
      <c r="O1057" s="2">
        <v>0</v>
      </c>
      <c r="P1057" s="2" t="s">
        <v>441</v>
      </c>
      <c r="Q1057" s="2" t="str">
        <f t="shared" si="138"/>
        <v>SI_SA_RST_BERSERKER_BLADE</v>
      </c>
      <c r="R1057" s="2" t="b">
        <v>0</v>
      </c>
      <c r="S1057" s="2" t="b">
        <v>1</v>
      </c>
      <c r="T1057" s="2">
        <v>1</v>
      </c>
    </row>
    <row r="1058" spans="1:21">
      <c r="A1058" s="4">
        <v>2506</v>
      </c>
      <c r="B1058" s="7" t="str">
        <f>VLOOKUP($A1058,SkillEnum!$A$2:$C$1020,2,FALSE)</f>
        <v>SI_SA_RST_BERSERKER_BLADE</v>
      </c>
      <c r="C1058" s="7">
        <v>7</v>
      </c>
      <c r="D1058" s="2" t="str">
        <f>VLOOKUP($C1058,SkillEnum!$D$2:$E$10,2,FALSE)</f>
        <v>ST_SPECIAL_ACTIVE</v>
      </c>
      <c r="E1058" s="7" t="str">
        <f>VLOOKUP($A1058,SkillEnum!$A$2:$C$1020,3,FALSE)</f>
        <v>버서커 블레이드</v>
      </c>
      <c r="F1058" s="7" t="str">
        <f t="shared" si="142"/>
        <v>검으로 적을 베어 물리공격력의 315 % 데미지를 주고, 생성한 검기로 2번 더 타격해 물리공격력의 315 % , 350 % 데미지를 준다.</v>
      </c>
      <c r="G1058" s="2">
        <v>7</v>
      </c>
      <c r="H1058" s="2">
        <v>1.75</v>
      </c>
      <c r="I1058" s="2">
        <v>3</v>
      </c>
      <c r="J1058" s="2">
        <v>100</v>
      </c>
      <c r="K1058" s="2">
        <v>0</v>
      </c>
      <c r="L1058" s="2">
        <v>0</v>
      </c>
      <c r="M1058" s="2">
        <v>0</v>
      </c>
      <c r="N1058" s="2">
        <v>0</v>
      </c>
      <c r="O1058" s="2">
        <v>0</v>
      </c>
      <c r="P1058" s="2" t="s">
        <v>441</v>
      </c>
      <c r="Q1058" s="2" t="str">
        <f t="shared" si="138"/>
        <v>SI_SA_RST_BERSERKER_BLADE</v>
      </c>
      <c r="R1058" s="2" t="b">
        <v>0</v>
      </c>
      <c r="S1058" s="2" t="b">
        <v>1</v>
      </c>
      <c r="T1058" s="2">
        <v>1</v>
      </c>
    </row>
    <row r="1059" spans="1:21">
      <c r="A1059" s="4">
        <v>2506</v>
      </c>
      <c r="B1059" s="7" t="str">
        <f>VLOOKUP($A1059,SkillEnum!$A$2:$C$1020,2,FALSE)</f>
        <v>SI_SA_RST_BERSERKER_BLADE</v>
      </c>
      <c r="C1059" s="7">
        <v>7</v>
      </c>
      <c r="D1059" s="2" t="str">
        <f>VLOOKUP($C1059,SkillEnum!$D$2:$E$10,2,FALSE)</f>
        <v>ST_SPECIAL_ACTIVE</v>
      </c>
      <c r="E1059" s="7" t="str">
        <f>VLOOKUP($A1059,SkillEnum!$A$2:$C$1020,3,FALSE)</f>
        <v>버서커 블레이드</v>
      </c>
      <c r="F1059" s="7" t="str">
        <f t="shared" si="142"/>
        <v>검으로 적을 베어 물리공격력의 353 % 데미지를 주고, 생성한 검기로 2번 더 타격해 물리공격력의 353 % , 392 % 데미지를 준다.</v>
      </c>
      <c r="G1059" s="2">
        <v>8</v>
      </c>
      <c r="H1059" s="2">
        <v>1.96</v>
      </c>
      <c r="I1059" s="2">
        <v>3</v>
      </c>
      <c r="J1059" s="2">
        <v>100</v>
      </c>
      <c r="K1059" s="2">
        <v>0</v>
      </c>
      <c r="L1059" s="2">
        <v>0</v>
      </c>
      <c r="M1059" s="2">
        <v>0</v>
      </c>
      <c r="N1059" s="2">
        <v>0</v>
      </c>
      <c r="O1059" s="2">
        <v>0</v>
      </c>
      <c r="P1059" s="2" t="s">
        <v>441</v>
      </c>
      <c r="Q1059" s="2" t="str">
        <f t="shared" si="138"/>
        <v>SI_SA_RST_BERSERKER_BLADE</v>
      </c>
      <c r="R1059" s="2" t="b">
        <v>0</v>
      </c>
      <c r="S1059" s="2" t="b">
        <v>1</v>
      </c>
      <c r="T1059" s="2">
        <v>1</v>
      </c>
    </row>
    <row r="1060" spans="1:21">
      <c r="A1060" s="4">
        <v>2506</v>
      </c>
      <c r="B1060" s="7" t="str">
        <f>VLOOKUP($A1060,SkillEnum!$A$2:$C$1020,2,FALSE)</f>
        <v>SI_SA_RST_BERSERKER_BLADE</v>
      </c>
      <c r="C1060" s="7">
        <v>7</v>
      </c>
      <c r="D1060" s="2" t="str">
        <f>VLOOKUP($C1060,SkillEnum!$D$2:$E$10,2,FALSE)</f>
        <v>ST_SPECIAL_ACTIVE</v>
      </c>
      <c r="E1060" s="7" t="str">
        <f>VLOOKUP($A1060,SkillEnum!$A$2:$C$1020,3,FALSE)</f>
        <v>버서커 블레이드</v>
      </c>
      <c r="F1060" s="7" t="str">
        <f t="shared" si="142"/>
        <v>검으로 적을 베어 물리공격력의 403 % 데미지를 주고, 생성한 검기로 2번 더 타격해 물리공격력의 403 % , 448 % 데미지를 준다.</v>
      </c>
      <c r="G1060" s="2">
        <v>9</v>
      </c>
      <c r="H1060" s="2">
        <v>2.2400000000000002</v>
      </c>
      <c r="I1060" s="2">
        <v>3</v>
      </c>
      <c r="J1060" s="2">
        <v>100</v>
      </c>
      <c r="K1060" s="2">
        <v>0</v>
      </c>
      <c r="L1060" s="2">
        <v>0</v>
      </c>
      <c r="M1060" s="2">
        <v>0</v>
      </c>
      <c r="N1060" s="2">
        <v>0</v>
      </c>
      <c r="O1060" s="2">
        <v>0</v>
      </c>
      <c r="P1060" s="2" t="s">
        <v>441</v>
      </c>
      <c r="Q1060" s="2" t="str">
        <f t="shared" si="138"/>
        <v>SI_SA_RST_BERSERKER_BLADE</v>
      </c>
      <c r="R1060" s="2" t="b">
        <v>0</v>
      </c>
      <c r="S1060" s="2" t="b">
        <v>1</v>
      </c>
      <c r="T1060" s="2">
        <v>1</v>
      </c>
    </row>
    <row r="1061" spans="1:21" s="5" customFormat="1">
      <c r="A1061" s="6">
        <v>2506</v>
      </c>
      <c r="B1061" s="8" t="str">
        <f>VLOOKUP($A1061,SkillEnum!$A$2:$C$1020,2,FALSE)</f>
        <v>SI_SA_RST_BERSERKER_BLADE</v>
      </c>
      <c r="C1061" s="8">
        <v>7</v>
      </c>
      <c r="D1061" s="5" t="str">
        <f>VLOOKUP($C1061,SkillEnum!$D$2:$E$10,2,FALSE)</f>
        <v>ST_SPECIAL_ACTIVE</v>
      </c>
      <c r="E1061" s="8" t="str">
        <f>VLOOKUP($A1061,SkillEnum!$A$2:$C$1020,3,FALSE)</f>
        <v>버서커 블레이드</v>
      </c>
      <c r="F1061" s="8" t="str">
        <f t="shared" si="142"/>
        <v>검으로 적을 베어 물리공격력의 454 % 데미지를 주고, 생성한 검기로 2번 더 타격해 물리공격력의 454 % , 504 % 데미지를 준다.</v>
      </c>
      <c r="G1061" s="5">
        <v>10</v>
      </c>
      <c r="H1061" s="5">
        <v>2.52</v>
      </c>
      <c r="I1061" s="5">
        <v>3</v>
      </c>
      <c r="J1061" s="5">
        <v>100</v>
      </c>
      <c r="K1061" s="5">
        <v>0</v>
      </c>
      <c r="L1061" s="5">
        <v>0</v>
      </c>
      <c r="M1061" s="5">
        <v>0</v>
      </c>
      <c r="N1061" s="5">
        <v>0</v>
      </c>
      <c r="O1061" s="5">
        <v>0</v>
      </c>
      <c r="P1061" s="2" t="s">
        <v>441</v>
      </c>
      <c r="Q1061" s="2" t="str">
        <f t="shared" si="138"/>
        <v>SI_SA_RST_BERSERKER_BLADE</v>
      </c>
      <c r="R1061" s="5" t="b">
        <v>0</v>
      </c>
      <c r="S1061" s="2" t="b">
        <v>1</v>
      </c>
      <c r="T1061" s="2">
        <v>1</v>
      </c>
      <c r="U1061" s="2"/>
    </row>
    <row r="1062" spans="1:21" s="10" customFormat="1">
      <c r="A1062" s="9">
        <v>2507</v>
      </c>
      <c r="B1062" s="11" t="str">
        <f>VLOOKUP($A1062,SkillEnum!$A$2:$C$1020,2,FALSE)</f>
        <v>SI_SA_RST_FLYING_IMPACT</v>
      </c>
      <c r="C1062" s="11">
        <v>7</v>
      </c>
      <c r="D1062" s="10" t="str">
        <f>VLOOKUP($C1062,SkillEnum!$D$2:$E$10,2,FALSE)</f>
        <v>ST_SPECIAL_ACTIVE</v>
      </c>
      <c r="E1062" s="11" t="str">
        <f>VLOOKUP($A1062,SkillEnum!$A$2:$C$1020,3,FALSE)</f>
        <v>플라잉 임팩트</v>
      </c>
      <c r="F1062" s="11" t="str">
        <f>"공중으로 상승하며 몸을 회전시켜 몸 주위에 검풍을 생성, 타격당한 적을 끌어 올리며 마법공격력의 "&amp;ROUND(1.6*H1062*100,0)&amp;" % 데미지로 연속타격을 한다."</f>
        <v>공중으로 상승하며 몸을 회전시켜 몸 주위에 검풍을 생성, 타격당한 적을 끌어 올리며 마법공격력의 112 % 데미지로 연속타격을 한다.</v>
      </c>
      <c r="G1062" s="10">
        <v>1</v>
      </c>
      <c r="H1062" s="2">
        <v>0.7</v>
      </c>
      <c r="I1062" s="2">
        <v>10</v>
      </c>
      <c r="J1062" s="10">
        <v>200</v>
      </c>
      <c r="K1062" s="2">
        <v>0</v>
      </c>
      <c r="L1062" s="2">
        <v>0</v>
      </c>
      <c r="M1062" s="2">
        <v>0</v>
      </c>
      <c r="N1062" s="2">
        <v>0</v>
      </c>
      <c r="O1062" s="2">
        <v>0</v>
      </c>
      <c r="P1062" s="2" t="s">
        <v>441</v>
      </c>
      <c r="Q1062" s="2" t="str">
        <f t="shared" si="138"/>
        <v>SI_SA_RST_FLYING_IMPACT</v>
      </c>
      <c r="R1062" s="2" t="b">
        <v>0</v>
      </c>
      <c r="S1062" s="2" t="b">
        <v>1</v>
      </c>
      <c r="T1062" s="2">
        <v>1</v>
      </c>
      <c r="U1062" s="2"/>
    </row>
    <row r="1063" spans="1:21">
      <c r="A1063" s="4">
        <v>2507</v>
      </c>
      <c r="B1063" s="7" t="str">
        <f>VLOOKUP($A1063,SkillEnum!$A$2:$C$1020,2,FALSE)</f>
        <v>SI_SA_RST_FLYING_IMPACT</v>
      </c>
      <c r="C1063" s="7">
        <v>7</v>
      </c>
      <c r="D1063" s="2" t="str">
        <f>VLOOKUP($C1063,SkillEnum!$D$2:$E$10,2,FALSE)</f>
        <v>ST_SPECIAL_ACTIVE</v>
      </c>
      <c r="E1063" s="7" t="str">
        <f>VLOOKUP($A1063,SkillEnum!$A$2:$C$1020,3,FALSE)</f>
        <v>플라잉 임팩트</v>
      </c>
      <c r="F1063" s="7" t="str">
        <f t="shared" ref="F1063:F1071" si="143">"공중으로 상승하며 몸을 회전시켜 몸 주위에 검풍을 생성, 타격당한 적을 끌어 올리며 마법공격력의 "&amp;ROUND(1.6*H1063*100,0)&amp;" % 데미지로 연속타격을 한다."</f>
        <v>공중으로 상승하며 몸을 회전시켜 몸 주위에 검풍을 생성, 타격당한 적을 끌어 올리며 마법공격력의 134 % 데미지로 연속타격을 한다.</v>
      </c>
      <c r="G1063" s="2">
        <v>2</v>
      </c>
      <c r="H1063" s="2">
        <v>0.84</v>
      </c>
      <c r="I1063" s="2">
        <v>10</v>
      </c>
      <c r="J1063" s="2">
        <v>200</v>
      </c>
      <c r="K1063" s="2">
        <v>0</v>
      </c>
      <c r="L1063" s="2">
        <v>0</v>
      </c>
      <c r="M1063" s="2">
        <v>0</v>
      </c>
      <c r="N1063" s="2">
        <v>0</v>
      </c>
      <c r="O1063" s="2">
        <v>0</v>
      </c>
      <c r="P1063" s="2" t="s">
        <v>441</v>
      </c>
      <c r="Q1063" s="2" t="str">
        <f t="shared" si="138"/>
        <v>SI_SA_RST_FLYING_IMPACT</v>
      </c>
      <c r="R1063" s="2" t="b">
        <v>0</v>
      </c>
      <c r="S1063" s="2" t="b">
        <v>1</v>
      </c>
      <c r="T1063" s="2">
        <v>1</v>
      </c>
    </row>
    <row r="1064" spans="1:21">
      <c r="A1064" s="4">
        <v>2507</v>
      </c>
      <c r="B1064" s="7" t="str">
        <f>VLOOKUP($A1064,SkillEnum!$A$2:$C$1020,2,FALSE)</f>
        <v>SI_SA_RST_FLYING_IMPACT</v>
      </c>
      <c r="C1064" s="7">
        <v>7</v>
      </c>
      <c r="D1064" s="2" t="str">
        <f>VLOOKUP($C1064,SkillEnum!$D$2:$E$10,2,FALSE)</f>
        <v>ST_SPECIAL_ACTIVE</v>
      </c>
      <c r="E1064" s="7" t="str">
        <f>VLOOKUP($A1064,SkillEnum!$A$2:$C$1020,3,FALSE)</f>
        <v>플라잉 임팩트</v>
      </c>
      <c r="F1064" s="7" t="str">
        <f t="shared" si="143"/>
        <v>공중으로 상승하며 몸을 회전시켜 몸 주위에 검풍을 생성, 타격당한 적을 끌어 올리며 마법공격력의 157 % 데미지로 연속타격을 한다.</v>
      </c>
      <c r="G1064" s="2">
        <v>3</v>
      </c>
      <c r="H1064" s="2">
        <v>0.98</v>
      </c>
      <c r="I1064" s="2">
        <v>10</v>
      </c>
      <c r="J1064" s="2">
        <v>200</v>
      </c>
      <c r="K1064" s="2">
        <v>0</v>
      </c>
      <c r="L1064" s="2">
        <v>0</v>
      </c>
      <c r="M1064" s="2">
        <v>0</v>
      </c>
      <c r="N1064" s="2">
        <v>0</v>
      </c>
      <c r="O1064" s="2">
        <v>0</v>
      </c>
      <c r="P1064" s="2" t="s">
        <v>441</v>
      </c>
      <c r="Q1064" s="2" t="str">
        <f t="shared" si="138"/>
        <v>SI_SA_RST_FLYING_IMPACT</v>
      </c>
      <c r="R1064" s="2" t="b">
        <v>0</v>
      </c>
      <c r="S1064" s="2" t="b">
        <v>1</v>
      </c>
      <c r="T1064" s="2">
        <v>1</v>
      </c>
    </row>
    <row r="1065" spans="1:21">
      <c r="A1065" s="4">
        <v>2507</v>
      </c>
      <c r="B1065" s="7" t="str">
        <f>VLOOKUP($A1065,SkillEnum!$A$2:$C$1020,2,FALSE)</f>
        <v>SI_SA_RST_FLYING_IMPACT</v>
      </c>
      <c r="C1065" s="7">
        <v>7</v>
      </c>
      <c r="D1065" s="2" t="str">
        <f>VLOOKUP($C1065,SkillEnum!$D$2:$E$10,2,FALSE)</f>
        <v>ST_SPECIAL_ACTIVE</v>
      </c>
      <c r="E1065" s="7" t="str">
        <f>VLOOKUP($A1065,SkillEnum!$A$2:$C$1020,3,FALSE)</f>
        <v>플라잉 임팩트</v>
      </c>
      <c r="F1065" s="7" t="str">
        <f t="shared" si="143"/>
        <v>공중으로 상승하며 몸을 회전시켜 몸 주위에 검풍을 생성, 타격당한 적을 끌어 올리며 마법공격력의 179 % 데미지로 연속타격을 한다.</v>
      </c>
      <c r="G1065" s="2">
        <v>4</v>
      </c>
      <c r="H1065" s="2">
        <v>1.1200000000000001</v>
      </c>
      <c r="I1065" s="2">
        <v>10</v>
      </c>
      <c r="J1065" s="2">
        <v>200</v>
      </c>
      <c r="K1065" s="2">
        <v>0</v>
      </c>
      <c r="L1065" s="2">
        <v>0</v>
      </c>
      <c r="M1065" s="2">
        <v>0</v>
      </c>
      <c r="N1065" s="2">
        <v>0</v>
      </c>
      <c r="O1065" s="2">
        <v>0</v>
      </c>
      <c r="P1065" s="2" t="s">
        <v>441</v>
      </c>
      <c r="Q1065" s="2" t="str">
        <f t="shared" si="138"/>
        <v>SI_SA_RST_FLYING_IMPACT</v>
      </c>
      <c r="R1065" s="2" t="b">
        <v>0</v>
      </c>
      <c r="S1065" s="2" t="b">
        <v>1</v>
      </c>
      <c r="T1065" s="2">
        <v>1</v>
      </c>
    </row>
    <row r="1066" spans="1:21">
      <c r="A1066" s="4">
        <v>2507</v>
      </c>
      <c r="B1066" s="7" t="str">
        <f>VLOOKUP($A1066,SkillEnum!$A$2:$C$1020,2,FALSE)</f>
        <v>SI_SA_RST_FLYING_IMPACT</v>
      </c>
      <c r="C1066" s="7">
        <v>7</v>
      </c>
      <c r="D1066" s="2" t="str">
        <f>VLOOKUP($C1066,SkillEnum!$D$2:$E$10,2,FALSE)</f>
        <v>ST_SPECIAL_ACTIVE</v>
      </c>
      <c r="E1066" s="7" t="str">
        <f>VLOOKUP($A1066,SkillEnum!$A$2:$C$1020,3,FALSE)</f>
        <v>플라잉 임팩트</v>
      </c>
      <c r="F1066" s="7" t="str">
        <f t="shared" si="143"/>
        <v>공중으로 상승하며 몸을 회전시켜 몸 주위에 검풍을 생성, 타격당한 적을 끌어 올리며 마법공격력의 213 % 데미지로 연속타격을 한다.</v>
      </c>
      <c r="G1066" s="2">
        <v>5</v>
      </c>
      <c r="H1066" s="2">
        <v>1.33</v>
      </c>
      <c r="I1066" s="2">
        <v>10</v>
      </c>
      <c r="J1066" s="2">
        <v>200</v>
      </c>
      <c r="K1066" s="2">
        <v>0</v>
      </c>
      <c r="L1066" s="2">
        <v>0</v>
      </c>
      <c r="M1066" s="2">
        <v>0</v>
      </c>
      <c r="N1066" s="2">
        <v>0</v>
      </c>
      <c r="O1066" s="2">
        <v>0</v>
      </c>
      <c r="P1066" s="2" t="s">
        <v>441</v>
      </c>
      <c r="Q1066" s="2" t="str">
        <f t="shared" si="138"/>
        <v>SI_SA_RST_FLYING_IMPACT</v>
      </c>
      <c r="R1066" s="2" t="b">
        <v>0</v>
      </c>
      <c r="S1066" s="2" t="b">
        <v>1</v>
      </c>
      <c r="T1066" s="2">
        <v>1</v>
      </c>
    </row>
    <row r="1067" spans="1:21">
      <c r="A1067" s="4">
        <v>2507</v>
      </c>
      <c r="B1067" s="7" t="str">
        <f>VLOOKUP($A1067,SkillEnum!$A$2:$C$1020,2,FALSE)</f>
        <v>SI_SA_RST_FLYING_IMPACT</v>
      </c>
      <c r="C1067" s="7">
        <v>7</v>
      </c>
      <c r="D1067" s="2" t="str">
        <f>VLOOKUP($C1067,SkillEnum!$D$2:$E$10,2,FALSE)</f>
        <v>ST_SPECIAL_ACTIVE</v>
      </c>
      <c r="E1067" s="7" t="str">
        <f>VLOOKUP($A1067,SkillEnum!$A$2:$C$1020,3,FALSE)</f>
        <v>플라잉 임팩트</v>
      </c>
      <c r="F1067" s="7" t="str">
        <f t="shared" si="143"/>
        <v>공중으로 상승하며 몸을 회전시켜 몸 주위에 검풍을 생성, 타격당한 적을 끌어 올리며 마법공격력의 246 % 데미지로 연속타격을 한다.</v>
      </c>
      <c r="G1067" s="2">
        <v>6</v>
      </c>
      <c r="H1067" s="2">
        <v>1.54</v>
      </c>
      <c r="I1067" s="2">
        <v>10</v>
      </c>
      <c r="J1067" s="2">
        <v>200</v>
      </c>
      <c r="K1067" s="2">
        <v>0</v>
      </c>
      <c r="L1067" s="2">
        <v>0</v>
      </c>
      <c r="M1067" s="2">
        <v>0</v>
      </c>
      <c r="N1067" s="2">
        <v>0</v>
      </c>
      <c r="O1067" s="2">
        <v>0</v>
      </c>
      <c r="P1067" s="2" t="s">
        <v>441</v>
      </c>
      <c r="Q1067" s="2" t="str">
        <f t="shared" si="138"/>
        <v>SI_SA_RST_FLYING_IMPACT</v>
      </c>
      <c r="R1067" s="2" t="b">
        <v>0</v>
      </c>
      <c r="S1067" s="2" t="b">
        <v>1</v>
      </c>
      <c r="T1067" s="2">
        <v>1</v>
      </c>
    </row>
    <row r="1068" spans="1:21">
      <c r="A1068" s="4">
        <v>2507</v>
      </c>
      <c r="B1068" s="7" t="str">
        <f>VLOOKUP($A1068,SkillEnum!$A$2:$C$1020,2,FALSE)</f>
        <v>SI_SA_RST_FLYING_IMPACT</v>
      </c>
      <c r="C1068" s="7">
        <v>7</v>
      </c>
      <c r="D1068" s="2" t="str">
        <f>VLOOKUP($C1068,SkillEnum!$D$2:$E$10,2,FALSE)</f>
        <v>ST_SPECIAL_ACTIVE</v>
      </c>
      <c r="E1068" s="7" t="str">
        <f>VLOOKUP($A1068,SkillEnum!$A$2:$C$1020,3,FALSE)</f>
        <v>플라잉 임팩트</v>
      </c>
      <c r="F1068" s="7" t="str">
        <f t="shared" si="143"/>
        <v>공중으로 상승하며 몸을 회전시켜 몸 주위에 검풍을 생성, 타격당한 적을 끌어 올리며 마법공격력의 280 % 데미지로 연속타격을 한다.</v>
      </c>
      <c r="G1068" s="2">
        <v>7</v>
      </c>
      <c r="H1068" s="2">
        <v>1.75</v>
      </c>
      <c r="I1068" s="2">
        <v>10</v>
      </c>
      <c r="J1068" s="2">
        <v>200</v>
      </c>
      <c r="K1068" s="2">
        <v>0</v>
      </c>
      <c r="L1068" s="2">
        <v>0</v>
      </c>
      <c r="M1068" s="2">
        <v>0</v>
      </c>
      <c r="N1068" s="2">
        <v>0</v>
      </c>
      <c r="O1068" s="2">
        <v>0</v>
      </c>
      <c r="P1068" s="2" t="s">
        <v>441</v>
      </c>
      <c r="Q1068" s="2" t="str">
        <f t="shared" si="138"/>
        <v>SI_SA_RST_FLYING_IMPACT</v>
      </c>
      <c r="R1068" s="2" t="b">
        <v>0</v>
      </c>
      <c r="S1068" s="2" t="b">
        <v>1</v>
      </c>
      <c r="T1068" s="2">
        <v>1</v>
      </c>
    </row>
    <row r="1069" spans="1:21">
      <c r="A1069" s="4">
        <v>2507</v>
      </c>
      <c r="B1069" s="7" t="str">
        <f>VLOOKUP($A1069,SkillEnum!$A$2:$C$1020,2,FALSE)</f>
        <v>SI_SA_RST_FLYING_IMPACT</v>
      </c>
      <c r="C1069" s="7">
        <v>7</v>
      </c>
      <c r="D1069" s="2" t="str">
        <f>VLOOKUP($C1069,SkillEnum!$D$2:$E$10,2,FALSE)</f>
        <v>ST_SPECIAL_ACTIVE</v>
      </c>
      <c r="E1069" s="7" t="str">
        <f>VLOOKUP($A1069,SkillEnum!$A$2:$C$1020,3,FALSE)</f>
        <v>플라잉 임팩트</v>
      </c>
      <c r="F1069" s="7" t="str">
        <f t="shared" si="143"/>
        <v>공중으로 상승하며 몸을 회전시켜 몸 주위에 검풍을 생성, 타격당한 적을 끌어 올리며 마법공격력의 314 % 데미지로 연속타격을 한다.</v>
      </c>
      <c r="G1069" s="2">
        <v>8</v>
      </c>
      <c r="H1069" s="2">
        <v>1.96</v>
      </c>
      <c r="I1069" s="2">
        <v>10</v>
      </c>
      <c r="J1069" s="2">
        <v>200</v>
      </c>
      <c r="K1069" s="2">
        <v>0</v>
      </c>
      <c r="L1069" s="2">
        <v>0</v>
      </c>
      <c r="M1069" s="2">
        <v>0</v>
      </c>
      <c r="N1069" s="2">
        <v>0</v>
      </c>
      <c r="O1069" s="2">
        <v>0</v>
      </c>
      <c r="P1069" s="2" t="s">
        <v>441</v>
      </c>
      <c r="Q1069" s="2" t="str">
        <f t="shared" si="138"/>
        <v>SI_SA_RST_FLYING_IMPACT</v>
      </c>
      <c r="R1069" s="2" t="b">
        <v>0</v>
      </c>
      <c r="S1069" s="2" t="b">
        <v>1</v>
      </c>
      <c r="T1069" s="2">
        <v>1</v>
      </c>
    </row>
    <row r="1070" spans="1:21">
      <c r="A1070" s="4">
        <v>2507</v>
      </c>
      <c r="B1070" s="7" t="str">
        <f>VLOOKUP($A1070,SkillEnum!$A$2:$C$1020,2,FALSE)</f>
        <v>SI_SA_RST_FLYING_IMPACT</v>
      </c>
      <c r="C1070" s="7">
        <v>7</v>
      </c>
      <c r="D1070" s="2" t="str">
        <f>VLOOKUP($C1070,SkillEnum!$D$2:$E$10,2,FALSE)</f>
        <v>ST_SPECIAL_ACTIVE</v>
      </c>
      <c r="E1070" s="7" t="str">
        <f>VLOOKUP($A1070,SkillEnum!$A$2:$C$1020,3,FALSE)</f>
        <v>플라잉 임팩트</v>
      </c>
      <c r="F1070" s="7" t="str">
        <f t="shared" si="143"/>
        <v>공중으로 상승하며 몸을 회전시켜 몸 주위에 검풍을 생성, 타격당한 적을 끌어 올리며 마법공격력의 358 % 데미지로 연속타격을 한다.</v>
      </c>
      <c r="G1070" s="2">
        <v>9</v>
      </c>
      <c r="H1070" s="2">
        <v>2.2400000000000002</v>
      </c>
      <c r="I1070" s="2">
        <v>10</v>
      </c>
      <c r="J1070" s="2">
        <v>200</v>
      </c>
      <c r="K1070" s="2">
        <v>0</v>
      </c>
      <c r="L1070" s="2">
        <v>0</v>
      </c>
      <c r="M1070" s="2">
        <v>0</v>
      </c>
      <c r="N1070" s="2">
        <v>0</v>
      </c>
      <c r="O1070" s="2">
        <v>0</v>
      </c>
      <c r="P1070" s="2" t="s">
        <v>441</v>
      </c>
      <c r="Q1070" s="2" t="str">
        <f t="shared" si="138"/>
        <v>SI_SA_RST_FLYING_IMPACT</v>
      </c>
      <c r="R1070" s="2" t="b">
        <v>0</v>
      </c>
      <c r="S1070" s="2" t="b">
        <v>1</v>
      </c>
      <c r="T1070" s="2">
        <v>1</v>
      </c>
    </row>
    <row r="1071" spans="1:21" s="5" customFormat="1">
      <c r="A1071" s="6">
        <v>2507</v>
      </c>
      <c r="B1071" s="8" t="str">
        <f>VLOOKUP($A1071,SkillEnum!$A$2:$C$1020,2,FALSE)</f>
        <v>SI_SA_RST_FLYING_IMPACT</v>
      </c>
      <c r="C1071" s="8">
        <v>7</v>
      </c>
      <c r="D1071" s="5" t="str">
        <f>VLOOKUP($C1071,SkillEnum!$D$2:$E$10,2,FALSE)</f>
        <v>ST_SPECIAL_ACTIVE</v>
      </c>
      <c r="E1071" s="8" t="str">
        <f>VLOOKUP($A1071,SkillEnum!$A$2:$C$1020,3,FALSE)</f>
        <v>플라잉 임팩트</v>
      </c>
      <c r="F1071" s="8" t="str">
        <f t="shared" si="143"/>
        <v>공중으로 상승하며 몸을 회전시켜 몸 주위에 검풍을 생성, 타격당한 적을 끌어 올리며 마법공격력의 403 % 데미지로 연속타격을 한다.</v>
      </c>
      <c r="G1071" s="5">
        <v>10</v>
      </c>
      <c r="H1071" s="5">
        <v>2.52</v>
      </c>
      <c r="I1071" s="5">
        <v>10</v>
      </c>
      <c r="J1071" s="5">
        <v>200</v>
      </c>
      <c r="K1071" s="5">
        <v>0</v>
      </c>
      <c r="L1071" s="5">
        <v>0</v>
      </c>
      <c r="M1071" s="5">
        <v>0</v>
      </c>
      <c r="N1071" s="5">
        <v>0</v>
      </c>
      <c r="O1071" s="5">
        <v>0</v>
      </c>
      <c r="P1071" s="2" t="s">
        <v>441</v>
      </c>
      <c r="Q1071" s="2" t="str">
        <f t="shared" si="138"/>
        <v>SI_SA_RST_FLYING_IMPACT</v>
      </c>
      <c r="R1071" s="5" t="b">
        <v>0</v>
      </c>
      <c r="S1071" s="2" t="b">
        <v>1</v>
      </c>
      <c r="T1071" s="2">
        <v>1</v>
      </c>
      <c r="U1071" s="2"/>
    </row>
    <row r="1072" spans="1:21" s="10" customFormat="1">
      <c r="A1072" s="9">
        <v>2508</v>
      </c>
      <c r="B1072" s="11" t="str">
        <f>VLOOKUP($A1072,SkillEnum!$A$2:$C$1020,2,FALSE)</f>
        <v>SI_SA_RST_HYPER_SONIC_STAB</v>
      </c>
      <c r="C1072" s="11">
        <v>7</v>
      </c>
      <c r="D1072" s="10" t="str">
        <f>VLOOKUP($C1072,SkillEnum!$D$2:$E$10,2,FALSE)</f>
        <v>ST_SPECIAL_ACTIVE</v>
      </c>
      <c r="E1072" s="11" t="str">
        <f>VLOOKUP($A1072,SkillEnum!$A$2:$C$1020,3,FALSE)</f>
        <v>하이퍼 소닉 스탭</v>
      </c>
      <c r="F1072" s="11" t="str">
        <f>"보이지 않는 속도로 적을 통과하며 순간적으로 베어 물리공격력의 "&amp;ROUND(18*H1072*100,0)&amp;" % 데미지를 준다. (각성시 공격력은 "&amp;ROUND(2*1.2*H1072*100,0)&amp;" % 로 줄어 들지만, 무수히 많이 베어 연속타격을 하며 적의 수가 많으면 연속타격 횟수 역시 많아 진다.)"</f>
        <v>보이지 않는 속도로 적을 통과하며 순간적으로 베어 물리공격력의 1260 % 데미지를 준다. (각성시 공격력은 168 % 로 줄어 들지만, 무수히 많이 베어 연속타격을 하며 적의 수가 많으면 연속타격 횟수 역시 많아 진다.)</v>
      </c>
      <c r="G1072" s="10">
        <v>1</v>
      </c>
      <c r="H1072" s="2">
        <v>0.7</v>
      </c>
      <c r="I1072" s="2">
        <v>30</v>
      </c>
      <c r="J1072" s="10">
        <v>300</v>
      </c>
      <c r="K1072" s="2">
        <v>0</v>
      </c>
      <c r="L1072" s="2">
        <v>0</v>
      </c>
      <c r="M1072" s="2">
        <v>0</v>
      </c>
      <c r="N1072" s="2">
        <v>0</v>
      </c>
      <c r="O1072" s="2">
        <v>0</v>
      </c>
      <c r="P1072" s="2" t="s">
        <v>441</v>
      </c>
      <c r="Q1072" s="2" t="str">
        <f t="shared" si="138"/>
        <v>SI_SA_RST_HYPER_SONIC_STAB</v>
      </c>
      <c r="R1072" s="2" t="b">
        <v>0</v>
      </c>
      <c r="S1072" s="2" t="b">
        <v>1</v>
      </c>
      <c r="T1072" s="2">
        <v>1</v>
      </c>
      <c r="U1072" s="2"/>
    </row>
    <row r="1073" spans="1:21">
      <c r="A1073" s="4">
        <v>2508</v>
      </c>
      <c r="B1073" s="7" t="str">
        <f>VLOOKUP($A1073,SkillEnum!$A$2:$C$1020,2,FALSE)</f>
        <v>SI_SA_RST_HYPER_SONIC_STAB</v>
      </c>
      <c r="C1073" s="7">
        <v>7</v>
      </c>
      <c r="D1073" s="2" t="str">
        <f>VLOOKUP($C1073,SkillEnum!$D$2:$E$10,2,FALSE)</f>
        <v>ST_SPECIAL_ACTIVE</v>
      </c>
      <c r="E1073" s="7" t="str">
        <f>VLOOKUP($A1073,SkillEnum!$A$2:$C$1020,3,FALSE)</f>
        <v>하이퍼 소닉 스탭</v>
      </c>
      <c r="F1073" s="7" t="str">
        <f t="shared" ref="F1073:F1081" si="144">"보이지 않는 속도로 적을 통과하며 순간적으로 베어 물리공격력의 "&amp;ROUND(18*H1073*100,0)&amp;" % 데미지를 준다. (각성시 공격력은 "&amp;ROUND(2*1.2*H1073*100,0)&amp;" % 로 줄어 들지만, 무수히 많이 베어 연속타격을 하며 적의 수가 많으면 연속타격 횟수 역시 많아 진다.)"</f>
        <v>보이지 않는 속도로 적을 통과하며 순간적으로 베어 물리공격력의 1512 % 데미지를 준다. (각성시 공격력은 202 % 로 줄어 들지만, 무수히 많이 베어 연속타격을 하며 적의 수가 많으면 연속타격 횟수 역시 많아 진다.)</v>
      </c>
      <c r="G1073" s="2">
        <v>2</v>
      </c>
      <c r="H1073" s="2">
        <v>0.84</v>
      </c>
      <c r="I1073" s="2">
        <v>30</v>
      </c>
      <c r="J1073" s="2">
        <v>300</v>
      </c>
      <c r="K1073" s="2">
        <v>0</v>
      </c>
      <c r="L1073" s="2">
        <v>0</v>
      </c>
      <c r="M1073" s="2">
        <v>0</v>
      </c>
      <c r="N1073" s="2">
        <v>0</v>
      </c>
      <c r="O1073" s="2">
        <v>0</v>
      </c>
      <c r="P1073" s="2" t="s">
        <v>441</v>
      </c>
      <c r="Q1073" s="2" t="str">
        <f t="shared" si="138"/>
        <v>SI_SA_RST_HYPER_SONIC_STAB</v>
      </c>
      <c r="R1073" s="2" t="b">
        <v>0</v>
      </c>
      <c r="S1073" s="2" t="b">
        <v>1</v>
      </c>
      <c r="T1073" s="2">
        <v>1</v>
      </c>
    </row>
    <row r="1074" spans="1:21">
      <c r="A1074" s="4">
        <v>2508</v>
      </c>
      <c r="B1074" s="7" t="str">
        <f>VLOOKUP($A1074,SkillEnum!$A$2:$C$1020,2,FALSE)</f>
        <v>SI_SA_RST_HYPER_SONIC_STAB</v>
      </c>
      <c r="C1074" s="7">
        <v>7</v>
      </c>
      <c r="D1074" s="2" t="str">
        <f>VLOOKUP($C1074,SkillEnum!$D$2:$E$10,2,FALSE)</f>
        <v>ST_SPECIAL_ACTIVE</v>
      </c>
      <c r="E1074" s="7" t="str">
        <f>VLOOKUP($A1074,SkillEnum!$A$2:$C$1020,3,FALSE)</f>
        <v>하이퍼 소닉 스탭</v>
      </c>
      <c r="F1074" s="7" t="str">
        <f t="shared" si="144"/>
        <v>보이지 않는 속도로 적을 통과하며 순간적으로 베어 물리공격력의 1764 % 데미지를 준다. (각성시 공격력은 235 % 로 줄어 들지만, 무수히 많이 베어 연속타격을 하며 적의 수가 많으면 연속타격 횟수 역시 많아 진다.)</v>
      </c>
      <c r="G1074" s="2">
        <v>3</v>
      </c>
      <c r="H1074" s="2">
        <v>0.98</v>
      </c>
      <c r="I1074" s="2">
        <v>30</v>
      </c>
      <c r="J1074" s="2">
        <v>300</v>
      </c>
      <c r="K1074" s="2">
        <v>0</v>
      </c>
      <c r="L1074" s="2">
        <v>0</v>
      </c>
      <c r="M1074" s="2">
        <v>0</v>
      </c>
      <c r="N1074" s="2">
        <v>0</v>
      </c>
      <c r="O1074" s="2">
        <v>0</v>
      </c>
      <c r="P1074" s="2" t="s">
        <v>441</v>
      </c>
      <c r="Q1074" s="2" t="str">
        <f t="shared" si="138"/>
        <v>SI_SA_RST_HYPER_SONIC_STAB</v>
      </c>
      <c r="R1074" s="2" t="b">
        <v>0</v>
      </c>
      <c r="S1074" s="2" t="b">
        <v>1</v>
      </c>
      <c r="T1074" s="2">
        <v>1</v>
      </c>
    </row>
    <row r="1075" spans="1:21">
      <c r="A1075" s="4">
        <v>2508</v>
      </c>
      <c r="B1075" s="7" t="str">
        <f>VLOOKUP($A1075,SkillEnum!$A$2:$C$1020,2,FALSE)</f>
        <v>SI_SA_RST_HYPER_SONIC_STAB</v>
      </c>
      <c r="C1075" s="7">
        <v>7</v>
      </c>
      <c r="D1075" s="2" t="str">
        <f>VLOOKUP($C1075,SkillEnum!$D$2:$E$10,2,FALSE)</f>
        <v>ST_SPECIAL_ACTIVE</v>
      </c>
      <c r="E1075" s="7" t="str">
        <f>VLOOKUP($A1075,SkillEnum!$A$2:$C$1020,3,FALSE)</f>
        <v>하이퍼 소닉 스탭</v>
      </c>
      <c r="F1075" s="7" t="str">
        <f t="shared" si="144"/>
        <v>보이지 않는 속도로 적을 통과하며 순간적으로 베어 물리공격력의 2016 % 데미지를 준다. (각성시 공격력은 269 % 로 줄어 들지만, 무수히 많이 베어 연속타격을 하며 적의 수가 많으면 연속타격 횟수 역시 많아 진다.)</v>
      </c>
      <c r="G1075" s="2">
        <v>4</v>
      </c>
      <c r="H1075" s="2">
        <v>1.1200000000000001</v>
      </c>
      <c r="I1075" s="2">
        <v>30</v>
      </c>
      <c r="J1075" s="2">
        <v>300</v>
      </c>
      <c r="K1075" s="2">
        <v>0</v>
      </c>
      <c r="L1075" s="2">
        <v>0</v>
      </c>
      <c r="M1075" s="2">
        <v>0</v>
      </c>
      <c r="N1075" s="2">
        <v>0</v>
      </c>
      <c r="O1075" s="2">
        <v>0</v>
      </c>
      <c r="P1075" s="2" t="s">
        <v>441</v>
      </c>
      <c r="Q1075" s="2" t="str">
        <f t="shared" si="138"/>
        <v>SI_SA_RST_HYPER_SONIC_STAB</v>
      </c>
      <c r="R1075" s="2" t="b">
        <v>0</v>
      </c>
      <c r="S1075" s="2" t="b">
        <v>1</v>
      </c>
      <c r="T1075" s="2">
        <v>1</v>
      </c>
    </row>
    <row r="1076" spans="1:21">
      <c r="A1076" s="4">
        <v>2508</v>
      </c>
      <c r="B1076" s="7" t="str">
        <f>VLOOKUP($A1076,SkillEnum!$A$2:$C$1020,2,FALSE)</f>
        <v>SI_SA_RST_HYPER_SONIC_STAB</v>
      </c>
      <c r="C1076" s="7">
        <v>7</v>
      </c>
      <c r="D1076" s="2" t="str">
        <f>VLOOKUP($C1076,SkillEnum!$D$2:$E$10,2,FALSE)</f>
        <v>ST_SPECIAL_ACTIVE</v>
      </c>
      <c r="E1076" s="7" t="str">
        <f>VLOOKUP($A1076,SkillEnum!$A$2:$C$1020,3,FALSE)</f>
        <v>하이퍼 소닉 스탭</v>
      </c>
      <c r="F1076" s="7" t="str">
        <f t="shared" si="144"/>
        <v>보이지 않는 속도로 적을 통과하며 순간적으로 베어 물리공격력의 2394 % 데미지를 준다. (각성시 공격력은 319 % 로 줄어 들지만, 무수히 많이 베어 연속타격을 하며 적의 수가 많으면 연속타격 횟수 역시 많아 진다.)</v>
      </c>
      <c r="G1076" s="2">
        <v>5</v>
      </c>
      <c r="H1076" s="2">
        <v>1.33</v>
      </c>
      <c r="I1076" s="2">
        <v>30</v>
      </c>
      <c r="J1076" s="2">
        <v>300</v>
      </c>
      <c r="K1076" s="2">
        <v>0</v>
      </c>
      <c r="L1076" s="2">
        <v>0</v>
      </c>
      <c r="M1076" s="2">
        <v>0</v>
      </c>
      <c r="N1076" s="2">
        <v>0</v>
      </c>
      <c r="O1076" s="2">
        <v>0</v>
      </c>
      <c r="P1076" s="2" t="s">
        <v>441</v>
      </c>
      <c r="Q1076" s="2" t="str">
        <f t="shared" si="138"/>
        <v>SI_SA_RST_HYPER_SONIC_STAB</v>
      </c>
      <c r="R1076" s="2" t="b">
        <v>0</v>
      </c>
      <c r="S1076" s="2" t="b">
        <v>1</v>
      </c>
      <c r="T1076" s="2">
        <v>1</v>
      </c>
    </row>
    <row r="1077" spans="1:21">
      <c r="A1077" s="4">
        <v>2508</v>
      </c>
      <c r="B1077" s="7" t="str">
        <f>VLOOKUP($A1077,SkillEnum!$A$2:$C$1020,2,FALSE)</f>
        <v>SI_SA_RST_HYPER_SONIC_STAB</v>
      </c>
      <c r="C1077" s="7">
        <v>7</v>
      </c>
      <c r="D1077" s="2" t="str">
        <f>VLOOKUP($C1077,SkillEnum!$D$2:$E$10,2,FALSE)</f>
        <v>ST_SPECIAL_ACTIVE</v>
      </c>
      <c r="E1077" s="7" t="str">
        <f>VLOOKUP($A1077,SkillEnum!$A$2:$C$1020,3,FALSE)</f>
        <v>하이퍼 소닉 스탭</v>
      </c>
      <c r="F1077" s="7" t="str">
        <f t="shared" si="144"/>
        <v>보이지 않는 속도로 적을 통과하며 순간적으로 베어 물리공격력의 2772 % 데미지를 준다. (각성시 공격력은 370 % 로 줄어 들지만, 무수히 많이 베어 연속타격을 하며 적의 수가 많으면 연속타격 횟수 역시 많아 진다.)</v>
      </c>
      <c r="G1077" s="2">
        <v>6</v>
      </c>
      <c r="H1077" s="2">
        <v>1.54</v>
      </c>
      <c r="I1077" s="2">
        <v>30</v>
      </c>
      <c r="J1077" s="2">
        <v>300</v>
      </c>
      <c r="K1077" s="2">
        <v>0</v>
      </c>
      <c r="L1077" s="2">
        <v>0</v>
      </c>
      <c r="M1077" s="2">
        <v>0</v>
      </c>
      <c r="N1077" s="2">
        <v>0</v>
      </c>
      <c r="O1077" s="2">
        <v>0</v>
      </c>
      <c r="P1077" s="2" t="s">
        <v>441</v>
      </c>
      <c r="Q1077" s="2" t="str">
        <f t="shared" si="138"/>
        <v>SI_SA_RST_HYPER_SONIC_STAB</v>
      </c>
      <c r="R1077" s="2" t="b">
        <v>0</v>
      </c>
      <c r="S1077" s="2" t="b">
        <v>1</v>
      </c>
      <c r="T1077" s="2">
        <v>1</v>
      </c>
    </row>
    <row r="1078" spans="1:21">
      <c r="A1078" s="4">
        <v>2508</v>
      </c>
      <c r="B1078" s="7" t="str">
        <f>VLOOKUP($A1078,SkillEnum!$A$2:$C$1020,2,FALSE)</f>
        <v>SI_SA_RST_HYPER_SONIC_STAB</v>
      </c>
      <c r="C1078" s="7">
        <v>7</v>
      </c>
      <c r="D1078" s="2" t="str">
        <f>VLOOKUP($C1078,SkillEnum!$D$2:$E$10,2,FALSE)</f>
        <v>ST_SPECIAL_ACTIVE</v>
      </c>
      <c r="E1078" s="7" t="str">
        <f>VLOOKUP($A1078,SkillEnum!$A$2:$C$1020,3,FALSE)</f>
        <v>하이퍼 소닉 스탭</v>
      </c>
      <c r="F1078" s="7" t="str">
        <f t="shared" si="144"/>
        <v>보이지 않는 속도로 적을 통과하며 순간적으로 베어 물리공격력의 3150 % 데미지를 준다. (각성시 공격력은 420 % 로 줄어 들지만, 무수히 많이 베어 연속타격을 하며 적의 수가 많으면 연속타격 횟수 역시 많아 진다.)</v>
      </c>
      <c r="G1078" s="2">
        <v>7</v>
      </c>
      <c r="H1078" s="2">
        <v>1.75</v>
      </c>
      <c r="I1078" s="2">
        <v>30</v>
      </c>
      <c r="J1078" s="2">
        <v>300</v>
      </c>
      <c r="K1078" s="2">
        <v>0</v>
      </c>
      <c r="L1078" s="2">
        <v>0</v>
      </c>
      <c r="M1078" s="2">
        <v>0</v>
      </c>
      <c r="N1078" s="2">
        <v>0</v>
      </c>
      <c r="O1078" s="2">
        <v>0</v>
      </c>
      <c r="P1078" s="2" t="s">
        <v>441</v>
      </c>
      <c r="Q1078" s="2" t="str">
        <f t="shared" si="138"/>
        <v>SI_SA_RST_HYPER_SONIC_STAB</v>
      </c>
      <c r="R1078" s="2" t="b">
        <v>0</v>
      </c>
      <c r="S1078" s="2" t="b">
        <v>1</v>
      </c>
      <c r="T1078" s="2">
        <v>1</v>
      </c>
    </row>
    <row r="1079" spans="1:21">
      <c r="A1079" s="4">
        <v>2508</v>
      </c>
      <c r="B1079" s="7" t="str">
        <f>VLOOKUP($A1079,SkillEnum!$A$2:$C$1020,2,FALSE)</f>
        <v>SI_SA_RST_HYPER_SONIC_STAB</v>
      </c>
      <c r="C1079" s="7">
        <v>7</v>
      </c>
      <c r="D1079" s="2" t="str">
        <f>VLOOKUP($C1079,SkillEnum!$D$2:$E$10,2,FALSE)</f>
        <v>ST_SPECIAL_ACTIVE</v>
      </c>
      <c r="E1079" s="7" t="str">
        <f>VLOOKUP($A1079,SkillEnum!$A$2:$C$1020,3,FALSE)</f>
        <v>하이퍼 소닉 스탭</v>
      </c>
      <c r="F1079" s="7" t="str">
        <f t="shared" si="144"/>
        <v>보이지 않는 속도로 적을 통과하며 순간적으로 베어 물리공격력의 3528 % 데미지를 준다. (각성시 공격력은 470 % 로 줄어 들지만, 무수히 많이 베어 연속타격을 하며 적의 수가 많으면 연속타격 횟수 역시 많아 진다.)</v>
      </c>
      <c r="G1079" s="2">
        <v>8</v>
      </c>
      <c r="H1079" s="2">
        <v>1.96</v>
      </c>
      <c r="I1079" s="2">
        <v>30</v>
      </c>
      <c r="J1079" s="2">
        <v>300</v>
      </c>
      <c r="K1079" s="2">
        <v>0</v>
      </c>
      <c r="L1079" s="2">
        <v>0</v>
      </c>
      <c r="M1079" s="2">
        <v>0</v>
      </c>
      <c r="N1079" s="2">
        <v>0</v>
      </c>
      <c r="O1079" s="2">
        <v>0</v>
      </c>
      <c r="P1079" s="2" t="s">
        <v>441</v>
      </c>
      <c r="Q1079" s="2" t="str">
        <f t="shared" si="138"/>
        <v>SI_SA_RST_HYPER_SONIC_STAB</v>
      </c>
      <c r="R1079" s="2" t="b">
        <v>0</v>
      </c>
      <c r="S1079" s="2" t="b">
        <v>1</v>
      </c>
      <c r="T1079" s="2">
        <v>1</v>
      </c>
    </row>
    <row r="1080" spans="1:21">
      <c r="A1080" s="4">
        <v>2508</v>
      </c>
      <c r="B1080" s="7" t="str">
        <f>VLOOKUP($A1080,SkillEnum!$A$2:$C$1020,2,FALSE)</f>
        <v>SI_SA_RST_HYPER_SONIC_STAB</v>
      </c>
      <c r="C1080" s="7">
        <v>7</v>
      </c>
      <c r="D1080" s="2" t="str">
        <f>VLOOKUP($C1080,SkillEnum!$D$2:$E$10,2,FALSE)</f>
        <v>ST_SPECIAL_ACTIVE</v>
      </c>
      <c r="E1080" s="7" t="str">
        <f>VLOOKUP($A1080,SkillEnum!$A$2:$C$1020,3,FALSE)</f>
        <v>하이퍼 소닉 스탭</v>
      </c>
      <c r="F1080" s="7" t="str">
        <f t="shared" si="144"/>
        <v>보이지 않는 속도로 적을 통과하며 순간적으로 베어 물리공격력의 4032 % 데미지를 준다. (각성시 공격력은 538 % 로 줄어 들지만, 무수히 많이 베어 연속타격을 하며 적의 수가 많으면 연속타격 횟수 역시 많아 진다.)</v>
      </c>
      <c r="G1080" s="2">
        <v>9</v>
      </c>
      <c r="H1080" s="2">
        <v>2.2400000000000002</v>
      </c>
      <c r="I1080" s="2">
        <v>30</v>
      </c>
      <c r="J1080" s="2">
        <v>300</v>
      </c>
      <c r="K1080" s="2">
        <v>0</v>
      </c>
      <c r="L1080" s="2">
        <v>0</v>
      </c>
      <c r="M1080" s="2">
        <v>0</v>
      </c>
      <c r="N1080" s="2">
        <v>0</v>
      </c>
      <c r="O1080" s="2">
        <v>0</v>
      </c>
      <c r="P1080" s="2" t="s">
        <v>441</v>
      </c>
      <c r="Q1080" s="2" t="str">
        <f t="shared" si="138"/>
        <v>SI_SA_RST_HYPER_SONIC_STAB</v>
      </c>
      <c r="R1080" s="2" t="b">
        <v>0</v>
      </c>
      <c r="S1080" s="2" t="b">
        <v>1</v>
      </c>
      <c r="T1080" s="2">
        <v>1</v>
      </c>
    </row>
    <row r="1081" spans="1:21" s="5" customFormat="1">
      <c r="A1081" s="6">
        <v>2508</v>
      </c>
      <c r="B1081" s="8" t="str">
        <f>VLOOKUP($A1081,SkillEnum!$A$2:$C$1020,2,FALSE)</f>
        <v>SI_SA_RST_HYPER_SONIC_STAB</v>
      </c>
      <c r="C1081" s="8">
        <v>7</v>
      </c>
      <c r="D1081" s="5" t="str">
        <f>VLOOKUP($C1081,SkillEnum!$D$2:$E$10,2,FALSE)</f>
        <v>ST_SPECIAL_ACTIVE</v>
      </c>
      <c r="E1081" s="8" t="str">
        <f>VLOOKUP($A1081,SkillEnum!$A$2:$C$1020,3,FALSE)</f>
        <v>하이퍼 소닉 스탭</v>
      </c>
      <c r="F1081" s="8" t="str">
        <f t="shared" si="144"/>
        <v>보이지 않는 속도로 적을 통과하며 순간적으로 베어 물리공격력의 4536 % 데미지를 준다. (각성시 공격력은 605 % 로 줄어 들지만, 무수히 많이 베어 연속타격을 하며 적의 수가 많으면 연속타격 횟수 역시 많아 진다.)</v>
      </c>
      <c r="G1081" s="5">
        <v>10</v>
      </c>
      <c r="H1081" s="5">
        <v>2.52</v>
      </c>
      <c r="I1081" s="5">
        <v>30</v>
      </c>
      <c r="J1081" s="5">
        <v>300</v>
      </c>
      <c r="K1081" s="5">
        <v>0</v>
      </c>
      <c r="L1081" s="5">
        <v>0</v>
      </c>
      <c r="M1081" s="5">
        <v>0</v>
      </c>
      <c r="N1081" s="5">
        <v>0</v>
      </c>
      <c r="O1081" s="5">
        <v>0</v>
      </c>
      <c r="P1081" s="2" t="s">
        <v>441</v>
      </c>
      <c r="Q1081" s="2" t="str">
        <f t="shared" si="138"/>
        <v>SI_SA_RST_HYPER_SONIC_STAB</v>
      </c>
      <c r="R1081" s="5" t="b">
        <v>0</v>
      </c>
      <c r="S1081" s="2" t="b">
        <v>1</v>
      </c>
      <c r="T1081" s="2">
        <v>1</v>
      </c>
      <c r="U1081" s="2"/>
    </row>
    <row r="1082" spans="1:21">
      <c r="A1082" s="4">
        <v>2509</v>
      </c>
      <c r="B1082" s="7" t="str">
        <f>VLOOKUP($A1082,SkillEnum!$A$2:$C$1020,2,FALSE)</f>
        <v>SI_SA_ROT_CHARGED_BOLT</v>
      </c>
      <c r="C1082" s="7">
        <v>7</v>
      </c>
      <c r="D1082" s="2" t="str">
        <f>VLOOKUP($C1082,SkillEnum!$D$2:$E$10,2,FALSE)</f>
        <v>ST_SPECIAL_ACTIVE</v>
      </c>
      <c r="E1082" s="11" t="str">
        <f>VLOOKUP($A1082,SkillEnum!$A$2:$C$1020,3,FALSE)</f>
        <v>차지드 볼트</v>
      </c>
      <c r="F1082" s="11" t="str">
        <f>"사방으로 날카로운 금속칼날을 뻗어서 마법공격력의 "&amp;ROUND(1.4*H1082*100,0)&amp;" % 로 연속적으로 타격하고 적을 튕겨낸다."</f>
        <v>사방으로 날카로운 금속칼날을 뻗어서 마법공격력의 98 % 로 연속적으로 타격하고 적을 튕겨낸다.</v>
      </c>
      <c r="G1082" s="10">
        <v>1</v>
      </c>
      <c r="H1082" s="2">
        <v>0.7</v>
      </c>
      <c r="I1082" s="2">
        <v>3</v>
      </c>
      <c r="J1082" s="10">
        <v>100</v>
      </c>
      <c r="K1082" s="2">
        <v>0</v>
      </c>
      <c r="L1082" s="2">
        <v>0</v>
      </c>
      <c r="M1082" s="2">
        <v>0</v>
      </c>
      <c r="N1082" s="2">
        <v>0</v>
      </c>
      <c r="O1082" s="2">
        <v>0</v>
      </c>
      <c r="P1082" s="2" t="s">
        <v>441</v>
      </c>
      <c r="Q1082" s="2" t="str">
        <f t="shared" si="138"/>
        <v>SI_SA_ROT_CHARGED_BOLT</v>
      </c>
      <c r="R1082" s="2" t="b">
        <v>0</v>
      </c>
      <c r="S1082" s="2" t="b">
        <v>1</v>
      </c>
      <c r="T1082" s="2">
        <v>1</v>
      </c>
    </row>
    <row r="1083" spans="1:21">
      <c r="A1083" s="4">
        <v>2509</v>
      </c>
      <c r="B1083" s="7" t="str">
        <f>VLOOKUP($A1083,SkillEnum!$A$2:$C$1020,2,FALSE)</f>
        <v>SI_SA_ROT_CHARGED_BOLT</v>
      </c>
      <c r="C1083" s="7">
        <v>7</v>
      </c>
      <c r="D1083" s="2" t="str">
        <f>VLOOKUP($C1083,SkillEnum!$D$2:$E$10,2,FALSE)</f>
        <v>ST_SPECIAL_ACTIVE</v>
      </c>
      <c r="E1083" s="7" t="str">
        <f>VLOOKUP($A1083,SkillEnum!$A$2:$C$1020,3,FALSE)</f>
        <v>차지드 볼트</v>
      </c>
      <c r="F1083" s="7" t="str">
        <f t="shared" ref="F1083:F1091" si="145">"사방으로 날카로운 금속칼날을 뻗어서 마법공격력의 "&amp;ROUND(1.4*H1083*100,0)&amp;" % 로 연속적으로 타격하고 적을 튕겨낸다."</f>
        <v>사방으로 날카로운 금속칼날을 뻗어서 마법공격력의 118 % 로 연속적으로 타격하고 적을 튕겨낸다.</v>
      </c>
      <c r="G1083" s="2">
        <v>2</v>
      </c>
      <c r="H1083" s="2">
        <v>0.84</v>
      </c>
      <c r="I1083" s="2">
        <v>3</v>
      </c>
      <c r="J1083" s="2">
        <v>100</v>
      </c>
      <c r="K1083" s="2">
        <v>0</v>
      </c>
      <c r="L1083" s="2">
        <v>0</v>
      </c>
      <c r="M1083" s="2">
        <v>0</v>
      </c>
      <c r="N1083" s="2">
        <v>0</v>
      </c>
      <c r="O1083" s="2">
        <v>0</v>
      </c>
      <c r="P1083" s="2" t="s">
        <v>441</v>
      </c>
      <c r="Q1083" s="2" t="str">
        <f t="shared" ref="Q1083:Q1186" si="146">B1083</f>
        <v>SI_SA_ROT_CHARGED_BOLT</v>
      </c>
      <c r="R1083" s="2" t="b">
        <v>0</v>
      </c>
      <c r="S1083" s="2" t="b">
        <v>1</v>
      </c>
      <c r="T1083" s="2">
        <v>1</v>
      </c>
    </row>
    <row r="1084" spans="1:21">
      <c r="A1084" s="4">
        <v>2509</v>
      </c>
      <c r="B1084" s="7" t="str">
        <f>VLOOKUP($A1084,SkillEnum!$A$2:$C$1020,2,FALSE)</f>
        <v>SI_SA_ROT_CHARGED_BOLT</v>
      </c>
      <c r="C1084" s="7">
        <v>7</v>
      </c>
      <c r="D1084" s="2" t="str">
        <f>VLOOKUP($C1084,SkillEnum!$D$2:$E$10,2,FALSE)</f>
        <v>ST_SPECIAL_ACTIVE</v>
      </c>
      <c r="E1084" s="7" t="str">
        <f>VLOOKUP($A1084,SkillEnum!$A$2:$C$1020,3,FALSE)</f>
        <v>차지드 볼트</v>
      </c>
      <c r="F1084" s="7" t="str">
        <f t="shared" si="145"/>
        <v>사방으로 날카로운 금속칼날을 뻗어서 마법공격력의 137 % 로 연속적으로 타격하고 적을 튕겨낸다.</v>
      </c>
      <c r="G1084" s="2">
        <v>3</v>
      </c>
      <c r="H1084" s="2">
        <v>0.98</v>
      </c>
      <c r="I1084" s="2">
        <v>3</v>
      </c>
      <c r="J1084" s="2">
        <v>100</v>
      </c>
      <c r="K1084" s="2">
        <v>0</v>
      </c>
      <c r="L1084" s="2">
        <v>0</v>
      </c>
      <c r="M1084" s="2">
        <v>0</v>
      </c>
      <c r="N1084" s="2">
        <v>0</v>
      </c>
      <c r="O1084" s="2">
        <v>0</v>
      </c>
      <c r="P1084" s="2" t="s">
        <v>441</v>
      </c>
      <c r="Q1084" s="2" t="str">
        <f t="shared" si="146"/>
        <v>SI_SA_ROT_CHARGED_BOLT</v>
      </c>
      <c r="R1084" s="2" t="b">
        <v>0</v>
      </c>
      <c r="S1084" s="2" t="b">
        <v>1</v>
      </c>
      <c r="T1084" s="2">
        <v>1</v>
      </c>
    </row>
    <row r="1085" spans="1:21">
      <c r="A1085" s="4">
        <v>2509</v>
      </c>
      <c r="B1085" s="7" t="str">
        <f>VLOOKUP($A1085,SkillEnum!$A$2:$C$1020,2,FALSE)</f>
        <v>SI_SA_ROT_CHARGED_BOLT</v>
      </c>
      <c r="C1085" s="7">
        <v>7</v>
      </c>
      <c r="D1085" s="2" t="str">
        <f>VLOOKUP($C1085,SkillEnum!$D$2:$E$10,2,FALSE)</f>
        <v>ST_SPECIAL_ACTIVE</v>
      </c>
      <c r="E1085" s="7" t="str">
        <f>VLOOKUP($A1085,SkillEnum!$A$2:$C$1020,3,FALSE)</f>
        <v>차지드 볼트</v>
      </c>
      <c r="F1085" s="7" t="str">
        <f t="shared" si="145"/>
        <v>사방으로 날카로운 금속칼날을 뻗어서 마법공격력의 157 % 로 연속적으로 타격하고 적을 튕겨낸다.</v>
      </c>
      <c r="G1085" s="2">
        <v>4</v>
      </c>
      <c r="H1085" s="2">
        <v>1.1200000000000001</v>
      </c>
      <c r="I1085" s="2">
        <v>3</v>
      </c>
      <c r="J1085" s="2">
        <v>100</v>
      </c>
      <c r="K1085" s="2">
        <v>0</v>
      </c>
      <c r="L1085" s="2">
        <v>0</v>
      </c>
      <c r="M1085" s="2">
        <v>0</v>
      </c>
      <c r="N1085" s="2">
        <v>0</v>
      </c>
      <c r="O1085" s="2">
        <v>0</v>
      </c>
      <c r="P1085" s="2" t="s">
        <v>441</v>
      </c>
      <c r="Q1085" s="2" t="str">
        <f t="shared" si="146"/>
        <v>SI_SA_ROT_CHARGED_BOLT</v>
      </c>
      <c r="R1085" s="2" t="b">
        <v>0</v>
      </c>
      <c r="S1085" s="2" t="b">
        <v>1</v>
      </c>
      <c r="T1085" s="2">
        <v>1</v>
      </c>
    </row>
    <row r="1086" spans="1:21">
      <c r="A1086" s="4">
        <v>2509</v>
      </c>
      <c r="B1086" s="7" t="str">
        <f>VLOOKUP($A1086,SkillEnum!$A$2:$C$1020,2,FALSE)</f>
        <v>SI_SA_ROT_CHARGED_BOLT</v>
      </c>
      <c r="C1086" s="7">
        <v>7</v>
      </c>
      <c r="D1086" s="2" t="str">
        <f>VLOOKUP($C1086,SkillEnum!$D$2:$E$10,2,FALSE)</f>
        <v>ST_SPECIAL_ACTIVE</v>
      </c>
      <c r="E1086" s="7" t="str">
        <f>VLOOKUP($A1086,SkillEnum!$A$2:$C$1020,3,FALSE)</f>
        <v>차지드 볼트</v>
      </c>
      <c r="F1086" s="7" t="str">
        <f t="shared" si="145"/>
        <v>사방으로 날카로운 금속칼날을 뻗어서 마법공격력의 186 % 로 연속적으로 타격하고 적을 튕겨낸다.</v>
      </c>
      <c r="G1086" s="2">
        <v>5</v>
      </c>
      <c r="H1086" s="2">
        <v>1.33</v>
      </c>
      <c r="I1086" s="2">
        <v>3</v>
      </c>
      <c r="J1086" s="2">
        <v>100</v>
      </c>
      <c r="K1086" s="2">
        <v>0</v>
      </c>
      <c r="L1086" s="2">
        <v>0</v>
      </c>
      <c r="M1086" s="2">
        <v>0</v>
      </c>
      <c r="N1086" s="2">
        <v>0</v>
      </c>
      <c r="O1086" s="2">
        <v>0</v>
      </c>
      <c r="P1086" s="2" t="s">
        <v>441</v>
      </c>
      <c r="Q1086" s="2" t="str">
        <f t="shared" si="146"/>
        <v>SI_SA_ROT_CHARGED_BOLT</v>
      </c>
      <c r="R1086" s="2" t="b">
        <v>0</v>
      </c>
      <c r="S1086" s="2" t="b">
        <v>1</v>
      </c>
      <c r="T1086" s="2">
        <v>1</v>
      </c>
    </row>
    <row r="1087" spans="1:21">
      <c r="A1087" s="4">
        <v>2509</v>
      </c>
      <c r="B1087" s="7" t="str">
        <f>VLOOKUP($A1087,SkillEnum!$A$2:$C$1020,2,FALSE)</f>
        <v>SI_SA_ROT_CHARGED_BOLT</v>
      </c>
      <c r="C1087" s="7">
        <v>7</v>
      </c>
      <c r="D1087" s="2" t="str">
        <f>VLOOKUP($C1087,SkillEnum!$D$2:$E$10,2,FALSE)</f>
        <v>ST_SPECIAL_ACTIVE</v>
      </c>
      <c r="E1087" s="7" t="str">
        <f>VLOOKUP($A1087,SkillEnum!$A$2:$C$1020,3,FALSE)</f>
        <v>차지드 볼트</v>
      </c>
      <c r="F1087" s="7" t="str">
        <f t="shared" si="145"/>
        <v>사방으로 날카로운 금속칼날을 뻗어서 마법공격력의 216 % 로 연속적으로 타격하고 적을 튕겨낸다.</v>
      </c>
      <c r="G1087" s="2">
        <v>6</v>
      </c>
      <c r="H1087" s="2">
        <v>1.54</v>
      </c>
      <c r="I1087" s="2">
        <v>3</v>
      </c>
      <c r="J1087" s="2">
        <v>100</v>
      </c>
      <c r="K1087" s="2">
        <v>0</v>
      </c>
      <c r="L1087" s="2">
        <v>0</v>
      </c>
      <c r="M1087" s="2">
        <v>0</v>
      </c>
      <c r="N1087" s="2">
        <v>0</v>
      </c>
      <c r="O1087" s="2">
        <v>0</v>
      </c>
      <c r="P1087" s="2" t="s">
        <v>441</v>
      </c>
      <c r="Q1087" s="2" t="str">
        <f t="shared" si="146"/>
        <v>SI_SA_ROT_CHARGED_BOLT</v>
      </c>
      <c r="R1087" s="2" t="b">
        <v>0</v>
      </c>
      <c r="S1087" s="2" t="b">
        <v>1</v>
      </c>
      <c r="T1087" s="2">
        <v>1</v>
      </c>
    </row>
    <row r="1088" spans="1:21">
      <c r="A1088" s="4">
        <v>2509</v>
      </c>
      <c r="B1088" s="7" t="str">
        <f>VLOOKUP($A1088,SkillEnum!$A$2:$C$1020,2,FALSE)</f>
        <v>SI_SA_ROT_CHARGED_BOLT</v>
      </c>
      <c r="C1088" s="7">
        <v>7</v>
      </c>
      <c r="D1088" s="2" t="str">
        <f>VLOOKUP($C1088,SkillEnum!$D$2:$E$10,2,FALSE)</f>
        <v>ST_SPECIAL_ACTIVE</v>
      </c>
      <c r="E1088" s="7" t="str">
        <f>VLOOKUP($A1088,SkillEnum!$A$2:$C$1020,3,FALSE)</f>
        <v>차지드 볼트</v>
      </c>
      <c r="F1088" s="7" t="str">
        <f t="shared" si="145"/>
        <v>사방으로 날카로운 금속칼날을 뻗어서 마법공격력의 245 % 로 연속적으로 타격하고 적을 튕겨낸다.</v>
      </c>
      <c r="G1088" s="2">
        <v>7</v>
      </c>
      <c r="H1088" s="2">
        <v>1.75</v>
      </c>
      <c r="I1088" s="2">
        <v>3</v>
      </c>
      <c r="J1088" s="2">
        <v>100</v>
      </c>
      <c r="K1088" s="2">
        <v>0</v>
      </c>
      <c r="L1088" s="2">
        <v>0</v>
      </c>
      <c r="M1088" s="2">
        <v>0</v>
      </c>
      <c r="N1088" s="2">
        <v>0</v>
      </c>
      <c r="O1088" s="2">
        <v>0</v>
      </c>
      <c r="P1088" s="2" t="s">
        <v>441</v>
      </c>
      <c r="Q1088" s="2" t="str">
        <f t="shared" si="146"/>
        <v>SI_SA_ROT_CHARGED_BOLT</v>
      </c>
      <c r="R1088" s="2" t="b">
        <v>0</v>
      </c>
      <c r="S1088" s="2" t="b">
        <v>1</v>
      </c>
      <c r="T1088" s="2">
        <v>1</v>
      </c>
    </row>
    <row r="1089" spans="1:21">
      <c r="A1089" s="4">
        <v>2509</v>
      </c>
      <c r="B1089" s="7" t="str">
        <f>VLOOKUP($A1089,SkillEnum!$A$2:$C$1020,2,FALSE)</f>
        <v>SI_SA_ROT_CHARGED_BOLT</v>
      </c>
      <c r="C1089" s="7">
        <v>7</v>
      </c>
      <c r="D1089" s="2" t="str">
        <f>VLOOKUP($C1089,SkillEnum!$D$2:$E$10,2,FALSE)</f>
        <v>ST_SPECIAL_ACTIVE</v>
      </c>
      <c r="E1089" s="7" t="str">
        <f>VLOOKUP($A1089,SkillEnum!$A$2:$C$1020,3,FALSE)</f>
        <v>차지드 볼트</v>
      </c>
      <c r="F1089" s="7" t="str">
        <f t="shared" si="145"/>
        <v>사방으로 날카로운 금속칼날을 뻗어서 마법공격력의 274 % 로 연속적으로 타격하고 적을 튕겨낸다.</v>
      </c>
      <c r="G1089" s="2">
        <v>8</v>
      </c>
      <c r="H1089" s="2">
        <v>1.96</v>
      </c>
      <c r="I1089" s="2">
        <v>3</v>
      </c>
      <c r="J1089" s="2">
        <v>100</v>
      </c>
      <c r="K1089" s="2">
        <v>0</v>
      </c>
      <c r="L1089" s="2">
        <v>0</v>
      </c>
      <c r="M1089" s="2">
        <v>0</v>
      </c>
      <c r="N1089" s="2">
        <v>0</v>
      </c>
      <c r="O1089" s="2">
        <v>0</v>
      </c>
      <c r="P1089" s="2" t="s">
        <v>441</v>
      </c>
      <c r="Q1089" s="2" t="str">
        <f t="shared" si="146"/>
        <v>SI_SA_ROT_CHARGED_BOLT</v>
      </c>
      <c r="R1089" s="2" t="b">
        <v>0</v>
      </c>
      <c r="S1089" s="2" t="b">
        <v>1</v>
      </c>
      <c r="T1089" s="2">
        <v>1</v>
      </c>
    </row>
    <row r="1090" spans="1:21">
      <c r="A1090" s="4">
        <v>2509</v>
      </c>
      <c r="B1090" s="7" t="str">
        <f>VLOOKUP($A1090,SkillEnum!$A$2:$C$1020,2,FALSE)</f>
        <v>SI_SA_ROT_CHARGED_BOLT</v>
      </c>
      <c r="C1090" s="7">
        <v>7</v>
      </c>
      <c r="D1090" s="2" t="str">
        <f>VLOOKUP($C1090,SkillEnum!$D$2:$E$10,2,FALSE)</f>
        <v>ST_SPECIAL_ACTIVE</v>
      </c>
      <c r="E1090" s="7" t="str">
        <f>VLOOKUP($A1090,SkillEnum!$A$2:$C$1020,3,FALSE)</f>
        <v>차지드 볼트</v>
      </c>
      <c r="F1090" s="7" t="str">
        <f t="shared" si="145"/>
        <v>사방으로 날카로운 금속칼날을 뻗어서 마법공격력의 314 % 로 연속적으로 타격하고 적을 튕겨낸다.</v>
      </c>
      <c r="G1090" s="2">
        <v>9</v>
      </c>
      <c r="H1090" s="2">
        <v>2.2400000000000002</v>
      </c>
      <c r="I1090" s="2">
        <v>3</v>
      </c>
      <c r="J1090" s="2">
        <v>100</v>
      </c>
      <c r="K1090" s="2">
        <v>0</v>
      </c>
      <c r="L1090" s="2">
        <v>0</v>
      </c>
      <c r="M1090" s="2">
        <v>0</v>
      </c>
      <c r="N1090" s="2">
        <v>0</v>
      </c>
      <c r="O1090" s="2">
        <v>0</v>
      </c>
      <c r="P1090" s="2" t="s">
        <v>441</v>
      </c>
      <c r="Q1090" s="2" t="str">
        <f t="shared" si="146"/>
        <v>SI_SA_ROT_CHARGED_BOLT</v>
      </c>
      <c r="R1090" s="2" t="b">
        <v>0</v>
      </c>
      <c r="S1090" s="2" t="b">
        <v>1</v>
      </c>
      <c r="T1090" s="2">
        <v>1</v>
      </c>
    </row>
    <row r="1091" spans="1:21" s="5" customFormat="1">
      <c r="A1091" s="6">
        <v>2509</v>
      </c>
      <c r="B1091" s="8" t="str">
        <f>VLOOKUP($A1091,SkillEnum!$A$2:$C$1020,2,FALSE)</f>
        <v>SI_SA_ROT_CHARGED_BOLT</v>
      </c>
      <c r="C1091" s="8">
        <v>7</v>
      </c>
      <c r="D1091" s="5" t="str">
        <f>VLOOKUP($C1091,SkillEnum!$D$2:$E$10,2,FALSE)</f>
        <v>ST_SPECIAL_ACTIVE</v>
      </c>
      <c r="E1091" s="8" t="str">
        <f>VLOOKUP($A1091,SkillEnum!$A$2:$C$1020,3,FALSE)</f>
        <v>차지드 볼트</v>
      </c>
      <c r="F1091" s="8" t="str">
        <f t="shared" si="145"/>
        <v>사방으로 날카로운 금속칼날을 뻗어서 마법공격력의 353 % 로 연속적으로 타격하고 적을 튕겨낸다.</v>
      </c>
      <c r="G1091" s="5">
        <v>10</v>
      </c>
      <c r="H1091" s="5">
        <v>2.52</v>
      </c>
      <c r="I1091" s="5">
        <v>3</v>
      </c>
      <c r="J1091" s="5">
        <v>100</v>
      </c>
      <c r="K1091" s="5">
        <v>0</v>
      </c>
      <c r="L1091" s="5">
        <v>0</v>
      </c>
      <c r="M1091" s="5">
        <v>0</v>
      </c>
      <c r="N1091" s="5">
        <v>0</v>
      </c>
      <c r="O1091" s="5">
        <v>0</v>
      </c>
      <c r="P1091" s="2" t="s">
        <v>441</v>
      </c>
      <c r="Q1091" s="2" t="str">
        <f t="shared" si="146"/>
        <v>SI_SA_ROT_CHARGED_BOLT</v>
      </c>
      <c r="R1091" s="5" t="b">
        <v>0</v>
      </c>
      <c r="S1091" s="2" t="b">
        <v>1</v>
      </c>
      <c r="T1091" s="2">
        <v>1</v>
      </c>
      <c r="U1091" s="2"/>
    </row>
    <row r="1092" spans="1:21">
      <c r="A1092" s="4">
        <v>2510</v>
      </c>
      <c r="B1092" s="7" t="str">
        <f>VLOOKUP($A1092,SkillEnum!$A$2:$C$1020,2,FALSE)</f>
        <v>SI_SA_ROT_ARC_ENEMY</v>
      </c>
      <c r="C1092" s="7">
        <v>7</v>
      </c>
      <c r="D1092" s="2" t="str">
        <f>VLOOKUP($C1092,SkillEnum!$D$2:$E$10,2,FALSE)</f>
        <v>ST_SPECIAL_ACTIVE</v>
      </c>
      <c r="E1092" s="11" t="str">
        <f>VLOOKUP($A1092,SkillEnum!$A$2:$C$1020,3,FALSE)</f>
        <v>아크 에너미</v>
      </c>
      <c r="F1092" s="11" t="str">
        <f>"30초간 유지되는 4개의 칼날을 소환해서 자신이 때리는 적을 함께 공격하게 하여 마법공격력의 "&amp;ROUND(1.2*H1092*100,0)&amp;" % 데미지를 준다. (각성시 공격력 "&amp;ROUND(1.7*1.2*H1092*100,0)&amp;" %)"</f>
        <v>30초간 유지되는 4개의 칼날을 소환해서 자신이 때리는 적을 함께 공격하게 하여 마법공격력의 84 % 데미지를 준다. (각성시 공격력 143 %)</v>
      </c>
      <c r="G1092" s="10">
        <v>1</v>
      </c>
      <c r="H1092" s="2">
        <v>0.7</v>
      </c>
      <c r="I1092" s="2">
        <v>8</v>
      </c>
      <c r="J1092" s="10">
        <v>170</v>
      </c>
      <c r="K1092" s="2">
        <v>0</v>
      </c>
      <c r="L1092" s="2">
        <v>0</v>
      </c>
      <c r="M1092" s="2">
        <v>0</v>
      </c>
      <c r="N1092" s="2">
        <v>0</v>
      </c>
      <c r="O1092" s="2">
        <v>0</v>
      </c>
      <c r="P1092" s="2" t="s">
        <v>441</v>
      </c>
      <c r="Q1092" s="2" t="str">
        <f t="shared" si="146"/>
        <v>SI_SA_ROT_ARC_ENEMY</v>
      </c>
      <c r="R1092" s="2" t="b">
        <v>0</v>
      </c>
      <c r="S1092" s="2" t="b">
        <v>1</v>
      </c>
      <c r="T1092" s="2">
        <v>1</v>
      </c>
    </row>
    <row r="1093" spans="1:21">
      <c r="A1093" s="4">
        <v>2510</v>
      </c>
      <c r="B1093" s="7" t="str">
        <f>VLOOKUP($A1093,SkillEnum!$A$2:$C$1020,2,FALSE)</f>
        <v>SI_SA_ROT_ARC_ENEMY</v>
      </c>
      <c r="C1093" s="7">
        <v>7</v>
      </c>
      <c r="D1093" s="2" t="str">
        <f>VLOOKUP($C1093,SkillEnum!$D$2:$E$10,2,FALSE)</f>
        <v>ST_SPECIAL_ACTIVE</v>
      </c>
      <c r="E1093" s="7" t="str">
        <f>VLOOKUP($A1093,SkillEnum!$A$2:$C$1020,3,FALSE)</f>
        <v>아크 에너미</v>
      </c>
      <c r="F1093" s="7" t="str">
        <f t="shared" ref="F1093:F1101" si="147">"30초간 유지되는 4개의 칼날을 소환해서 자신이 때리는 적을 함께 공격하게 하여 마법공격력의 "&amp;ROUND(1.2*H1093*100,0)&amp;" % 데미지를 준다. (각성시 공격력 "&amp;ROUND(1.7*1.2*H1093*100,0)&amp;" %)"</f>
        <v>30초간 유지되는 4개의 칼날을 소환해서 자신이 때리는 적을 함께 공격하게 하여 마법공격력의 101 % 데미지를 준다. (각성시 공격력 171 %)</v>
      </c>
      <c r="G1093" s="2">
        <v>2</v>
      </c>
      <c r="H1093" s="2">
        <v>0.84</v>
      </c>
      <c r="I1093" s="2">
        <v>8</v>
      </c>
      <c r="J1093" s="2">
        <v>170</v>
      </c>
      <c r="K1093" s="2">
        <v>0</v>
      </c>
      <c r="L1093" s="2">
        <v>0</v>
      </c>
      <c r="M1093" s="2">
        <v>0</v>
      </c>
      <c r="N1093" s="2">
        <v>0</v>
      </c>
      <c r="O1093" s="2">
        <v>0</v>
      </c>
      <c r="P1093" s="2" t="s">
        <v>441</v>
      </c>
      <c r="Q1093" s="2" t="str">
        <f t="shared" si="146"/>
        <v>SI_SA_ROT_ARC_ENEMY</v>
      </c>
      <c r="R1093" s="2" t="b">
        <v>0</v>
      </c>
      <c r="S1093" s="2" t="b">
        <v>1</v>
      </c>
      <c r="T1093" s="2">
        <v>1</v>
      </c>
    </row>
    <row r="1094" spans="1:21">
      <c r="A1094" s="4">
        <v>2510</v>
      </c>
      <c r="B1094" s="7" t="str">
        <f>VLOOKUP($A1094,SkillEnum!$A$2:$C$1020,2,FALSE)</f>
        <v>SI_SA_ROT_ARC_ENEMY</v>
      </c>
      <c r="C1094" s="7">
        <v>7</v>
      </c>
      <c r="D1094" s="2" t="str">
        <f>VLOOKUP($C1094,SkillEnum!$D$2:$E$10,2,FALSE)</f>
        <v>ST_SPECIAL_ACTIVE</v>
      </c>
      <c r="E1094" s="7" t="str">
        <f>VLOOKUP($A1094,SkillEnum!$A$2:$C$1020,3,FALSE)</f>
        <v>아크 에너미</v>
      </c>
      <c r="F1094" s="7" t="str">
        <f t="shared" si="147"/>
        <v>30초간 유지되는 4개의 칼날을 소환해서 자신이 때리는 적을 함께 공격하게 하여 마법공격력의 118 % 데미지를 준다. (각성시 공격력 200 %)</v>
      </c>
      <c r="G1094" s="2">
        <v>3</v>
      </c>
      <c r="H1094" s="2">
        <v>0.98</v>
      </c>
      <c r="I1094" s="2">
        <v>8</v>
      </c>
      <c r="J1094" s="2">
        <v>170</v>
      </c>
      <c r="K1094" s="2">
        <v>0</v>
      </c>
      <c r="L1094" s="2">
        <v>0</v>
      </c>
      <c r="M1094" s="2">
        <v>0</v>
      </c>
      <c r="N1094" s="2">
        <v>0</v>
      </c>
      <c r="O1094" s="2">
        <v>0</v>
      </c>
      <c r="P1094" s="2" t="s">
        <v>441</v>
      </c>
      <c r="Q1094" s="2" t="str">
        <f t="shared" si="146"/>
        <v>SI_SA_ROT_ARC_ENEMY</v>
      </c>
      <c r="R1094" s="2" t="b">
        <v>0</v>
      </c>
      <c r="S1094" s="2" t="b">
        <v>1</v>
      </c>
      <c r="T1094" s="2">
        <v>1</v>
      </c>
    </row>
    <row r="1095" spans="1:21">
      <c r="A1095" s="4">
        <v>2510</v>
      </c>
      <c r="B1095" s="7" t="str">
        <f>VLOOKUP($A1095,SkillEnum!$A$2:$C$1020,2,FALSE)</f>
        <v>SI_SA_ROT_ARC_ENEMY</v>
      </c>
      <c r="C1095" s="7">
        <v>7</v>
      </c>
      <c r="D1095" s="2" t="str">
        <f>VLOOKUP($C1095,SkillEnum!$D$2:$E$10,2,FALSE)</f>
        <v>ST_SPECIAL_ACTIVE</v>
      </c>
      <c r="E1095" s="7" t="str">
        <f>VLOOKUP($A1095,SkillEnum!$A$2:$C$1020,3,FALSE)</f>
        <v>아크 에너미</v>
      </c>
      <c r="F1095" s="7" t="str">
        <f t="shared" si="147"/>
        <v>30초간 유지되는 4개의 칼날을 소환해서 자신이 때리는 적을 함께 공격하게 하여 마법공격력의 134 % 데미지를 준다. (각성시 공격력 228 %)</v>
      </c>
      <c r="G1095" s="2">
        <v>4</v>
      </c>
      <c r="H1095" s="2">
        <v>1.1200000000000001</v>
      </c>
      <c r="I1095" s="2">
        <v>8</v>
      </c>
      <c r="J1095" s="2">
        <v>170</v>
      </c>
      <c r="K1095" s="2">
        <v>0</v>
      </c>
      <c r="L1095" s="2">
        <v>0</v>
      </c>
      <c r="M1095" s="2">
        <v>0</v>
      </c>
      <c r="N1095" s="2">
        <v>0</v>
      </c>
      <c r="O1095" s="2">
        <v>0</v>
      </c>
      <c r="P1095" s="2" t="s">
        <v>441</v>
      </c>
      <c r="Q1095" s="2" t="str">
        <f t="shared" si="146"/>
        <v>SI_SA_ROT_ARC_ENEMY</v>
      </c>
      <c r="R1095" s="2" t="b">
        <v>0</v>
      </c>
      <c r="S1095" s="2" t="b">
        <v>1</v>
      </c>
      <c r="T1095" s="2">
        <v>1</v>
      </c>
    </row>
    <row r="1096" spans="1:21">
      <c r="A1096" s="4">
        <v>2510</v>
      </c>
      <c r="B1096" s="7" t="str">
        <f>VLOOKUP($A1096,SkillEnum!$A$2:$C$1020,2,FALSE)</f>
        <v>SI_SA_ROT_ARC_ENEMY</v>
      </c>
      <c r="C1096" s="7">
        <v>7</v>
      </c>
      <c r="D1096" s="2" t="str">
        <f>VLOOKUP($C1096,SkillEnum!$D$2:$E$10,2,FALSE)</f>
        <v>ST_SPECIAL_ACTIVE</v>
      </c>
      <c r="E1096" s="7" t="str">
        <f>VLOOKUP($A1096,SkillEnum!$A$2:$C$1020,3,FALSE)</f>
        <v>아크 에너미</v>
      </c>
      <c r="F1096" s="7" t="str">
        <f t="shared" si="147"/>
        <v>30초간 유지되는 4개의 칼날을 소환해서 자신이 때리는 적을 함께 공격하게 하여 마법공격력의 160 % 데미지를 준다. (각성시 공격력 271 %)</v>
      </c>
      <c r="G1096" s="2">
        <v>5</v>
      </c>
      <c r="H1096" s="2">
        <v>1.33</v>
      </c>
      <c r="I1096" s="2">
        <v>8</v>
      </c>
      <c r="J1096" s="2">
        <v>170</v>
      </c>
      <c r="K1096" s="2">
        <v>0</v>
      </c>
      <c r="L1096" s="2">
        <v>0</v>
      </c>
      <c r="M1096" s="2">
        <v>0</v>
      </c>
      <c r="N1096" s="2">
        <v>0</v>
      </c>
      <c r="O1096" s="2">
        <v>0</v>
      </c>
      <c r="P1096" s="2" t="s">
        <v>441</v>
      </c>
      <c r="Q1096" s="2" t="str">
        <f t="shared" si="146"/>
        <v>SI_SA_ROT_ARC_ENEMY</v>
      </c>
      <c r="R1096" s="2" t="b">
        <v>0</v>
      </c>
      <c r="S1096" s="2" t="b">
        <v>1</v>
      </c>
      <c r="T1096" s="2">
        <v>1</v>
      </c>
    </row>
    <row r="1097" spans="1:21">
      <c r="A1097" s="4">
        <v>2510</v>
      </c>
      <c r="B1097" s="7" t="str">
        <f>VLOOKUP($A1097,SkillEnum!$A$2:$C$1020,2,FALSE)</f>
        <v>SI_SA_ROT_ARC_ENEMY</v>
      </c>
      <c r="C1097" s="7">
        <v>7</v>
      </c>
      <c r="D1097" s="2" t="str">
        <f>VLOOKUP($C1097,SkillEnum!$D$2:$E$10,2,FALSE)</f>
        <v>ST_SPECIAL_ACTIVE</v>
      </c>
      <c r="E1097" s="7" t="str">
        <f>VLOOKUP($A1097,SkillEnum!$A$2:$C$1020,3,FALSE)</f>
        <v>아크 에너미</v>
      </c>
      <c r="F1097" s="7" t="str">
        <f t="shared" si="147"/>
        <v>30초간 유지되는 4개의 칼날을 소환해서 자신이 때리는 적을 함께 공격하게 하여 마법공격력의 185 % 데미지를 준다. (각성시 공격력 314 %)</v>
      </c>
      <c r="G1097" s="2">
        <v>6</v>
      </c>
      <c r="H1097" s="2">
        <v>1.54</v>
      </c>
      <c r="I1097" s="2">
        <v>8</v>
      </c>
      <c r="J1097" s="2">
        <v>170</v>
      </c>
      <c r="K1097" s="2">
        <v>0</v>
      </c>
      <c r="L1097" s="2">
        <v>0</v>
      </c>
      <c r="M1097" s="2">
        <v>0</v>
      </c>
      <c r="N1097" s="2">
        <v>0</v>
      </c>
      <c r="O1097" s="2">
        <v>0</v>
      </c>
      <c r="P1097" s="2" t="s">
        <v>441</v>
      </c>
      <c r="Q1097" s="2" t="str">
        <f t="shared" si="146"/>
        <v>SI_SA_ROT_ARC_ENEMY</v>
      </c>
      <c r="R1097" s="2" t="b">
        <v>0</v>
      </c>
      <c r="S1097" s="2" t="b">
        <v>1</v>
      </c>
      <c r="T1097" s="2">
        <v>1</v>
      </c>
    </row>
    <row r="1098" spans="1:21">
      <c r="A1098" s="4">
        <v>2510</v>
      </c>
      <c r="B1098" s="7" t="str">
        <f>VLOOKUP($A1098,SkillEnum!$A$2:$C$1020,2,FALSE)</f>
        <v>SI_SA_ROT_ARC_ENEMY</v>
      </c>
      <c r="C1098" s="7">
        <v>7</v>
      </c>
      <c r="D1098" s="2" t="str">
        <f>VLOOKUP($C1098,SkillEnum!$D$2:$E$10,2,FALSE)</f>
        <v>ST_SPECIAL_ACTIVE</v>
      </c>
      <c r="E1098" s="7" t="str">
        <f>VLOOKUP($A1098,SkillEnum!$A$2:$C$1020,3,FALSE)</f>
        <v>아크 에너미</v>
      </c>
      <c r="F1098" s="7" t="str">
        <f t="shared" si="147"/>
        <v>30초간 유지되는 4개의 칼날을 소환해서 자신이 때리는 적을 함께 공격하게 하여 마법공격력의 210 % 데미지를 준다. (각성시 공격력 357 %)</v>
      </c>
      <c r="G1098" s="2">
        <v>7</v>
      </c>
      <c r="H1098" s="2">
        <v>1.75</v>
      </c>
      <c r="I1098" s="2">
        <v>8</v>
      </c>
      <c r="J1098" s="2">
        <v>170</v>
      </c>
      <c r="K1098" s="2">
        <v>0</v>
      </c>
      <c r="L1098" s="2">
        <v>0</v>
      </c>
      <c r="M1098" s="2">
        <v>0</v>
      </c>
      <c r="N1098" s="2">
        <v>0</v>
      </c>
      <c r="O1098" s="2">
        <v>0</v>
      </c>
      <c r="P1098" s="2" t="s">
        <v>441</v>
      </c>
      <c r="Q1098" s="2" t="str">
        <f t="shared" si="146"/>
        <v>SI_SA_ROT_ARC_ENEMY</v>
      </c>
      <c r="R1098" s="2" t="b">
        <v>0</v>
      </c>
      <c r="S1098" s="2" t="b">
        <v>1</v>
      </c>
      <c r="T1098" s="2">
        <v>1</v>
      </c>
    </row>
    <row r="1099" spans="1:21">
      <c r="A1099" s="4">
        <v>2510</v>
      </c>
      <c r="B1099" s="7" t="str">
        <f>VLOOKUP($A1099,SkillEnum!$A$2:$C$1020,2,FALSE)</f>
        <v>SI_SA_ROT_ARC_ENEMY</v>
      </c>
      <c r="C1099" s="7">
        <v>7</v>
      </c>
      <c r="D1099" s="2" t="str">
        <f>VLOOKUP($C1099,SkillEnum!$D$2:$E$10,2,FALSE)</f>
        <v>ST_SPECIAL_ACTIVE</v>
      </c>
      <c r="E1099" s="7" t="str">
        <f>VLOOKUP($A1099,SkillEnum!$A$2:$C$1020,3,FALSE)</f>
        <v>아크 에너미</v>
      </c>
      <c r="F1099" s="7" t="str">
        <f t="shared" si="147"/>
        <v>30초간 유지되는 4개의 칼날을 소환해서 자신이 때리는 적을 함께 공격하게 하여 마법공격력의 235 % 데미지를 준다. (각성시 공격력 400 %)</v>
      </c>
      <c r="G1099" s="2">
        <v>8</v>
      </c>
      <c r="H1099" s="2">
        <v>1.96</v>
      </c>
      <c r="I1099" s="2">
        <v>8</v>
      </c>
      <c r="J1099" s="2">
        <v>170</v>
      </c>
      <c r="K1099" s="2">
        <v>0</v>
      </c>
      <c r="L1099" s="2">
        <v>0</v>
      </c>
      <c r="M1099" s="2">
        <v>0</v>
      </c>
      <c r="N1099" s="2">
        <v>0</v>
      </c>
      <c r="O1099" s="2">
        <v>0</v>
      </c>
      <c r="P1099" s="2" t="s">
        <v>441</v>
      </c>
      <c r="Q1099" s="2" t="str">
        <f t="shared" si="146"/>
        <v>SI_SA_ROT_ARC_ENEMY</v>
      </c>
      <c r="R1099" s="2" t="b">
        <v>0</v>
      </c>
      <c r="S1099" s="2" t="b">
        <v>1</v>
      </c>
      <c r="T1099" s="2">
        <v>1</v>
      </c>
    </row>
    <row r="1100" spans="1:21">
      <c r="A1100" s="4">
        <v>2510</v>
      </c>
      <c r="B1100" s="7" t="str">
        <f>VLOOKUP($A1100,SkillEnum!$A$2:$C$1020,2,FALSE)</f>
        <v>SI_SA_ROT_ARC_ENEMY</v>
      </c>
      <c r="C1100" s="7">
        <v>7</v>
      </c>
      <c r="D1100" s="2" t="str">
        <f>VLOOKUP($C1100,SkillEnum!$D$2:$E$10,2,FALSE)</f>
        <v>ST_SPECIAL_ACTIVE</v>
      </c>
      <c r="E1100" s="7" t="str">
        <f>VLOOKUP($A1100,SkillEnum!$A$2:$C$1020,3,FALSE)</f>
        <v>아크 에너미</v>
      </c>
      <c r="F1100" s="7" t="str">
        <f t="shared" si="147"/>
        <v>30초간 유지되는 4개의 칼날을 소환해서 자신이 때리는 적을 함께 공격하게 하여 마법공격력의 269 % 데미지를 준다. (각성시 공격력 457 %)</v>
      </c>
      <c r="G1100" s="2">
        <v>9</v>
      </c>
      <c r="H1100" s="2">
        <v>2.2400000000000002</v>
      </c>
      <c r="I1100" s="2">
        <v>8</v>
      </c>
      <c r="J1100" s="2">
        <v>170</v>
      </c>
      <c r="K1100" s="2">
        <v>0</v>
      </c>
      <c r="L1100" s="2">
        <v>0</v>
      </c>
      <c r="M1100" s="2">
        <v>0</v>
      </c>
      <c r="N1100" s="2">
        <v>0</v>
      </c>
      <c r="O1100" s="2">
        <v>0</v>
      </c>
      <c r="P1100" s="2" t="s">
        <v>441</v>
      </c>
      <c r="Q1100" s="2" t="str">
        <f t="shared" si="146"/>
        <v>SI_SA_ROT_ARC_ENEMY</v>
      </c>
      <c r="R1100" s="2" t="b">
        <v>0</v>
      </c>
      <c r="S1100" s="2" t="b">
        <v>1</v>
      </c>
      <c r="T1100" s="2">
        <v>1</v>
      </c>
    </row>
    <row r="1101" spans="1:21" s="5" customFormat="1">
      <c r="A1101" s="6">
        <v>2510</v>
      </c>
      <c r="B1101" s="8" t="str">
        <f>VLOOKUP($A1101,SkillEnum!$A$2:$C$1020,2,FALSE)</f>
        <v>SI_SA_ROT_ARC_ENEMY</v>
      </c>
      <c r="C1101" s="8">
        <v>7</v>
      </c>
      <c r="D1101" s="5" t="str">
        <f>VLOOKUP($C1101,SkillEnum!$D$2:$E$10,2,FALSE)</f>
        <v>ST_SPECIAL_ACTIVE</v>
      </c>
      <c r="E1101" s="8" t="str">
        <f>VLOOKUP($A1101,SkillEnum!$A$2:$C$1020,3,FALSE)</f>
        <v>아크 에너미</v>
      </c>
      <c r="F1101" s="8" t="str">
        <f t="shared" si="147"/>
        <v>30초간 유지되는 4개의 칼날을 소환해서 자신이 때리는 적을 함께 공격하게 하여 마법공격력의 302 % 데미지를 준다. (각성시 공격력 514 %)</v>
      </c>
      <c r="G1101" s="5">
        <v>10</v>
      </c>
      <c r="H1101" s="5">
        <v>2.52</v>
      </c>
      <c r="I1101" s="5">
        <v>8</v>
      </c>
      <c r="J1101" s="5">
        <v>170</v>
      </c>
      <c r="K1101" s="5">
        <v>0</v>
      </c>
      <c r="L1101" s="5">
        <v>0</v>
      </c>
      <c r="M1101" s="5">
        <v>0</v>
      </c>
      <c r="N1101" s="5">
        <v>0</v>
      </c>
      <c r="O1101" s="5">
        <v>0</v>
      </c>
      <c r="P1101" s="2" t="s">
        <v>441</v>
      </c>
      <c r="Q1101" s="2" t="str">
        <f t="shared" si="146"/>
        <v>SI_SA_ROT_ARC_ENEMY</v>
      </c>
      <c r="R1101" s="5" t="b">
        <v>0</v>
      </c>
      <c r="S1101" s="2" t="b">
        <v>1</v>
      </c>
      <c r="T1101" s="2">
        <v>1</v>
      </c>
      <c r="U1101" s="2"/>
    </row>
    <row r="1102" spans="1:21">
      <c r="A1102" s="4">
        <v>2511</v>
      </c>
      <c r="B1102" s="7" t="str">
        <f>VLOOKUP($A1102,SkillEnum!$A$2:$C$1020,2,FALSE)</f>
        <v>SI_SA_ROT_GUARDIAN_STRIKE</v>
      </c>
      <c r="C1102" s="7">
        <v>7</v>
      </c>
      <c r="D1102" s="2" t="str">
        <f>VLOOKUP($C1102,SkillEnum!$D$2:$E$10,2,FALSE)</f>
        <v>ST_SPECIAL_ACTIVE</v>
      </c>
      <c r="E1102" s="11" t="str">
        <f>VLOOKUP($A1102,SkillEnum!$A$2:$C$1020,3,FALSE)</f>
        <v>가디언 스트라이크</v>
      </c>
      <c r="F1102" s="11" t="str">
        <f>"가슴의 엘을 열십자 형태로 폭주시켜 마법공격력의 "&amp;ROUND(2.8*1.3*H1102*100,0)&amp;" %로 사방의 적들을 연속타격 한다. (각성시 공격력 "&amp;ROUND(2.8*1.2*1.2*H1102*100,0)&amp;" %)"</f>
        <v>가슴의 엘을 열십자 형태로 폭주시켜 마법공격력의 255 %로 사방의 적들을 연속타격 한다. (각성시 공격력 282 %)</v>
      </c>
      <c r="G1102" s="10">
        <v>1</v>
      </c>
      <c r="H1102" s="2">
        <v>0.7</v>
      </c>
      <c r="I1102" s="2">
        <v>30</v>
      </c>
      <c r="J1102" s="10">
        <v>300</v>
      </c>
      <c r="K1102" s="2">
        <v>0</v>
      </c>
      <c r="L1102" s="2">
        <v>0</v>
      </c>
      <c r="M1102" s="2">
        <v>0</v>
      </c>
      <c r="N1102" s="2">
        <v>0</v>
      </c>
      <c r="O1102" s="2">
        <v>0</v>
      </c>
      <c r="P1102" s="2" t="s">
        <v>441</v>
      </c>
      <c r="Q1102" s="2" t="str">
        <f t="shared" si="146"/>
        <v>SI_SA_ROT_GUARDIAN_STRIKE</v>
      </c>
      <c r="R1102" s="2" t="b">
        <v>0</v>
      </c>
      <c r="S1102" s="2" t="b">
        <v>1</v>
      </c>
      <c r="T1102" s="2">
        <v>1</v>
      </c>
    </row>
    <row r="1103" spans="1:21">
      <c r="A1103" s="4">
        <v>2511</v>
      </c>
      <c r="B1103" s="7" t="str">
        <f>VLOOKUP($A1103,SkillEnum!$A$2:$C$1020,2,FALSE)</f>
        <v>SI_SA_ROT_GUARDIAN_STRIKE</v>
      </c>
      <c r="C1103" s="7">
        <v>7</v>
      </c>
      <c r="D1103" s="2" t="str">
        <f>VLOOKUP($C1103,SkillEnum!$D$2:$E$10,2,FALSE)</f>
        <v>ST_SPECIAL_ACTIVE</v>
      </c>
      <c r="E1103" s="7" t="str">
        <f>VLOOKUP($A1103,SkillEnum!$A$2:$C$1020,3,FALSE)</f>
        <v>가디언 스트라이크</v>
      </c>
      <c r="F1103" s="7" t="str">
        <f t="shared" ref="F1103:F1111" si="148">"가슴의 엘을 열십자 형태로 폭주시켜 마법공격력의 "&amp;ROUND(2.8*1.3*H1103*100,0)&amp;" %로 사방의 적들을 연속타격 한다. (각성시 공격력 "&amp;ROUND(2.8*1.2*1.2*H1103*100,0)&amp;" %)"</f>
        <v>가슴의 엘을 열십자 형태로 폭주시켜 마법공격력의 306 %로 사방의 적들을 연속타격 한다. (각성시 공격력 339 %)</v>
      </c>
      <c r="G1103" s="2">
        <v>2</v>
      </c>
      <c r="H1103" s="2">
        <v>0.84</v>
      </c>
      <c r="I1103" s="2">
        <v>30</v>
      </c>
      <c r="J1103" s="2">
        <v>300</v>
      </c>
      <c r="K1103" s="2">
        <v>0</v>
      </c>
      <c r="L1103" s="2">
        <v>0</v>
      </c>
      <c r="M1103" s="2">
        <v>0</v>
      </c>
      <c r="N1103" s="2">
        <v>0</v>
      </c>
      <c r="O1103" s="2">
        <v>0</v>
      </c>
      <c r="P1103" s="2" t="s">
        <v>441</v>
      </c>
      <c r="Q1103" s="2" t="str">
        <f t="shared" si="146"/>
        <v>SI_SA_ROT_GUARDIAN_STRIKE</v>
      </c>
      <c r="R1103" s="2" t="b">
        <v>0</v>
      </c>
      <c r="S1103" s="2" t="b">
        <v>1</v>
      </c>
      <c r="T1103" s="2">
        <v>1</v>
      </c>
    </row>
    <row r="1104" spans="1:21">
      <c r="A1104" s="4">
        <v>2511</v>
      </c>
      <c r="B1104" s="7" t="str">
        <f>VLOOKUP($A1104,SkillEnum!$A$2:$C$1020,2,FALSE)</f>
        <v>SI_SA_ROT_GUARDIAN_STRIKE</v>
      </c>
      <c r="C1104" s="7">
        <v>7</v>
      </c>
      <c r="D1104" s="2" t="str">
        <f>VLOOKUP($C1104,SkillEnum!$D$2:$E$10,2,FALSE)</f>
        <v>ST_SPECIAL_ACTIVE</v>
      </c>
      <c r="E1104" s="7" t="str">
        <f>VLOOKUP($A1104,SkillEnum!$A$2:$C$1020,3,FALSE)</f>
        <v>가디언 스트라이크</v>
      </c>
      <c r="F1104" s="7" t="str">
        <f t="shared" si="148"/>
        <v>가슴의 엘을 열십자 형태로 폭주시켜 마법공격력의 357 %로 사방의 적들을 연속타격 한다. (각성시 공격력 395 %)</v>
      </c>
      <c r="G1104" s="2">
        <v>3</v>
      </c>
      <c r="H1104" s="2">
        <v>0.98</v>
      </c>
      <c r="I1104" s="2">
        <v>30</v>
      </c>
      <c r="J1104" s="2">
        <v>300</v>
      </c>
      <c r="K1104" s="2">
        <v>0</v>
      </c>
      <c r="L1104" s="2">
        <v>0</v>
      </c>
      <c r="M1104" s="2">
        <v>0</v>
      </c>
      <c r="N1104" s="2">
        <v>0</v>
      </c>
      <c r="O1104" s="2">
        <v>0</v>
      </c>
      <c r="P1104" s="2" t="s">
        <v>441</v>
      </c>
      <c r="Q1104" s="2" t="str">
        <f t="shared" si="146"/>
        <v>SI_SA_ROT_GUARDIAN_STRIKE</v>
      </c>
      <c r="R1104" s="2" t="b">
        <v>0</v>
      </c>
      <c r="S1104" s="2" t="b">
        <v>1</v>
      </c>
      <c r="T1104" s="2">
        <v>1</v>
      </c>
    </row>
    <row r="1105" spans="1:21">
      <c r="A1105" s="4">
        <v>2511</v>
      </c>
      <c r="B1105" s="7" t="str">
        <f>VLOOKUP($A1105,SkillEnum!$A$2:$C$1020,2,FALSE)</f>
        <v>SI_SA_ROT_GUARDIAN_STRIKE</v>
      </c>
      <c r="C1105" s="7">
        <v>7</v>
      </c>
      <c r="D1105" s="2" t="str">
        <f>VLOOKUP($C1105,SkillEnum!$D$2:$E$10,2,FALSE)</f>
        <v>ST_SPECIAL_ACTIVE</v>
      </c>
      <c r="E1105" s="7" t="str">
        <f>VLOOKUP($A1105,SkillEnum!$A$2:$C$1020,3,FALSE)</f>
        <v>가디언 스트라이크</v>
      </c>
      <c r="F1105" s="7" t="str">
        <f t="shared" si="148"/>
        <v>가슴의 엘을 열십자 형태로 폭주시켜 마법공격력의 408 %로 사방의 적들을 연속타격 한다. (각성시 공격력 452 %)</v>
      </c>
      <c r="G1105" s="2">
        <v>4</v>
      </c>
      <c r="H1105" s="2">
        <v>1.1200000000000001</v>
      </c>
      <c r="I1105" s="2">
        <v>30</v>
      </c>
      <c r="J1105" s="2">
        <v>300</v>
      </c>
      <c r="K1105" s="2">
        <v>0</v>
      </c>
      <c r="L1105" s="2">
        <v>0</v>
      </c>
      <c r="M1105" s="2">
        <v>0</v>
      </c>
      <c r="N1105" s="2">
        <v>0</v>
      </c>
      <c r="O1105" s="2">
        <v>0</v>
      </c>
      <c r="P1105" s="2" t="s">
        <v>441</v>
      </c>
      <c r="Q1105" s="2" t="str">
        <f t="shared" si="146"/>
        <v>SI_SA_ROT_GUARDIAN_STRIKE</v>
      </c>
      <c r="R1105" s="2" t="b">
        <v>0</v>
      </c>
      <c r="S1105" s="2" t="b">
        <v>1</v>
      </c>
      <c r="T1105" s="2">
        <v>1</v>
      </c>
    </row>
    <row r="1106" spans="1:21">
      <c r="A1106" s="4">
        <v>2511</v>
      </c>
      <c r="B1106" s="7" t="str">
        <f>VLOOKUP($A1106,SkillEnum!$A$2:$C$1020,2,FALSE)</f>
        <v>SI_SA_ROT_GUARDIAN_STRIKE</v>
      </c>
      <c r="C1106" s="7">
        <v>7</v>
      </c>
      <c r="D1106" s="2" t="str">
        <f>VLOOKUP($C1106,SkillEnum!$D$2:$E$10,2,FALSE)</f>
        <v>ST_SPECIAL_ACTIVE</v>
      </c>
      <c r="E1106" s="7" t="str">
        <f>VLOOKUP($A1106,SkillEnum!$A$2:$C$1020,3,FALSE)</f>
        <v>가디언 스트라이크</v>
      </c>
      <c r="F1106" s="7" t="str">
        <f t="shared" si="148"/>
        <v>가슴의 엘을 열십자 형태로 폭주시켜 마법공격력의 484 %로 사방의 적들을 연속타격 한다. (각성시 공격력 536 %)</v>
      </c>
      <c r="G1106" s="2">
        <v>5</v>
      </c>
      <c r="H1106" s="2">
        <v>1.33</v>
      </c>
      <c r="I1106" s="2">
        <v>30</v>
      </c>
      <c r="J1106" s="2">
        <v>300</v>
      </c>
      <c r="K1106" s="2">
        <v>0</v>
      </c>
      <c r="L1106" s="2">
        <v>0</v>
      </c>
      <c r="M1106" s="2">
        <v>0</v>
      </c>
      <c r="N1106" s="2">
        <v>0</v>
      </c>
      <c r="O1106" s="2">
        <v>0</v>
      </c>
      <c r="P1106" s="2" t="s">
        <v>441</v>
      </c>
      <c r="Q1106" s="2" t="str">
        <f t="shared" si="146"/>
        <v>SI_SA_ROT_GUARDIAN_STRIKE</v>
      </c>
      <c r="R1106" s="2" t="b">
        <v>0</v>
      </c>
      <c r="S1106" s="2" t="b">
        <v>1</v>
      </c>
      <c r="T1106" s="2">
        <v>1</v>
      </c>
    </row>
    <row r="1107" spans="1:21">
      <c r="A1107" s="4">
        <v>2511</v>
      </c>
      <c r="B1107" s="7" t="str">
        <f>VLOOKUP($A1107,SkillEnum!$A$2:$C$1020,2,FALSE)</f>
        <v>SI_SA_ROT_GUARDIAN_STRIKE</v>
      </c>
      <c r="C1107" s="7">
        <v>7</v>
      </c>
      <c r="D1107" s="2" t="str">
        <f>VLOOKUP($C1107,SkillEnum!$D$2:$E$10,2,FALSE)</f>
        <v>ST_SPECIAL_ACTIVE</v>
      </c>
      <c r="E1107" s="7" t="str">
        <f>VLOOKUP($A1107,SkillEnum!$A$2:$C$1020,3,FALSE)</f>
        <v>가디언 스트라이크</v>
      </c>
      <c r="F1107" s="7" t="str">
        <f t="shared" si="148"/>
        <v>가슴의 엘을 열십자 형태로 폭주시켜 마법공격력의 561 %로 사방의 적들을 연속타격 한다. (각성시 공격력 621 %)</v>
      </c>
      <c r="G1107" s="2">
        <v>6</v>
      </c>
      <c r="H1107" s="2">
        <v>1.54</v>
      </c>
      <c r="I1107" s="2">
        <v>30</v>
      </c>
      <c r="J1107" s="2">
        <v>300</v>
      </c>
      <c r="K1107" s="2">
        <v>0</v>
      </c>
      <c r="L1107" s="2">
        <v>0</v>
      </c>
      <c r="M1107" s="2">
        <v>0</v>
      </c>
      <c r="N1107" s="2">
        <v>0</v>
      </c>
      <c r="O1107" s="2">
        <v>0</v>
      </c>
      <c r="P1107" s="2" t="s">
        <v>441</v>
      </c>
      <c r="Q1107" s="2" t="str">
        <f t="shared" si="146"/>
        <v>SI_SA_ROT_GUARDIAN_STRIKE</v>
      </c>
      <c r="R1107" s="2" t="b">
        <v>0</v>
      </c>
      <c r="S1107" s="2" t="b">
        <v>1</v>
      </c>
      <c r="T1107" s="2">
        <v>1</v>
      </c>
    </row>
    <row r="1108" spans="1:21">
      <c r="A1108" s="4">
        <v>2511</v>
      </c>
      <c r="B1108" s="7" t="str">
        <f>VLOOKUP($A1108,SkillEnum!$A$2:$C$1020,2,FALSE)</f>
        <v>SI_SA_ROT_GUARDIAN_STRIKE</v>
      </c>
      <c r="C1108" s="7">
        <v>7</v>
      </c>
      <c r="D1108" s="2" t="str">
        <f>VLOOKUP($C1108,SkillEnum!$D$2:$E$10,2,FALSE)</f>
        <v>ST_SPECIAL_ACTIVE</v>
      </c>
      <c r="E1108" s="7" t="str">
        <f>VLOOKUP($A1108,SkillEnum!$A$2:$C$1020,3,FALSE)</f>
        <v>가디언 스트라이크</v>
      </c>
      <c r="F1108" s="7" t="str">
        <f t="shared" si="148"/>
        <v>가슴의 엘을 열십자 형태로 폭주시켜 마법공격력의 637 %로 사방의 적들을 연속타격 한다. (각성시 공격력 706 %)</v>
      </c>
      <c r="G1108" s="2">
        <v>7</v>
      </c>
      <c r="H1108" s="2">
        <v>1.75</v>
      </c>
      <c r="I1108" s="2">
        <v>30</v>
      </c>
      <c r="J1108" s="2">
        <v>300</v>
      </c>
      <c r="K1108" s="2">
        <v>0</v>
      </c>
      <c r="L1108" s="2">
        <v>0</v>
      </c>
      <c r="M1108" s="2">
        <v>0</v>
      </c>
      <c r="N1108" s="2">
        <v>0</v>
      </c>
      <c r="O1108" s="2">
        <v>0</v>
      </c>
      <c r="P1108" s="2" t="s">
        <v>441</v>
      </c>
      <c r="Q1108" s="2" t="str">
        <f t="shared" si="146"/>
        <v>SI_SA_ROT_GUARDIAN_STRIKE</v>
      </c>
      <c r="R1108" s="2" t="b">
        <v>0</v>
      </c>
      <c r="S1108" s="2" t="b">
        <v>1</v>
      </c>
      <c r="T1108" s="2">
        <v>1</v>
      </c>
    </row>
    <row r="1109" spans="1:21">
      <c r="A1109" s="4">
        <v>2511</v>
      </c>
      <c r="B1109" s="7" t="str">
        <f>VLOOKUP($A1109,SkillEnum!$A$2:$C$1020,2,FALSE)</f>
        <v>SI_SA_ROT_GUARDIAN_STRIKE</v>
      </c>
      <c r="C1109" s="7">
        <v>7</v>
      </c>
      <c r="D1109" s="2" t="str">
        <f>VLOOKUP($C1109,SkillEnum!$D$2:$E$10,2,FALSE)</f>
        <v>ST_SPECIAL_ACTIVE</v>
      </c>
      <c r="E1109" s="7" t="str">
        <f>VLOOKUP($A1109,SkillEnum!$A$2:$C$1020,3,FALSE)</f>
        <v>가디언 스트라이크</v>
      </c>
      <c r="F1109" s="7" t="str">
        <f t="shared" si="148"/>
        <v>가슴의 엘을 열십자 형태로 폭주시켜 마법공격력의 713 %로 사방의 적들을 연속타격 한다. (각성시 공격력 790 %)</v>
      </c>
      <c r="G1109" s="2">
        <v>8</v>
      </c>
      <c r="H1109" s="2">
        <v>1.96</v>
      </c>
      <c r="I1109" s="2">
        <v>30</v>
      </c>
      <c r="J1109" s="2">
        <v>300</v>
      </c>
      <c r="K1109" s="2">
        <v>0</v>
      </c>
      <c r="L1109" s="2">
        <v>0</v>
      </c>
      <c r="M1109" s="2">
        <v>0</v>
      </c>
      <c r="N1109" s="2">
        <v>0</v>
      </c>
      <c r="O1109" s="2">
        <v>0</v>
      </c>
      <c r="P1109" s="2" t="s">
        <v>441</v>
      </c>
      <c r="Q1109" s="2" t="str">
        <f t="shared" si="146"/>
        <v>SI_SA_ROT_GUARDIAN_STRIKE</v>
      </c>
      <c r="R1109" s="2" t="b">
        <v>0</v>
      </c>
      <c r="S1109" s="2" t="b">
        <v>1</v>
      </c>
      <c r="T1109" s="2">
        <v>1</v>
      </c>
    </row>
    <row r="1110" spans="1:21">
      <c r="A1110" s="4">
        <v>2511</v>
      </c>
      <c r="B1110" s="7" t="str">
        <f>VLOOKUP($A1110,SkillEnum!$A$2:$C$1020,2,FALSE)</f>
        <v>SI_SA_ROT_GUARDIAN_STRIKE</v>
      </c>
      <c r="C1110" s="7">
        <v>7</v>
      </c>
      <c r="D1110" s="2" t="str">
        <f>VLOOKUP($C1110,SkillEnum!$D$2:$E$10,2,FALSE)</f>
        <v>ST_SPECIAL_ACTIVE</v>
      </c>
      <c r="E1110" s="7" t="str">
        <f>VLOOKUP($A1110,SkillEnum!$A$2:$C$1020,3,FALSE)</f>
        <v>가디언 스트라이크</v>
      </c>
      <c r="F1110" s="7" t="str">
        <f t="shared" si="148"/>
        <v>가슴의 엘을 열십자 형태로 폭주시켜 마법공격력의 815 %로 사방의 적들을 연속타격 한다. (각성시 공격력 903 %)</v>
      </c>
      <c r="G1110" s="2">
        <v>9</v>
      </c>
      <c r="H1110" s="2">
        <v>2.2400000000000002</v>
      </c>
      <c r="I1110" s="2">
        <v>30</v>
      </c>
      <c r="J1110" s="2">
        <v>300</v>
      </c>
      <c r="K1110" s="2">
        <v>0</v>
      </c>
      <c r="L1110" s="2">
        <v>0</v>
      </c>
      <c r="M1110" s="2">
        <v>0</v>
      </c>
      <c r="N1110" s="2">
        <v>0</v>
      </c>
      <c r="O1110" s="2">
        <v>0</v>
      </c>
      <c r="P1110" s="2" t="s">
        <v>441</v>
      </c>
      <c r="Q1110" s="2" t="str">
        <f t="shared" si="146"/>
        <v>SI_SA_ROT_GUARDIAN_STRIKE</v>
      </c>
      <c r="R1110" s="2" t="b">
        <v>0</v>
      </c>
      <c r="S1110" s="2" t="b">
        <v>1</v>
      </c>
      <c r="T1110" s="2">
        <v>1</v>
      </c>
    </row>
    <row r="1111" spans="1:21" s="5" customFormat="1">
      <c r="A1111" s="6">
        <v>2511</v>
      </c>
      <c r="B1111" s="8" t="str">
        <f>VLOOKUP($A1111,SkillEnum!$A$2:$C$1020,2,FALSE)</f>
        <v>SI_SA_ROT_GUARDIAN_STRIKE</v>
      </c>
      <c r="C1111" s="8">
        <v>7</v>
      </c>
      <c r="D1111" s="5" t="str">
        <f>VLOOKUP($C1111,SkillEnum!$D$2:$E$10,2,FALSE)</f>
        <v>ST_SPECIAL_ACTIVE</v>
      </c>
      <c r="E1111" s="8" t="str">
        <f>VLOOKUP($A1111,SkillEnum!$A$2:$C$1020,3,FALSE)</f>
        <v>가디언 스트라이크</v>
      </c>
      <c r="F1111" s="7" t="str">
        <f t="shared" si="148"/>
        <v>가슴의 엘을 열십자 형태로 폭주시켜 마법공격력의 917 %로 사방의 적들을 연속타격 한다. (각성시 공격력 1016 %)</v>
      </c>
      <c r="G1111" s="5">
        <v>10</v>
      </c>
      <c r="H1111" s="5">
        <v>2.52</v>
      </c>
      <c r="I1111" s="5">
        <v>30</v>
      </c>
      <c r="J1111" s="5">
        <v>300</v>
      </c>
      <c r="K1111" s="5">
        <v>0</v>
      </c>
      <c r="L1111" s="5">
        <v>0</v>
      </c>
      <c r="M1111" s="5">
        <v>0</v>
      </c>
      <c r="N1111" s="5">
        <v>0</v>
      </c>
      <c r="O1111" s="5">
        <v>0</v>
      </c>
      <c r="P1111" s="2" t="s">
        <v>441</v>
      </c>
      <c r="Q1111" s="2" t="str">
        <f t="shared" si="146"/>
        <v>SI_SA_ROT_GUARDIAN_STRIKE</v>
      </c>
      <c r="R1111" s="5" t="b">
        <v>0</v>
      </c>
      <c r="S1111" s="2" t="b">
        <v>1</v>
      </c>
      <c r="T1111" s="2">
        <v>1</v>
      </c>
      <c r="U1111" s="2"/>
    </row>
    <row r="1112" spans="1:21">
      <c r="A1112" s="4">
        <v>2512</v>
      </c>
      <c r="B1112" s="7" t="str">
        <f>VLOOKUP($A1112,SkillEnum!$A$2:$C$1020,2,FALSE)</f>
        <v>SI_SA_RST_SHOCKWAVE</v>
      </c>
      <c r="C1112" s="7">
        <v>7</v>
      </c>
      <c r="D1112" s="2" t="str">
        <f>VLOOKUP($C1112,SkillEnum!$D$2:$E$10,2,FALSE)</f>
        <v>ST_SPECIAL_ACTIVE</v>
      </c>
      <c r="E1112" s="11" t="str">
        <f>VLOOKUP($A1112,SkillEnum!$A$2:$C$1020,3,FALSE)</f>
        <v>쇼크 웨이브</v>
      </c>
      <c r="F1112" s="11" t="str">
        <f>"크게 원을 그리듯 검을 휘둘러 반원 모양의 검기의 파도를 생성, 전진 시켜 검풍에 닿은 유저에게 마법공격력의 "&amp;ROUND(2*H1112*100,0)&amp;" %로 연속타격한다."</f>
        <v>크게 원을 그리듯 검을 휘둘러 반원 모양의 검기의 파도를 생성, 전진 시켜 검풍에 닿은 유저에게 마법공격력의 140 %로 연속타격한다.</v>
      </c>
      <c r="G1112" s="10">
        <v>1</v>
      </c>
      <c r="H1112" s="2">
        <v>0.7</v>
      </c>
      <c r="I1112" s="2">
        <v>10</v>
      </c>
      <c r="J1112" s="10">
        <v>200</v>
      </c>
      <c r="K1112" s="2">
        <v>0</v>
      </c>
      <c r="L1112" s="2">
        <v>0</v>
      </c>
      <c r="M1112" s="2">
        <v>0</v>
      </c>
      <c r="N1112" s="2">
        <v>0</v>
      </c>
      <c r="O1112" s="2">
        <v>0</v>
      </c>
      <c r="P1112" s="2" t="s">
        <v>441</v>
      </c>
      <c r="Q1112" s="2" t="str">
        <f t="shared" ref="Q1112:Q1121" si="149">B1112</f>
        <v>SI_SA_RST_SHOCKWAVE</v>
      </c>
      <c r="R1112" s="2" t="b">
        <v>0</v>
      </c>
      <c r="S1112" s="2" t="b">
        <v>1</v>
      </c>
      <c r="T1112" s="2">
        <v>2</v>
      </c>
      <c r="U1112" s="2" t="b">
        <v>1</v>
      </c>
    </row>
    <row r="1113" spans="1:21">
      <c r="A1113" s="4">
        <v>2512</v>
      </c>
      <c r="B1113" s="7" t="str">
        <f>VLOOKUP($A1113,SkillEnum!$A$2:$C$1020,2,FALSE)</f>
        <v>SI_SA_RST_SHOCKWAVE</v>
      </c>
      <c r="C1113" s="7">
        <v>7</v>
      </c>
      <c r="D1113" s="2" t="str">
        <f>VLOOKUP($C1113,SkillEnum!$D$2:$E$10,2,FALSE)</f>
        <v>ST_SPECIAL_ACTIVE</v>
      </c>
      <c r="E1113" s="7" t="str">
        <f>VLOOKUP($A1113,SkillEnum!$A$2:$C$1020,3,FALSE)</f>
        <v>쇼크 웨이브</v>
      </c>
      <c r="F1113" s="7" t="str">
        <f t="shared" ref="F1113:F1121" si="150">"크게 원을 그리듯 검을 휘둘러 반원 모양의 검기의 파도를 생성, 전진 시켜 검풍에 닿은 유저에게 마법공격력의 "&amp;ROUND(2*H1113*100,0)&amp;" %로 연속타격한다."</f>
        <v>크게 원을 그리듯 검을 휘둘러 반원 모양의 검기의 파도를 생성, 전진 시켜 검풍에 닿은 유저에게 마법공격력의 168 %로 연속타격한다.</v>
      </c>
      <c r="G1113" s="2">
        <v>2</v>
      </c>
      <c r="H1113" s="2">
        <v>0.84</v>
      </c>
      <c r="I1113" s="2">
        <v>10</v>
      </c>
      <c r="J1113" s="2">
        <v>200</v>
      </c>
      <c r="K1113" s="2">
        <v>0</v>
      </c>
      <c r="L1113" s="2">
        <v>0</v>
      </c>
      <c r="M1113" s="2">
        <v>0</v>
      </c>
      <c r="N1113" s="2">
        <v>0</v>
      </c>
      <c r="O1113" s="2">
        <v>0</v>
      </c>
      <c r="P1113" s="2" t="s">
        <v>441</v>
      </c>
      <c r="Q1113" s="2" t="str">
        <f t="shared" si="149"/>
        <v>SI_SA_RST_SHOCKWAVE</v>
      </c>
      <c r="R1113" s="2" t="b">
        <v>0</v>
      </c>
      <c r="S1113" s="2" t="b">
        <v>1</v>
      </c>
      <c r="T1113" s="2">
        <v>2</v>
      </c>
      <c r="U1113" s="2" t="b">
        <v>1</v>
      </c>
    </row>
    <row r="1114" spans="1:21">
      <c r="A1114" s="4">
        <v>2512</v>
      </c>
      <c r="B1114" s="7" t="str">
        <f>VLOOKUP($A1114,SkillEnum!$A$2:$C$1020,2,FALSE)</f>
        <v>SI_SA_RST_SHOCKWAVE</v>
      </c>
      <c r="C1114" s="7">
        <v>7</v>
      </c>
      <c r="D1114" s="2" t="str">
        <f>VLOOKUP($C1114,SkillEnum!$D$2:$E$10,2,FALSE)</f>
        <v>ST_SPECIAL_ACTIVE</v>
      </c>
      <c r="E1114" s="7" t="str">
        <f>VLOOKUP($A1114,SkillEnum!$A$2:$C$1020,3,FALSE)</f>
        <v>쇼크 웨이브</v>
      </c>
      <c r="F1114" s="7" t="str">
        <f t="shared" si="150"/>
        <v>크게 원을 그리듯 검을 휘둘러 반원 모양의 검기의 파도를 생성, 전진 시켜 검풍에 닿은 유저에게 마법공격력의 196 %로 연속타격한다.</v>
      </c>
      <c r="G1114" s="2">
        <v>3</v>
      </c>
      <c r="H1114" s="2">
        <v>0.98</v>
      </c>
      <c r="I1114" s="2">
        <v>10</v>
      </c>
      <c r="J1114" s="2">
        <v>200</v>
      </c>
      <c r="K1114" s="2">
        <v>0</v>
      </c>
      <c r="L1114" s="2">
        <v>0</v>
      </c>
      <c r="M1114" s="2">
        <v>0</v>
      </c>
      <c r="N1114" s="2">
        <v>0</v>
      </c>
      <c r="O1114" s="2">
        <v>0</v>
      </c>
      <c r="P1114" s="2" t="s">
        <v>441</v>
      </c>
      <c r="Q1114" s="2" t="str">
        <f t="shared" si="149"/>
        <v>SI_SA_RST_SHOCKWAVE</v>
      </c>
      <c r="R1114" s="2" t="b">
        <v>0</v>
      </c>
      <c r="S1114" s="2" t="b">
        <v>1</v>
      </c>
      <c r="T1114" s="2">
        <v>2</v>
      </c>
      <c r="U1114" s="2" t="b">
        <v>1</v>
      </c>
    </row>
    <row r="1115" spans="1:21">
      <c r="A1115" s="4">
        <v>2512</v>
      </c>
      <c r="B1115" s="7" t="str">
        <f>VLOOKUP($A1115,SkillEnum!$A$2:$C$1020,2,FALSE)</f>
        <v>SI_SA_RST_SHOCKWAVE</v>
      </c>
      <c r="C1115" s="7">
        <v>7</v>
      </c>
      <c r="D1115" s="2" t="str">
        <f>VLOOKUP($C1115,SkillEnum!$D$2:$E$10,2,FALSE)</f>
        <v>ST_SPECIAL_ACTIVE</v>
      </c>
      <c r="E1115" s="7" t="str">
        <f>VLOOKUP($A1115,SkillEnum!$A$2:$C$1020,3,FALSE)</f>
        <v>쇼크 웨이브</v>
      </c>
      <c r="F1115" s="7" t="str">
        <f t="shared" si="150"/>
        <v>크게 원을 그리듯 검을 휘둘러 반원 모양의 검기의 파도를 생성, 전진 시켜 검풍에 닿은 유저에게 마법공격력의 224 %로 연속타격한다.</v>
      </c>
      <c r="G1115" s="2">
        <v>4</v>
      </c>
      <c r="H1115" s="2">
        <v>1.1200000000000001</v>
      </c>
      <c r="I1115" s="2">
        <v>10</v>
      </c>
      <c r="J1115" s="2">
        <v>200</v>
      </c>
      <c r="K1115" s="2">
        <v>0</v>
      </c>
      <c r="L1115" s="2">
        <v>0</v>
      </c>
      <c r="M1115" s="2">
        <v>0</v>
      </c>
      <c r="N1115" s="2">
        <v>0</v>
      </c>
      <c r="O1115" s="2">
        <v>0</v>
      </c>
      <c r="P1115" s="2" t="s">
        <v>441</v>
      </c>
      <c r="Q1115" s="2" t="str">
        <f t="shared" si="149"/>
        <v>SI_SA_RST_SHOCKWAVE</v>
      </c>
      <c r="R1115" s="2" t="b">
        <v>0</v>
      </c>
      <c r="S1115" s="2" t="b">
        <v>1</v>
      </c>
      <c r="T1115" s="2">
        <v>2</v>
      </c>
      <c r="U1115" s="2" t="b">
        <v>1</v>
      </c>
    </row>
    <row r="1116" spans="1:21">
      <c r="A1116" s="4">
        <v>2512</v>
      </c>
      <c r="B1116" s="7" t="str">
        <f>VLOOKUP($A1116,SkillEnum!$A$2:$C$1020,2,FALSE)</f>
        <v>SI_SA_RST_SHOCKWAVE</v>
      </c>
      <c r="C1116" s="7">
        <v>7</v>
      </c>
      <c r="D1116" s="2" t="str">
        <f>VLOOKUP($C1116,SkillEnum!$D$2:$E$10,2,FALSE)</f>
        <v>ST_SPECIAL_ACTIVE</v>
      </c>
      <c r="E1116" s="7" t="str">
        <f>VLOOKUP($A1116,SkillEnum!$A$2:$C$1020,3,FALSE)</f>
        <v>쇼크 웨이브</v>
      </c>
      <c r="F1116" s="7" t="str">
        <f t="shared" si="150"/>
        <v>크게 원을 그리듯 검을 휘둘러 반원 모양의 검기의 파도를 생성, 전진 시켜 검풍에 닿은 유저에게 마법공격력의 266 %로 연속타격한다.</v>
      </c>
      <c r="G1116" s="2">
        <v>5</v>
      </c>
      <c r="H1116" s="2">
        <v>1.33</v>
      </c>
      <c r="I1116" s="2">
        <v>10</v>
      </c>
      <c r="J1116" s="2">
        <v>200</v>
      </c>
      <c r="K1116" s="2">
        <v>0</v>
      </c>
      <c r="L1116" s="2">
        <v>0</v>
      </c>
      <c r="M1116" s="2">
        <v>0</v>
      </c>
      <c r="N1116" s="2">
        <v>0</v>
      </c>
      <c r="O1116" s="2">
        <v>0</v>
      </c>
      <c r="P1116" s="2" t="s">
        <v>441</v>
      </c>
      <c r="Q1116" s="2" t="str">
        <f t="shared" si="149"/>
        <v>SI_SA_RST_SHOCKWAVE</v>
      </c>
      <c r="R1116" s="2" t="b">
        <v>0</v>
      </c>
      <c r="S1116" s="2" t="b">
        <v>1</v>
      </c>
      <c r="T1116" s="2">
        <v>2</v>
      </c>
      <c r="U1116" s="2" t="b">
        <v>1</v>
      </c>
    </row>
    <row r="1117" spans="1:21">
      <c r="A1117" s="4">
        <v>2512</v>
      </c>
      <c r="B1117" s="7" t="str">
        <f>VLOOKUP($A1117,SkillEnum!$A$2:$C$1020,2,FALSE)</f>
        <v>SI_SA_RST_SHOCKWAVE</v>
      </c>
      <c r="C1117" s="7">
        <v>7</v>
      </c>
      <c r="D1117" s="2" t="str">
        <f>VLOOKUP($C1117,SkillEnum!$D$2:$E$10,2,FALSE)</f>
        <v>ST_SPECIAL_ACTIVE</v>
      </c>
      <c r="E1117" s="7" t="str">
        <f>VLOOKUP($A1117,SkillEnum!$A$2:$C$1020,3,FALSE)</f>
        <v>쇼크 웨이브</v>
      </c>
      <c r="F1117" s="7" t="str">
        <f t="shared" si="150"/>
        <v>크게 원을 그리듯 검을 휘둘러 반원 모양의 검기의 파도를 생성, 전진 시켜 검풍에 닿은 유저에게 마법공격력의 308 %로 연속타격한다.</v>
      </c>
      <c r="G1117" s="2">
        <v>6</v>
      </c>
      <c r="H1117" s="2">
        <v>1.54</v>
      </c>
      <c r="I1117" s="2">
        <v>10</v>
      </c>
      <c r="J1117" s="2">
        <v>200</v>
      </c>
      <c r="K1117" s="2">
        <v>0</v>
      </c>
      <c r="L1117" s="2">
        <v>0</v>
      </c>
      <c r="M1117" s="2">
        <v>0</v>
      </c>
      <c r="N1117" s="2">
        <v>0</v>
      </c>
      <c r="O1117" s="2">
        <v>0</v>
      </c>
      <c r="P1117" s="2" t="s">
        <v>441</v>
      </c>
      <c r="Q1117" s="2" t="str">
        <f t="shared" si="149"/>
        <v>SI_SA_RST_SHOCKWAVE</v>
      </c>
      <c r="R1117" s="2" t="b">
        <v>0</v>
      </c>
      <c r="S1117" s="2" t="b">
        <v>1</v>
      </c>
      <c r="T1117" s="2">
        <v>2</v>
      </c>
      <c r="U1117" s="2" t="b">
        <v>1</v>
      </c>
    </row>
    <row r="1118" spans="1:21">
      <c r="A1118" s="4">
        <v>2512</v>
      </c>
      <c r="B1118" s="7" t="str">
        <f>VLOOKUP($A1118,SkillEnum!$A$2:$C$1020,2,FALSE)</f>
        <v>SI_SA_RST_SHOCKWAVE</v>
      </c>
      <c r="C1118" s="7">
        <v>7</v>
      </c>
      <c r="D1118" s="2" t="str">
        <f>VLOOKUP($C1118,SkillEnum!$D$2:$E$10,2,FALSE)</f>
        <v>ST_SPECIAL_ACTIVE</v>
      </c>
      <c r="E1118" s="7" t="str">
        <f>VLOOKUP($A1118,SkillEnum!$A$2:$C$1020,3,FALSE)</f>
        <v>쇼크 웨이브</v>
      </c>
      <c r="F1118" s="7" t="str">
        <f t="shared" si="150"/>
        <v>크게 원을 그리듯 검을 휘둘러 반원 모양의 검기의 파도를 생성, 전진 시켜 검풍에 닿은 유저에게 마법공격력의 350 %로 연속타격한다.</v>
      </c>
      <c r="G1118" s="2">
        <v>7</v>
      </c>
      <c r="H1118" s="2">
        <v>1.75</v>
      </c>
      <c r="I1118" s="2">
        <v>10</v>
      </c>
      <c r="J1118" s="2">
        <v>200</v>
      </c>
      <c r="K1118" s="2">
        <v>0</v>
      </c>
      <c r="L1118" s="2">
        <v>0</v>
      </c>
      <c r="M1118" s="2">
        <v>0</v>
      </c>
      <c r="N1118" s="2">
        <v>0</v>
      </c>
      <c r="O1118" s="2">
        <v>0</v>
      </c>
      <c r="P1118" s="2" t="s">
        <v>441</v>
      </c>
      <c r="Q1118" s="2" t="str">
        <f t="shared" si="149"/>
        <v>SI_SA_RST_SHOCKWAVE</v>
      </c>
      <c r="R1118" s="2" t="b">
        <v>0</v>
      </c>
      <c r="S1118" s="2" t="b">
        <v>1</v>
      </c>
      <c r="T1118" s="2">
        <v>2</v>
      </c>
      <c r="U1118" s="2" t="b">
        <v>1</v>
      </c>
    </row>
    <row r="1119" spans="1:21">
      <c r="A1119" s="4">
        <v>2512</v>
      </c>
      <c r="B1119" s="7" t="str">
        <f>VLOOKUP($A1119,SkillEnum!$A$2:$C$1020,2,FALSE)</f>
        <v>SI_SA_RST_SHOCKWAVE</v>
      </c>
      <c r="C1119" s="7">
        <v>7</v>
      </c>
      <c r="D1119" s="2" t="str">
        <f>VLOOKUP($C1119,SkillEnum!$D$2:$E$10,2,FALSE)</f>
        <v>ST_SPECIAL_ACTIVE</v>
      </c>
      <c r="E1119" s="7" t="str">
        <f>VLOOKUP($A1119,SkillEnum!$A$2:$C$1020,3,FALSE)</f>
        <v>쇼크 웨이브</v>
      </c>
      <c r="F1119" s="7" t="str">
        <f t="shared" si="150"/>
        <v>크게 원을 그리듯 검을 휘둘러 반원 모양의 검기의 파도를 생성, 전진 시켜 검풍에 닿은 유저에게 마법공격력의 392 %로 연속타격한다.</v>
      </c>
      <c r="G1119" s="2">
        <v>8</v>
      </c>
      <c r="H1119" s="2">
        <v>1.96</v>
      </c>
      <c r="I1119" s="2">
        <v>10</v>
      </c>
      <c r="J1119" s="2">
        <v>200</v>
      </c>
      <c r="K1119" s="2">
        <v>0</v>
      </c>
      <c r="L1119" s="2">
        <v>0</v>
      </c>
      <c r="M1119" s="2">
        <v>0</v>
      </c>
      <c r="N1119" s="2">
        <v>0</v>
      </c>
      <c r="O1119" s="2">
        <v>0</v>
      </c>
      <c r="P1119" s="2" t="s">
        <v>441</v>
      </c>
      <c r="Q1119" s="2" t="str">
        <f t="shared" si="149"/>
        <v>SI_SA_RST_SHOCKWAVE</v>
      </c>
      <c r="R1119" s="2" t="b">
        <v>0</v>
      </c>
      <c r="S1119" s="2" t="b">
        <v>1</v>
      </c>
      <c r="T1119" s="2">
        <v>2</v>
      </c>
      <c r="U1119" s="2" t="b">
        <v>1</v>
      </c>
    </row>
    <row r="1120" spans="1:21">
      <c r="A1120" s="4">
        <v>2512</v>
      </c>
      <c r="B1120" s="7" t="str">
        <f>VLOOKUP($A1120,SkillEnum!$A$2:$C$1020,2,FALSE)</f>
        <v>SI_SA_RST_SHOCKWAVE</v>
      </c>
      <c r="C1120" s="7">
        <v>7</v>
      </c>
      <c r="D1120" s="2" t="str">
        <f>VLOOKUP($C1120,SkillEnum!$D$2:$E$10,2,FALSE)</f>
        <v>ST_SPECIAL_ACTIVE</v>
      </c>
      <c r="E1120" s="7" t="str">
        <f>VLOOKUP($A1120,SkillEnum!$A$2:$C$1020,3,FALSE)</f>
        <v>쇼크 웨이브</v>
      </c>
      <c r="F1120" s="7" t="str">
        <f t="shared" si="150"/>
        <v>크게 원을 그리듯 검을 휘둘러 반원 모양의 검기의 파도를 생성, 전진 시켜 검풍에 닿은 유저에게 마법공격력의 448 %로 연속타격한다.</v>
      </c>
      <c r="G1120" s="2">
        <v>9</v>
      </c>
      <c r="H1120" s="2">
        <v>2.2400000000000002</v>
      </c>
      <c r="I1120" s="2">
        <v>10</v>
      </c>
      <c r="J1120" s="2">
        <v>200</v>
      </c>
      <c r="K1120" s="2">
        <v>0</v>
      </c>
      <c r="L1120" s="2">
        <v>0</v>
      </c>
      <c r="M1120" s="2">
        <v>0</v>
      </c>
      <c r="N1120" s="2">
        <v>0</v>
      </c>
      <c r="O1120" s="2">
        <v>0</v>
      </c>
      <c r="P1120" s="2" t="s">
        <v>441</v>
      </c>
      <c r="Q1120" s="2" t="str">
        <f t="shared" si="149"/>
        <v>SI_SA_RST_SHOCKWAVE</v>
      </c>
      <c r="R1120" s="2" t="b">
        <v>0</v>
      </c>
      <c r="S1120" s="2" t="b">
        <v>1</v>
      </c>
      <c r="T1120" s="2">
        <v>2</v>
      </c>
      <c r="U1120" s="2" t="b">
        <v>1</v>
      </c>
    </row>
    <row r="1121" spans="1:21" s="5" customFormat="1">
      <c r="A1121" s="6">
        <v>2512</v>
      </c>
      <c r="B1121" s="8" t="str">
        <f>VLOOKUP($A1121,SkillEnum!$A$2:$C$1020,2,FALSE)</f>
        <v>SI_SA_RST_SHOCKWAVE</v>
      </c>
      <c r="C1121" s="8">
        <v>7</v>
      </c>
      <c r="D1121" s="5" t="str">
        <f>VLOOKUP($C1121,SkillEnum!$D$2:$E$10,2,FALSE)</f>
        <v>ST_SPECIAL_ACTIVE</v>
      </c>
      <c r="E1121" s="8" t="str">
        <f>VLOOKUP($A1121,SkillEnum!$A$2:$C$1020,3,FALSE)</f>
        <v>쇼크 웨이브</v>
      </c>
      <c r="F1121" s="8" t="str">
        <f t="shared" si="150"/>
        <v>크게 원을 그리듯 검을 휘둘러 반원 모양의 검기의 파도를 생성, 전진 시켜 검풍에 닿은 유저에게 마법공격력의 504 %로 연속타격한다.</v>
      </c>
      <c r="G1121" s="5">
        <v>10</v>
      </c>
      <c r="H1121" s="5">
        <v>2.52</v>
      </c>
      <c r="I1121" s="5">
        <v>10</v>
      </c>
      <c r="J1121" s="5">
        <v>200</v>
      </c>
      <c r="K1121" s="5">
        <v>0</v>
      </c>
      <c r="L1121" s="5">
        <v>0</v>
      </c>
      <c r="M1121" s="5">
        <v>0</v>
      </c>
      <c r="N1121" s="5">
        <v>0</v>
      </c>
      <c r="O1121" s="5">
        <v>0</v>
      </c>
      <c r="P1121" s="2" t="s">
        <v>441</v>
      </c>
      <c r="Q1121" s="2" t="str">
        <f t="shared" si="149"/>
        <v>SI_SA_RST_SHOCKWAVE</v>
      </c>
      <c r="R1121" s="5" t="b">
        <v>0</v>
      </c>
      <c r="S1121" s="2" t="b">
        <v>1</v>
      </c>
      <c r="T1121" s="2">
        <v>2</v>
      </c>
      <c r="U1121" s="2" t="b">
        <v>1</v>
      </c>
    </row>
    <row r="1122" spans="1:21">
      <c r="A1122" s="4">
        <v>2513</v>
      </c>
      <c r="B1122" s="7" t="str">
        <f>VLOOKUP($A1122,SkillEnum!$A$2:$C$1020,2,FALSE)</f>
        <v>SI_SA_ROT_VALKYRIESJAVELIN</v>
      </c>
      <c r="C1122" s="7">
        <v>7</v>
      </c>
      <c r="D1122" s="2" t="str">
        <f>VLOOKUP($C1122,SkillEnum!$D$2:$E$10,2,FALSE)</f>
        <v>ST_SPECIAL_ACTIVE</v>
      </c>
      <c r="E1122" s="11" t="str">
        <f>VLOOKUP($A1122,SkillEnum!$A$2:$C$1020,3,FALSE)</f>
        <v>발키리스 자벨린</v>
      </c>
      <c r="F1122" s="11" t="str">
        <f>"공중에 5개의 물리 공격력의 "&amp;ROUND(4*H1122*100,0)&amp;"% 데미지를 주는 검은 창을 소환하여 바닥으로 떨어 뜨린다. 떨어진 창은 이내 폭발을 일으켜 마법공격력의 "&amp;ROUND(1*H1122*100,0)&amp;"%로 적들을 연속타격한다."</f>
        <v>공중에 5개의 물리 공격력의 280% 데미지를 주는 검은 창을 소환하여 바닥으로 떨어 뜨린다. 떨어진 창은 이내 폭발을 일으켜 마법공격력의 70%로 적들을 연속타격한다.</v>
      </c>
      <c r="G1122" s="10">
        <v>1</v>
      </c>
      <c r="H1122" s="2">
        <v>0.7</v>
      </c>
      <c r="I1122" s="2">
        <v>10</v>
      </c>
      <c r="J1122" s="10">
        <v>200</v>
      </c>
      <c r="K1122" s="2">
        <v>0</v>
      </c>
      <c r="L1122" s="2">
        <v>0</v>
      </c>
      <c r="M1122" s="2">
        <v>0</v>
      </c>
      <c r="N1122" s="2">
        <v>0</v>
      </c>
      <c r="O1122" s="2">
        <v>0</v>
      </c>
      <c r="P1122" s="2" t="s">
        <v>441</v>
      </c>
      <c r="Q1122" s="2" t="str">
        <f t="shared" ref="Q1122:Q1131" si="151">B1122</f>
        <v>SI_SA_ROT_VALKYRIESJAVELIN</v>
      </c>
      <c r="R1122" s="2" t="b">
        <v>0</v>
      </c>
      <c r="S1122" s="2" t="b">
        <v>1</v>
      </c>
      <c r="T1122" s="2">
        <v>2</v>
      </c>
      <c r="U1122" s="2" t="b">
        <v>1</v>
      </c>
    </row>
    <row r="1123" spans="1:21">
      <c r="A1123" s="4">
        <v>2513</v>
      </c>
      <c r="B1123" s="7" t="str">
        <f>VLOOKUP($A1123,SkillEnum!$A$2:$C$1020,2,FALSE)</f>
        <v>SI_SA_ROT_VALKYRIESJAVELIN</v>
      </c>
      <c r="C1123" s="7">
        <v>7</v>
      </c>
      <c r="D1123" s="2" t="str">
        <f>VLOOKUP($C1123,SkillEnum!$D$2:$E$10,2,FALSE)</f>
        <v>ST_SPECIAL_ACTIVE</v>
      </c>
      <c r="E1123" s="7" t="str">
        <f>VLOOKUP($A1123,SkillEnum!$A$2:$C$1020,3,FALSE)</f>
        <v>발키리스 자벨린</v>
      </c>
      <c r="F1123" s="7" t="str">
        <f t="shared" ref="F1123:F1131" si="152">"공중에 5개의 물리 공격력의 "&amp;ROUND(4*H1123*100,0)&amp;"% 데미지를 주는 검은 창을 소환하여 바닥으로 떨어 뜨린다. 떨어진 창은 이내 폭발을 일으켜 마법공격력의 "&amp;ROUND(1*H1123*100,0)&amp;"%로 적들을 연속타격한다."</f>
        <v>공중에 5개의 물리 공격력의 336% 데미지를 주는 검은 창을 소환하여 바닥으로 떨어 뜨린다. 떨어진 창은 이내 폭발을 일으켜 마법공격력의 84%로 적들을 연속타격한다.</v>
      </c>
      <c r="G1123" s="2">
        <v>2</v>
      </c>
      <c r="H1123" s="2">
        <v>0.84</v>
      </c>
      <c r="I1123" s="2">
        <v>10</v>
      </c>
      <c r="J1123" s="2">
        <v>200</v>
      </c>
      <c r="K1123" s="2">
        <v>0</v>
      </c>
      <c r="L1123" s="2">
        <v>0</v>
      </c>
      <c r="M1123" s="2">
        <v>0</v>
      </c>
      <c r="N1123" s="2">
        <v>0</v>
      </c>
      <c r="O1123" s="2">
        <v>0</v>
      </c>
      <c r="P1123" s="2" t="s">
        <v>441</v>
      </c>
      <c r="Q1123" s="2" t="str">
        <f t="shared" si="151"/>
        <v>SI_SA_ROT_VALKYRIESJAVELIN</v>
      </c>
      <c r="R1123" s="2" t="b">
        <v>0</v>
      </c>
      <c r="S1123" s="2" t="b">
        <v>1</v>
      </c>
      <c r="T1123" s="2">
        <v>2</v>
      </c>
      <c r="U1123" s="2" t="b">
        <v>1</v>
      </c>
    </row>
    <row r="1124" spans="1:21">
      <c r="A1124" s="4">
        <v>2513</v>
      </c>
      <c r="B1124" s="7" t="str">
        <f>VLOOKUP($A1124,SkillEnum!$A$2:$C$1020,2,FALSE)</f>
        <v>SI_SA_ROT_VALKYRIESJAVELIN</v>
      </c>
      <c r="C1124" s="7">
        <v>7</v>
      </c>
      <c r="D1124" s="2" t="str">
        <f>VLOOKUP($C1124,SkillEnum!$D$2:$E$10,2,FALSE)</f>
        <v>ST_SPECIAL_ACTIVE</v>
      </c>
      <c r="E1124" s="7" t="str">
        <f>VLOOKUP($A1124,SkillEnum!$A$2:$C$1020,3,FALSE)</f>
        <v>발키리스 자벨린</v>
      </c>
      <c r="F1124" s="7" t="str">
        <f t="shared" si="152"/>
        <v>공중에 5개의 물리 공격력의 392% 데미지를 주는 검은 창을 소환하여 바닥으로 떨어 뜨린다. 떨어진 창은 이내 폭발을 일으켜 마법공격력의 98%로 적들을 연속타격한다.</v>
      </c>
      <c r="G1124" s="2">
        <v>3</v>
      </c>
      <c r="H1124" s="2">
        <v>0.98</v>
      </c>
      <c r="I1124" s="2">
        <v>10</v>
      </c>
      <c r="J1124" s="2">
        <v>200</v>
      </c>
      <c r="K1124" s="2">
        <v>0</v>
      </c>
      <c r="L1124" s="2">
        <v>0</v>
      </c>
      <c r="M1124" s="2">
        <v>0</v>
      </c>
      <c r="N1124" s="2">
        <v>0</v>
      </c>
      <c r="O1124" s="2">
        <v>0</v>
      </c>
      <c r="P1124" s="2" t="s">
        <v>441</v>
      </c>
      <c r="Q1124" s="2" t="str">
        <f t="shared" si="151"/>
        <v>SI_SA_ROT_VALKYRIESJAVELIN</v>
      </c>
      <c r="R1124" s="2" t="b">
        <v>0</v>
      </c>
      <c r="S1124" s="2" t="b">
        <v>1</v>
      </c>
      <c r="T1124" s="2">
        <v>2</v>
      </c>
      <c r="U1124" s="2" t="b">
        <v>1</v>
      </c>
    </row>
    <row r="1125" spans="1:21">
      <c r="A1125" s="4">
        <v>2513</v>
      </c>
      <c r="B1125" s="7" t="str">
        <f>VLOOKUP($A1125,SkillEnum!$A$2:$C$1020,2,FALSE)</f>
        <v>SI_SA_ROT_VALKYRIESJAVELIN</v>
      </c>
      <c r="C1125" s="7">
        <v>7</v>
      </c>
      <c r="D1125" s="2" t="str">
        <f>VLOOKUP($C1125,SkillEnum!$D$2:$E$10,2,FALSE)</f>
        <v>ST_SPECIAL_ACTIVE</v>
      </c>
      <c r="E1125" s="7" t="str">
        <f>VLOOKUP($A1125,SkillEnum!$A$2:$C$1020,3,FALSE)</f>
        <v>발키리스 자벨린</v>
      </c>
      <c r="F1125" s="7" t="str">
        <f t="shared" si="152"/>
        <v>공중에 5개의 물리 공격력의 448% 데미지를 주는 검은 창을 소환하여 바닥으로 떨어 뜨린다. 떨어진 창은 이내 폭발을 일으켜 마법공격력의 112%로 적들을 연속타격한다.</v>
      </c>
      <c r="G1125" s="2">
        <v>4</v>
      </c>
      <c r="H1125" s="2">
        <v>1.1200000000000001</v>
      </c>
      <c r="I1125" s="2">
        <v>10</v>
      </c>
      <c r="J1125" s="2">
        <v>200</v>
      </c>
      <c r="K1125" s="2">
        <v>0</v>
      </c>
      <c r="L1125" s="2">
        <v>0</v>
      </c>
      <c r="M1125" s="2">
        <v>0</v>
      </c>
      <c r="N1125" s="2">
        <v>0</v>
      </c>
      <c r="O1125" s="2">
        <v>0</v>
      </c>
      <c r="P1125" s="2" t="s">
        <v>441</v>
      </c>
      <c r="Q1125" s="2" t="str">
        <f t="shared" si="151"/>
        <v>SI_SA_ROT_VALKYRIESJAVELIN</v>
      </c>
      <c r="R1125" s="2" t="b">
        <v>0</v>
      </c>
      <c r="S1125" s="2" t="b">
        <v>1</v>
      </c>
      <c r="T1125" s="2">
        <v>2</v>
      </c>
      <c r="U1125" s="2" t="b">
        <v>1</v>
      </c>
    </row>
    <row r="1126" spans="1:21">
      <c r="A1126" s="4">
        <v>2513</v>
      </c>
      <c r="B1126" s="7" t="str">
        <f>VLOOKUP($A1126,SkillEnum!$A$2:$C$1020,2,FALSE)</f>
        <v>SI_SA_ROT_VALKYRIESJAVELIN</v>
      </c>
      <c r="C1126" s="7">
        <v>7</v>
      </c>
      <c r="D1126" s="2" t="str">
        <f>VLOOKUP($C1126,SkillEnum!$D$2:$E$10,2,FALSE)</f>
        <v>ST_SPECIAL_ACTIVE</v>
      </c>
      <c r="E1126" s="7" t="str">
        <f>VLOOKUP($A1126,SkillEnum!$A$2:$C$1020,3,FALSE)</f>
        <v>발키리스 자벨린</v>
      </c>
      <c r="F1126" s="7" t="str">
        <f t="shared" si="152"/>
        <v>공중에 5개의 물리 공격력의 532% 데미지를 주는 검은 창을 소환하여 바닥으로 떨어 뜨린다. 떨어진 창은 이내 폭발을 일으켜 마법공격력의 133%로 적들을 연속타격한다.</v>
      </c>
      <c r="G1126" s="2">
        <v>5</v>
      </c>
      <c r="H1126" s="2">
        <v>1.33</v>
      </c>
      <c r="I1126" s="2">
        <v>10</v>
      </c>
      <c r="J1126" s="2">
        <v>200</v>
      </c>
      <c r="K1126" s="2">
        <v>0</v>
      </c>
      <c r="L1126" s="2">
        <v>0</v>
      </c>
      <c r="M1126" s="2">
        <v>0</v>
      </c>
      <c r="N1126" s="2">
        <v>0</v>
      </c>
      <c r="O1126" s="2">
        <v>0</v>
      </c>
      <c r="P1126" s="2" t="s">
        <v>441</v>
      </c>
      <c r="Q1126" s="2" t="str">
        <f t="shared" si="151"/>
        <v>SI_SA_ROT_VALKYRIESJAVELIN</v>
      </c>
      <c r="R1126" s="2" t="b">
        <v>0</v>
      </c>
      <c r="S1126" s="2" t="b">
        <v>1</v>
      </c>
      <c r="T1126" s="2">
        <v>2</v>
      </c>
      <c r="U1126" s="2" t="b">
        <v>1</v>
      </c>
    </row>
    <row r="1127" spans="1:21">
      <c r="A1127" s="4">
        <v>2513</v>
      </c>
      <c r="B1127" s="7" t="str">
        <f>VLOOKUP($A1127,SkillEnum!$A$2:$C$1020,2,FALSE)</f>
        <v>SI_SA_ROT_VALKYRIESJAVELIN</v>
      </c>
      <c r="C1127" s="7">
        <v>7</v>
      </c>
      <c r="D1127" s="2" t="str">
        <f>VLOOKUP($C1127,SkillEnum!$D$2:$E$10,2,FALSE)</f>
        <v>ST_SPECIAL_ACTIVE</v>
      </c>
      <c r="E1127" s="7" t="str">
        <f>VLOOKUP($A1127,SkillEnum!$A$2:$C$1020,3,FALSE)</f>
        <v>발키리스 자벨린</v>
      </c>
      <c r="F1127" s="7" t="str">
        <f t="shared" si="152"/>
        <v>공중에 5개의 물리 공격력의 616% 데미지를 주는 검은 창을 소환하여 바닥으로 떨어 뜨린다. 떨어진 창은 이내 폭발을 일으켜 마법공격력의 154%로 적들을 연속타격한다.</v>
      </c>
      <c r="G1127" s="2">
        <v>6</v>
      </c>
      <c r="H1127" s="2">
        <v>1.54</v>
      </c>
      <c r="I1127" s="2">
        <v>10</v>
      </c>
      <c r="J1127" s="2">
        <v>200</v>
      </c>
      <c r="K1127" s="2">
        <v>0</v>
      </c>
      <c r="L1127" s="2">
        <v>0</v>
      </c>
      <c r="M1127" s="2">
        <v>0</v>
      </c>
      <c r="N1127" s="2">
        <v>0</v>
      </c>
      <c r="O1127" s="2">
        <v>0</v>
      </c>
      <c r="P1127" s="2" t="s">
        <v>441</v>
      </c>
      <c r="Q1127" s="2" t="str">
        <f t="shared" si="151"/>
        <v>SI_SA_ROT_VALKYRIESJAVELIN</v>
      </c>
      <c r="R1127" s="2" t="b">
        <v>0</v>
      </c>
      <c r="S1127" s="2" t="b">
        <v>1</v>
      </c>
      <c r="T1127" s="2">
        <v>2</v>
      </c>
      <c r="U1127" s="2" t="b">
        <v>1</v>
      </c>
    </row>
    <row r="1128" spans="1:21">
      <c r="A1128" s="4">
        <v>2513</v>
      </c>
      <c r="B1128" s="7" t="str">
        <f>VLOOKUP($A1128,SkillEnum!$A$2:$C$1020,2,FALSE)</f>
        <v>SI_SA_ROT_VALKYRIESJAVELIN</v>
      </c>
      <c r="C1128" s="7">
        <v>7</v>
      </c>
      <c r="D1128" s="2" t="str">
        <f>VLOOKUP($C1128,SkillEnum!$D$2:$E$10,2,FALSE)</f>
        <v>ST_SPECIAL_ACTIVE</v>
      </c>
      <c r="E1128" s="7" t="str">
        <f>VLOOKUP($A1128,SkillEnum!$A$2:$C$1020,3,FALSE)</f>
        <v>발키리스 자벨린</v>
      </c>
      <c r="F1128" s="7" t="str">
        <f t="shared" si="152"/>
        <v>공중에 5개의 물리 공격력의 700% 데미지를 주는 검은 창을 소환하여 바닥으로 떨어 뜨린다. 떨어진 창은 이내 폭발을 일으켜 마법공격력의 175%로 적들을 연속타격한다.</v>
      </c>
      <c r="G1128" s="2">
        <v>7</v>
      </c>
      <c r="H1128" s="2">
        <v>1.75</v>
      </c>
      <c r="I1128" s="2">
        <v>10</v>
      </c>
      <c r="J1128" s="2">
        <v>200</v>
      </c>
      <c r="K1128" s="2">
        <v>0</v>
      </c>
      <c r="L1128" s="2">
        <v>0</v>
      </c>
      <c r="M1128" s="2">
        <v>0</v>
      </c>
      <c r="N1128" s="2">
        <v>0</v>
      </c>
      <c r="O1128" s="2">
        <v>0</v>
      </c>
      <c r="P1128" s="2" t="s">
        <v>441</v>
      </c>
      <c r="Q1128" s="2" t="str">
        <f t="shared" si="151"/>
        <v>SI_SA_ROT_VALKYRIESJAVELIN</v>
      </c>
      <c r="R1128" s="2" t="b">
        <v>0</v>
      </c>
      <c r="S1128" s="2" t="b">
        <v>1</v>
      </c>
      <c r="T1128" s="2">
        <v>2</v>
      </c>
      <c r="U1128" s="2" t="b">
        <v>1</v>
      </c>
    </row>
    <row r="1129" spans="1:21">
      <c r="A1129" s="4">
        <v>2513</v>
      </c>
      <c r="B1129" s="7" t="str">
        <f>VLOOKUP($A1129,SkillEnum!$A$2:$C$1020,2,FALSE)</f>
        <v>SI_SA_ROT_VALKYRIESJAVELIN</v>
      </c>
      <c r="C1129" s="7">
        <v>7</v>
      </c>
      <c r="D1129" s="2" t="str">
        <f>VLOOKUP($C1129,SkillEnum!$D$2:$E$10,2,FALSE)</f>
        <v>ST_SPECIAL_ACTIVE</v>
      </c>
      <c r="E1129" s="7" t="str">
        <f>VLOOKUP($A1129,SkillEnum!$A$2:$C$1020,3,FALSE)</f>
        <v>발키리스 자벨린</v>
      </c>
      <c r="F1129" s="7" t="str">
        <f t="shared" si="152"/>
        <v>공중에 5개의 물리 공격력의 784% 데미지를 주는 검은 창을 소환하여 바닥으로 떨어 뜨린다. 떨어진 창은 이내 폭발을 일으켜 마법공격력의 196%로 적들을 연속타격한다.</v>
      </c>
      <c r="G1129" s="2">
        <v>8</v>
      </c>
      <c r="H1129" s="2">
        <v>1.96</v>
      </c>
      <c r="I1129" s="2">
        <v>10</v>
      </c>
      <c r="J1129" s="2">
        <v>200</v>
      </c>
      <c r="K1129" s="2">
        <v>0</v>
      </c>
      <c r="L1129" s="2">
        <v>0</v>
      </c>
      <c r="M1129" s="2">
        <v>0</v>
      </c>
      <c r="N1129" s="2">
        <v>0</v>
      </c>
      <c r="O1129" s="2">
        <v>0</v>
      </c>
      <c r="P1129" s="2" t="s">
        <v>441</v>
      </c>
      <c r="Q1129" s="2" t="str">
        <f t="shared" si="151"/>
        <v>SI_SA_ROT_VALKYRIESJAVELIN</v>
      </c>
      <c r="R1129" s="2" t="b">
        <v>0</v>
      </c>
      <c r="S1129" s="2" t="b">
        <v>1</v>
      </c>
      <c r="T1129" s="2">
        <v>2</v>
      </c>
      <c r="U1129" s="2" t="b">
        <v>1</v>
      </c>
    </row>
    <row r="1130" spans="1:21">
      <c r="A1130" s="4">
        <v>2513</v>
      </c>
      <c r="B1130" s="7" t="str">
        <f>VLOOKUP($A1130,SkillEnum!$A$2:$C$1020,2,FALSE)</f>
        <v>SI_SA_ROT_VALKYRIESJAVELIN</v>
      </c>
      <c r="C1130" s="7">
        <v>7</v>
      </c>
      <c r="D1130" s="2" t="str">
        <f>VLOOKUP($C1130,SkillEnum!$D$2:$E$10,2,FALSE)</f>
        <v>ST_SPECIAL_ACTIVE</v>
      </c>
      <c r="E1130" s="7" t="str">
        <f>VLOOKUP($A1130,SkillEnum!$A$2:$C$1020,3,FALSE)</f>
        <v>발키리스 자벨린</v>
      </c>
      <c r="F1130" s="7" t="str">
        <f t="shared" si="152"/>
        <v>공중에 5개의 물리 공격력의 896% 데미지를 주는 검은 창을 소환하여 바닥으로 떨어 뜨린다. 떨어진 창은 이내 폭발을 일으켜 마법공격력의 224%로 적들을 연속타격한다.</v>
      </c>
      <c r="G1130" s="2">
        <v>9</v>
      </c>
      <c r="H1130" s="2">
        <v>2.2400000000000002</v>
      </c>
      <c r="I1130" s="2">
        <v>10</v>
      </c>
      <c r="J1130" s="2">
        <v>200</v>
      </c>
      <c r="K1130" s="2">
        <v>0</v>
      </c>
      <c r="L1130" s="2">
        <v>0</v>
      </c>
      <c r="M1130" s="2">
        <v>0</v>
      </c>
      <c r="N1130" s="2">
        <v>0</v>
      </c>
      <c r="O1130" s="2">
        <v>0</v>
      </c>
      <c r="P1130" s="2" t="s">
        <v>441</v>
      </c>
      <c r="Q1130" s="2" t="str">
        <f t="shared" si="151"/>
        <v>SI_SA_ROT_VALKYRIESJAVELIN</v>
      </c>
      <c r="R1130" s="2" t="b">
        <v>0</v>
      </c>
      <c r="S1130" s="2" t="b">
        <v>1</v>
      </c>
      <c r="T1130" s="2">
        <v>2</v>
      </c>
      <c r="U1130" s="2" t="b">
        <v>1</v>
      </c>
    </row>
    <row r="1131" spans="1:21" s="5" customFormat="1">
      <c r="A1131" s="6">
        <v>2513</v>
      </c>
      <c r="B1131" s="8" t="str">
        <f>VLOOKUP($A1131,SkillEnum!$A$2:$C$1020,2,FALSE)</f>
        <v>SI_SA_ROT_VALKYRIESJAVELIN</v>
      </c>
      <c r="C1131" s="8">
        <v>7</v>
      </c>
      <c r="D1131" s="5" t="str">
        <f>VLOOKUP($C1131,SkillEnum!$D$2:$E$10,2,FALSE)</f>
        <v>ST_SPECIAL_ACTIVE</v>
      </c>
      <c r="E1131" s="8" t="str">
        <f>VLOOKUP($A1131,SkillEnum!$A$2:$C$1020,3,FALSE)</f>
        <v>발키리스 자벨린</v>
      </c>
      <c r="F1131" s="8" t="str">
        <f t="shared" si="152"/>
        <v>공중에 5개의 물리 공격력의 1008% 데미지를 주는 검은 창을 소환하여 바닥으로 떨어 뜨린다. 떨어진 창은 이내 폭발을 일으켜 마법공격력의 252%로 적들을 연속타격한다.</v>
      </c>
      <c r="G1131" s="5">
        <v>10</v>
      </c>
      <c r="H1131" s="5">
        <v>2.52</v>
      </c>
      <c r="I1131" s="5">
        <v>10</v>
      </c>
      <c r="J1131" s="5">
        <v>200</v>
      </c>
      <c r="K1131" s="5">
        <v>0</v>
      </c>
      <c r="L1131" s="5">
        <v>0</v>
      </c>
      <c r="M1131" s="5">
        <v>0</v>
      </c>
      <c r="N1131" s="5">
        <v>0</v>
      </c>
      <c r="O1131" s="5">
        <v>0</v>
      </c>
      <c r="P1131" s="2" t="s">
        <v>441</v>
      </c>
      <c r="Q1131" s="2" t="str">
        <f t="shared" si="151"/>
        <v>SI_SA_ROT_VALKYRIESJAVELIN</v>
      </c>
      <c r="R1131" s="5" t="b">
        <v>0</v>
      </c>
      <c r="S1131" s="2" t="b">
        <v>1</v>
      </c>
      <c r="T1131" s="2">
        <v>2</v>
      </c>
      <c r="U1131" s="2" t="b">
        <v>1</v>
      </c>
    </row>
    <row r="1132" spans="1:21" s="10" customFormat="1">
      <c r="A1132" s="9">
        <v>2700</v>
      </c>
      <c r="B1132" s="11" t="str">
        <f>VLOOKUP($A1132,SkillEnum!$A$2:$C$1020,2,FALSE)</f>
        <v>SI_A_RF_BURNING_RUSH</v>
      </c>
      <c r="C1132" s="11">
        <v>6</v>
      </c>
      <c r="D1132" s="10" t="str">
        <f>VLOOKUP($C1132,SkillEnum!$D$2:$E$10,2,FALSE)</f>
        <v>ST_ACTIVE</v>
      </c>
      <c r="E1132" s="36" t="str">
        <f>VLOOKUP($A1132,SkillEnum!$A$2:$C$1020,3,FALSE)</f>
        <v>버닝 러시</v>
      </c>
      <c r="F1132" s="11" t="str">
        <f>"빠른속도로 돌진하여 물리공격력의 "&amp;ROUND(1*H1132*100,0)&amp;" % 데미지를 주고 적을 밀쳐 낸다. (초당 70의 MP를 소모한다.)"</f>
        <v>빠른속도로 돌진하여 물리공격력의 100 % 데미지를 주고 적을 밀쳐 낸다. (초당 70의 MP를 소모한다.)</v>
      </c>
      <c r="G1132" s="10">
        <v>1</v>
      </c>
      <c r="H1132" s="2">
        <v>1</v>
      </c>
      <c r="I1132" s="2">
        <v>0</v>
      </c>
      <c r="J1132" s="10">
        <v>10</v>
      </c>
      <c r="K1132" s="2">
        <v>0</v>
      </c>
      <c r="L1132" s="2">
        <v>0</v>
      </c>
      <c r="M1132" s="2">
        <v>0</v>
      </c>
      <c r="N1132" s="2">
        <v>0</v>
      </c>
      <c r="O1132" s="2">
        <v>0</v>
      </c>
      <c r="P1132" s="2" t="s">
        <v>441</v>
      </c>
      <c r="Q1132" s="2" t="str">
        <f t="shared" si="146"/>
        <v>SI_A_RF_BURNING_RUSH</v>
      </c>
      <c r="R1132" s="2" t="b">
        <v>0</v>
      </c>
      <c r="S1132" s="2" t="b">
        <v>0</v>
      </c>
      <c r="T1132" s="2">
        <v>1</v>
      </c>
      <c r="U1132" s="2"/>
    </row>
    <row r="1133" spans="1:21">
      <c r="A1133" s="4">
        <v>2700</v>
      </c>
      <c r="B1133" s="7" t="str">
        <f>VLOOKUP($A1133,SkillEnum!$A$2:$C$1020,2,FALSE)</f>
        <v>SI_A_RF_BURNING_RUSH</v>
      </c>
      <c r="C1133" s="7">
        <v>6</v>
      </c>
      <c r="D1133" s="2" t="str">
        <f>VLOOKUP($C1133,SkillEnum!$D$2:$E$10,2,FALSE)</f>
        <v>ST_ACTIVE</v>
      </c>
      <c r="E1133" s="37" t="str">
        <f>VLOOKUP($A1133,SkillEnum!$A$2:$C$1020,3,FALSE)</f>
        <v>버닝 러시</v>
      </c>
      <c r="F1133" s="7" t="str">
        <f t="shared" ref="F1133:F1141" si="153">"빠른속도로 돌진하여 물리공격력의 "&amp;ROUND(1*H1133*100,0)&amp;" % 데미지를 주고 적을 밀쳐 낸다. (초당 70의 MP를 소모한다.)"</f>
        <v>빠른속도로 돌진하여 물리공격력의 100 % 데미지를 주고 적을 밀쳐 낸다. (초당 70의 MP를 소모한다.)</v>
      </c>
      <c r="G1133" s="2">
        <v>2</v>
      </c>
      <c r="H1133" s="2">
        <v>1</v>
      </c>
      <c r="I1133" s="2">
        <v>0</v>
      </c>
      <c r="J1133" s="2">
        <v>10</v>
      </c>
      <c r="K1133" s="2">
        <v>0</v>
      </c>
      <c r="L1133" s="2">
        <v>0</v>
      </c>
      <c r="M1133" s="2">
        <v>0</v>
      </c>
      <c r="N1133" s="2">
        <v>0</v>
      </c>
      <c r="O1133" s="2">
        <v>0</v>
      </c>
      <c r="P1133" s="2" t="s">
        <v>441</v>
      </c>
      <c r="Q1133" s="2" t="str">
        <f t="shared" si="146"/>
        <v>SI_A_RF_BURNING_RUSH</v>
      </c>
      <c r="R1133" s="2" t="b">
        <v>0</v>
      </c>
      <c r="S1133" s="2" t="b">
        <v>0</v>
      </c>
      <c r="T1133" s="2">
        <v>1</v>
      </c>
    </row>
    <row r="1134" spans="1:21">
      <c r="A1134" s="4">
        <v>2700</v>
      </c>
      <c r="B1134" s="7" t="str">
        <f>VLOOKUP($A1134,SkillEnum!$A$2:$C$1020,2,FALSE)</f>
        <v>SI_A_RF_BURNING_RUSH</v>
      </c>
      <c r="C1134" s="7">
        <v>6</v>
      </c>
      <c r="D1134" s="2" t="str">
        <f>VLOOKUP($C1134,SkillEnum!$D$2:$E$10,2,FALSE)</f>
        <v>ST_ACTIVE</v>
      </c>
      <c r="E1134" s="37" t="str">
        <f>VLOOKUP($A1134,SkillEnum!$A$2:$C$1020,3,FALSE)</f>
        <v>버닝 러시</v>
      </c>
      <c r="F1134" s="7" t="str">
        <f t="shared" si="153"/>
        <v>빠른속도로 돌진하여 물리공격력의 100 % 데미지를 주고 적을 밀쳐 낸다. (초당 70의 MP를 소모한다.)</v>
      </c>
      <c r="G1134" s="2">
        <v>3</v>
      </c>
      <c r="H1134" s="2">
        <v>1</v>
      </c>
      <c r="I1134" s="2">
        <v>0</v>
      </c>
      <c r="J1134" s="2">
        <v>10</v>
      </c>
      <c r="K1134" s="2">
        <v>0</v>
      </c>
      <c r="L1134" s="2">
        <v>0</v>
      </c>
      <c r="M1134" s="2">
        <v>0</v>
      </c>
      <c r="N1134" s="2">
        <v>0</v>
      </c>
      <c r="O1134" s="2">
        <v>0</v>
      </c>
      <c r="P1134" s="2" t="s">
        <v>441</v>
      </c>
      <c r="Q1134" s="2" t="str">
        <f t="shared" si="146"/>
        <v>SI_A_RF_BURNING_RUSH</v>
      </c>
      <c r="R1134" s="2" t="b">
        <v>0</v>
      </c>
      <c r="S1134" s="2" t="b">
        <v>0</v>
      </c>
      <c r="T1134" s="2">
        <v>1</v>
      </c>
    </row>
    <row r="1135" spans="1:21">
      <c r="A1135" s="4">
        <v>2700</v>
      </c>
      <c r="B1135" s="7" t="str">
        <f>VLOOKUP($A1135,SkillEnum!$A$2:$C$1020,2,FALSE)</f>
        <v>SI_A_RF_BURNING_RUSH</v>
      </c>
      <c r="C1135" s="7">
        <v>6</v>
      </c>
      <c r="D1135" s="2" t="str">
        <f>VLOOKUP($C1135,SkillEnum!$D$2:$E$10,2,FALSE)</f>
        <v>ST_ACTIVE</v>
      </c>
      <c r="E1135" s="37" t="str">
        <f>VLOOKUP($A1135,SkillEnum!$A$2:$C$1020,3,FALSE)</f>
        <v>버닝 러시</v>
      </c>
      <c r="F1135" s="7" t="str">
        <f t="shared" si="153"/>
        <v>빠른속도로 돌진하여 물리공격력의 100 % 데미지를 주고 적을 밀쳐 낸다. (초당 70의 MP를 소모한다.)</v>
      </c>
      <c r="G1135" s="2">
        <v>4</v>
      </c>
      <c r="H1135" s="2">
        <v>1</v>
      </c>
      <c r="I1135" s="2">
        <v>0</v>
      </c>
      <c r="J1135" s="2">
        <v>10</v>
      </c>
      <c r="K1135" s="2">
        <v>0</v>
      </c>
      <c r="L1135" s="2">
        <v>0</v>
      </c>
      <c r="M1135" s="2">
        <v>0</v>
      </c>
      <c r="N1135" s="2">
        <v>0</v>
      </c>
      <c r="O1135" s="2">
        <v>0</v>
      </c>
      <c r="P1135" s="2" t="s">
        <v>441</v>
      </c>
      <c r="Q1135" s="2" t="str">
        <f t="shared" si="146"/>
        <v>SI_A_RF_BURNING_RUSH</v>
      </c>
      <c r="R1135" s="2" t="b">
        <v>0</v>
      </c>
      <c r="S1135" s="2" t="b">
        <v>0</v>
      </c>
      <c r="T1135" s="2">
        <v>1</v>
      </c>
    </row>
    <row r="1136" spans="1:21">
      <c r="A1136" s="4">
        <v>2700</v>
      </c>
      <c r="B1136" s="7" t="str">
        <f>VLOOKUP($A1136,SkillEnum!$A$2:$C$1020,2,FALSE)</f>
        <v>SI_A_RF_BURNING_RUSH</v>
      </c>
      <c r="C1136" s="7">
        <v>6</v>
      </c>
      <c r="D1136" s="2" t="str">
        <f>VLOOKUP($C1136,SkillEnum!$D$2:$E$10,2,FALSE)</f>
        <v>ST_ACTIVE</v>
      </c>
      <c r="E1136" s="37" t="str">
        <f>VLOOKUP($A1136,SkillEnum!$A$2:$C$1020,3,FALSE)</f>
        <v>버닝 러시</v>
      </c>
      <c r="F1136" s="7" t="str">
        <f t="shared" si="153"/>
        <v>빠른속도로 돌진하여 물리공격력의 100 % 데미지를 주고 적을 밀쳐 낸다. (초당 70의 MP를 소모한다.)</v>
      </c>
      <c r="G1136" s="2">
        <v>5</v>
      </c>
      <c r="H1136" s="2">
        <v>1</v>
      </c>
      <c r="I1136" s="2">
        <v>0</v>
      </c>
      <c r="J1136" s="2">
        <v>10</v>
      </c>
      <c r="K1136" s="2">
        <v>0</v>
      </c>
      <c r="L1136" s="2">
        <v>0</v>
      </c>
      <c r="M1136" s="2">
        <v>0</v>
      </c>
      <c r="N1136" s="2">
        <v>0</v>
      </c>
      <c r="O1136" s="2">
        <v>0</v>
      </c>
      <c r="P1136" s="2" t="s">
        <v>441</v>
      </c>
      <c r="Q1136" s="2" t="str">
        <f t="shared" si="146"/>
        <v>SI_A_RF_BURNING_RUSH</v>
      </c>
      <c r="R1136" s="2" t="b">
        <v>0</v>
      </c>
      <c r="S1136" s="2" t="b">
        <v>0</v>
      </c>
      <c r="T1136" s="2">
        <v>1</v>
      </c>
    </row>
    <row r="1137" spans="1:23">
      <c r="A1137" s="4">
        <v>2700</v>
      </c>
      <c r="B1137" s="7" t="str">
        <f>VLOOKUP($A1137,SkillEnum!$A$2:$C$1020,2,FALSE)</f>
        <v>SI_A_RF_BURNING_RUSH</v>
      </c>
      <c r="C1137" s="7">
        <v>6</v>
      </c>
      <c r="D1137" s="2" t="str">
        <f>VLOOKUP($C1137,SkillEnum!$D$2:$E$10,2,FALSE)</f>
        <v>ST_ACTIVE</v>
      </c>
      <c r="E1137" s="37" t="str">
        <f>VLOOKUP($A1137,SkillEnum!$A$2:$C$1020,3,FALSE)</f>
        <v>버닝 러시</v>
      </c>
      <c r="F1137" s="7" t="str">
        <f t="shared" si="153"/>
        <v>빠른속도로 돌진하여 물리공격력의 100 % 데미지를 주고 적을 밀쳐 낸다. (초당 70의 MP를 소모한다.)</v>
      </c>
      <c r="G1137" s="2">
        <v>6</v>
      </c>
      <c r="H1137" s="2">
        <v>1</v>
      </c>
      <c r="I1137" s="2">
        <v>0</v>
      </c>
      <c r="J1137" s="2">
        <v>10</v>
      </c>
      <c r="K1137" s="2">
        <v>0</v>
      </c>
      <c r="L1137" s="2">
        <v>0</v>
      </c>
      <c r="M1137" s="2">
        <v>0</v>
      </c>
      <c r="N1137" s="2">
        <v>0</v>
      </c>
      <c r="O1137" s="2">
        <v>0</v>
      </c>
      <c r="P1137" s="2" t="s">
        <v>441</v>
      </c>
      <c r="Q1137" s="2" t="str">
        <f t="shared" si="146"/>
        <v>SI_A_RF_BURNING_RUSH</v>
      </c>
      <c r="R1137" s="2" t="b">
        <v>0</v>
      </c>
      <c r="S1137" s="2" t="b">
        <v>0</v>
      </c>
      <c r="T1137" s="2">
        <v>1</v>
      </c>
    </row>
    <row r="1138" spans="1:23">
      <c r="A1138" s="4">
        <v>2700</v>
      </c>
      <c r="B1138" s="7" t="str">
        <f>VLOOKUP($A1138,SkillEnum!$A$2:$C$1020,2,FALSE)</f>
        <v>SI_A_RF_BURNING_RUSH</v>
      </c>
      <c r="C1138" s="7">
        <v>6</v>
      </c>
      <c r="D1138" s="2" t="str">
        <f>VLOOKUP($C1138,SkillEnum!$D$2:$E$10,2,FALSE)</f>
        <v>ST_ACTIVE</v>
      </c>
      <c r="E1138" s="37" t="str">
        <f>VLOOKUP($A1138,SkillEnum!$A$2:$C$1020,3,FALSE)</f>
        <v>버닝 러시</v>
      </c>
      <c r="F1138" s="7" t="str">
        <f t="shared" si="153"/>
        <v>빠른속도로 돌진하여 물리공격력의 100 % 데미지를 주고 적을 밀쳐 낸다. (초당 70의 MP를 소모한다.)</v>
      </c>
      <c r="G1138" s="2">
        <v>7</v>
      </c>
      <c r="H1138" s="2">
        <v>1</v>
      </c>
      <c r="I1138" s="2">
        <v>0</v>
      </c>
      <c r="J1138" s="2">
        <v>10</v>
      </c>
      <c r="K1138" s="2">
        <v>0</v>
      </c>
      <c r="L1138" s="2">
        <v>0</v>
      </c>
      <c r="M1138" s="2">
        <v>0</v>
      </c>
      <c r="N1138" s="2">
        <v>0</v>
      </c>
      <c r="O1138" s="2">
        <v>0</v>
      </c>
      <c r="P1138" s="2" t="s">
        <v>441</v>
      </c>
      <c r="Q1138" s="2" t="str">
        <f t="shared" si="146"/>
        <v>SI_A_RF_BURNING_RUSH</v>
      </c>
      <c r="R1138" s="2" t="b">
        <v>0</v>
      </c>
      <c r="S1138" s="2" t="b">
        <v>0</v>
      </c>
      <c r="T1138" s="2">
        <v>1</v>
      </c>
    </row>
    <row r="1139" spans="1:23">
      <c r="A1139" s="4">
        <v>2700</v>
      </c>
      <c r="B1139" s="7" t="str">
        <f>VLOOKUP($A1139,SkillEnum!$A$2:$C$1020,2,FALSE)</f>
        <v>SI_A_RF_BURNING_RUSH</v>
      </c>
      <c r="C1139" s="7">
        <v>6</v>
      </c>
      <c r="D1139" s="2" t="str">
        <f>VLOOKUP($C1139,SkillEnum!$D$2:$E$10,2,FALSE)</f>
        <v>ST_ACTIVE</v>
      </c>
      <c r="E1139" s="37" t="str">
        <f>VLOOKUP($A1139,SkillEnum!$A$2:$C$1020,3,FALSE)</f>
        <v>버닝 러시</v>
      </c>
      <c r="F1139" s="7" t="str">
        <f t="shared" si="153"/>
        <v>빠른속도로 돌진하여 물리공격력의 100 % 데미지를 주고 적을 밀쳐 낸다. (초당 70의 MP를 소모한다.)</v>
      </c>
      <c r="G1139" s="2">
        <v>8</v>
      </c>
      <c r="H1139" s="2">
        <v>1</v>
      </c>
      <c r="I1139" s="2">
        <v>0</v>
      </c>
      <c r="J1139" s="2">
        <v>10</v>
      </c>
      <c r="K1139" s="2">
        <v>0</v>
      </c>
      <c r="L1139" s="2">
        <v>0</v>
      </c>
      <c r="M1139" s="2">
        <v>0</v>
      </c>
      <c r="N1139" s="2">
        <v>0</v>
      </c>
      <c r="O1139" s="2">
        <v>0</v>
      </c>
      <c r="P1139" s="2" t="s">
        <v>441</v>
      </c>
      <c r="Q1139" s="2" t="str">
        <f t="shared" si="146"/>
        <v>SI_A_RF_BURNING_RUSH</v>
      </c>
      <c r="R1139" s="2" t="b">
        <v>0</v>
      </c>
      <c r="S1139" s="2" t="b">
        <v>0</v>
      </c>
      <c r="T1139" s="2">
        <v>1</v>
      </c>
    </row>
    <row r="1140" spans="1:23">
      <c r="A1140" s="4">
        <v>2700</v>
      </c>
      <c r="B1140" s="7" t="str">
        <f>VLOOKUP($A1140,SkillEnum!$A$2:$C$1020,2,FALSE)</f>
        <v>SI_A_RF_BURNING_RUSH</v>
      </c>
      <c r="C1140" s="7">
        <v>6</v>
      </c>
      <c r="D1140" s="2" t="str">
        <f>VLOOKUP($C1140,SkillEnum!$D$2:$E$10,2,FALSE)</f>
        <v>ST_ACTIVE</v>
      </c>
      <c r="E1140" s="37" t="str">
        <f>VLOOKUP($A1140,SkillEnum!$A$2:$C$1020,3,FALSE)</f>
        <v>버닝 러시</v>
      </c>
      <c r="F1140" s="7" t="str">
        <f t="shared" si="153"/>
        <v>빠른속도로 돌진하여 물리공격력의 100 % 데미지를 주고 적을 밀쳐 낸다. (초당 70의 MP를 소모한다.)</v>
      </c>
      <c r="G1140" s="2">
        <v>9</v>
      </c>
      <c r="H1140" s="2">
        <v>1</v>
      </c>
      <c r="I1140" s="2">
        <v>0</v>
      </c>
      <c r="J1140" s="2">
        <v>10</v>
      </c>
      <c r="K1140" s="2">
        <v>0</v>
      </c>
      <c r="L1140" s="2">
        <v>0</v>
      </c>
      <c r="M1140" s="2">
        <v>0</v>
      </c>
      <c r="N1140" s="2">
        <v>0</v>
      </c>
      <c r="O1140" s="2">
        <v>0</v>
      </c>
      <c r="P1140" s="2" t="s">
        <v>441</v>
      </c>
      <c r="Q1140" s="2" t="str">
        <f t="shared" si="146"/>
        <v>SI_A_RF_BURNING_RUSH</v>
      </c>
      <c r="R1140" s="2" t="b">
        <v>0</v>
      </c>
      <c r="S1140" s="2" t="b">
        <v>0</v>
      </c>
      <c r="T1140" s="2">
        <v>1</v>
      </c>
    </row>
    <row r="1141" spans="1:23" s="5" customFormat="1">
      <c r="A1141" s="6">
        <v>2700</v>
      </c>
      <c r="B1141" s="8" t="str">
        <f>VLOOKUP($A1141,SkillEnum!$A$2:$C$1020,2,FALSE)</f>
        <v>SI_A_RF_BURNING_RUSH</v>
      </c>
      <c r="C1141" s="8">
        <v>6</v>
      </c>
      <c r="D1141" s="5" t="str">
        <f>VLOOKUP($C1141,SkillEnum!$D$2:$E$10,2,FALSE)</f>
        <v>ST_ACTIVE</v>
      </c>
      <c r="E1141" s="38" t="str">
        <f>VLOOKUP($A1141,SkillEnum!$A$2:$C$1020,3,FALSE)</f>
        <v>버닝 러시</v>
      </c>
      <c r="F1141" s="8" t="str">
        <f t="shared" si="153"/>
        <v>빠른속도로 돌진하여 물리공격력의 100 % 데미지를 주고 적을 밀쳐 낸다. (초당 70의 MP를 소모한다.)</v>
      </c>
      <c r="G1141" s="5">
        <v>10</v>
      </c>
      <c r="H1141" s="5">
        <v>1</v>
      </c>
      <c r="I1141" s="5">
        <v>0</v>
      </c>
      <c r="J1141" s="5">
        <v>10</v>
      </c>
      <c r="K1141" s="5">
        <v>0</v>
      </c>
      <c r="L1141" s="5">
        <v>0</v>
      </c>
      <c r="M1141" s="5">
        <v>0</v>
      </c>
      <c r="N1141" s="5">
        <v>0</v>
      </c>
      <c r="O1141" s="5">
        <v>0</v>
      </c>
      <c r="P1141" s="2" t="s">
        <v>441</v>
      </c>
      <c r="Q1141" s="2" t="str">
        <f t="shared" si="146"/>
        <v>SI_A_RF_BURNING_RUSH</v>
      </c>
      <c r="R1141" s="5" t="b">
        <v>0</v>
      </c>
      <c r="S1141" s="2" t="b">
        <v>0</v>
      </c>
      <c r="T1141" s="2">
        <v>1</v>
      </c>
      <c r="U1141" s="2"/>
    </row>
    <row r="1142" spans="1:23" s="10" customFormat="1">
      <c r="A1142" s="9">
        <v>2701</v>
      </c>
      <c r="B1142" s="11" t="str">
        <f>VLOOKUP($A1142,SkillEnum!$A$2:$C$1020,2,FALSE)</f>
        <v>SI_A_RF_SHADOW_STEP</v>
      </c>
      <c r="C1142" s="11">
        <v>6</v>
      </c>
      <c r="D1142" s="10" t="str">
        <f>VLOOKUP($C1142,SkillEnum!$D$2:$E$10,2,FALSE)</f>
        <v>ST_ACTIVE</v>
      </c>
      <c r="E1142" s="11" t="str">
        <f>VLOOKUP($A1142,SkillEnum!$A$2:$C$1020,3,FALSE)</f>
        <v>섀도우 스탭</v>
      </c>
      <c r="F1142" s="7" t="str">
        <f t="shared" ref="F1142:F1151" si="154">"전방 "&amp;W1142&amp;" 미터 거리를 매우 빠른 속도로 회피 이동을 한다."</f>
        <v>전방 3 미터 거리를 매우 빠른 속도로 회피 이동을 한다.</v>
      </c>
      <c r="G1142" s="10">
        <v>1</v>
      </c>
      <c r="H1142" s="2">
        <v>1</v>
      </c>
      <c r="I1142" s="2">
        <v>5</v>
      </c>
      <c r="J1142" s="10">
        <v>40</v>
      </c>
      <c r="K1142" s="2">
        <v>0</v>
      </c>
      <c r="L1142" s="2">
        <v>0</v>
      </c>
      <c r="M1142" s="2">
        <v>0</v>
      </c>
      <c r="N1142" s="2">
        <v>0</v>
      </c>
      <c r="O1142" s="2">
        <v>0</v>
      </c>
      <c r="P1142" s="2" t="s">
        <v>441</v>
      </c>
      <c r="Q1142" s="2" t="str">
        <f t="shared" si="146"/>
        <v>SI_A_RF_SHADOW_STEP</v>
      </c>
      <c r="R1142" s="2" t="b">
        <v>0</v>
      </c>
      <c r="S1142" s="2" t="b">
        <v>1</v>
      </c>
      <c r="T1142" s="2">
        <v>1</v>
      </c>
      <c r="U1142" s="2"/>
      <c r="V1142" s="10" t="s">
        <v>261</v>
      </c>
      <c r="W1142" s="10">
        <v>3</v>
      </c>
    </row>
    <row r="1143" spans="1:23">
      <c r="A1143" s="4">
        <v>2701</v>
      </c>
      <c r="B1143" s="7" t="str">
        <f>VLOOKUP($A1143,SkillEnum!$A$2:$C$1020,2,FALSE)</f>
        <v>SI_A_RF_SHADOW_STEP</v>
      </c>
      <c r="C1143" s="7">
        <v>6</v>
      </c>
      <c r="D1143" s="2" t="str">
        <f>VLOOKUP($C1143,SkillEnum!$D$2:$E$10,2,FALSE)</f>
        <v>ST_ACTIVE</v>
      </c>
      <c r="E1143" s="7" t="str">
        <f>VLOOKUP($A1143,SkillEnum!$A$2:$C$1020,3,FALSE)</f>
        <v>섀도우 스탭</v>
      </c>
      <c r="F1143" s="7" t="str">
        <f t="shared" si="154"/>
        <v>전방 3 미터 거리를 매우 빠른 속도로 회피 이동을 한다.</v>
      </c>
      <c r="G1143" s="2">
        <v>2</v>
      </c>
      <c r="H1143" s="2">
        <v>1</v>
      </c>
      <c r="I1143" s="2">
        <v>5</v>
      </c>
      <c r="J1143" s="2">
        <v>35</v>
      </c>
      <c r="K1143" s="2">
        <v>0</v>
      </c>
      <c r="L1143" s="2">
        <v>0</v>
      </c>
      <c r="M1143" s="2">
        <v>0</v>
      </c>
      <c r="N1143" s="2">
        <v>0</v>
      </c>
      <c r="O1143" s="2">
        <v>0</v>
      </c>
      <c r="P1143" s="2" t="s">
        <v>441</v>
      </c>
      <c r="Q1143" s="2" t="str">
        <f t="shared" si="146"/>
        <v>SI_A_RF_SHADOW_STEP</v>
      </c>
      <c r="R1143" s="2" t="b">
        <v>0</v>
      </c>
      <c r="S1143" s="2" t="b">
        <v>1</v>
      </c>
      <c r="T1143" s="2">
        <v>1</v>
      </c>
      <c r="V1143" s="2" t="s">
        <v>261</v>
      </c>
      <c r="W1143" s="2">
        <v>3</v>
      </c>
    </row>
    <row r="1144" spans="1:23">
      <c r="A1144" s="4">
        <v>2701</v>
      </c>
      <c r="B1144" s="7" t="str">
        <f>VLOOKUP($A1144,SkillEnum!$A$2:$C$1020,2,FALSE)</f>
        <v>SI_A_RF_SHADOW_STEP</v>
      </c>
      <c r="C1144" s="7">
        <v>6</v>
      </c>
      <c r="D1144" s="2" t="str">
        <f>VLOOKUP($C1144,SkillEnum!$D$2:$E$10,2,FALSE)</f>
        <v>ST_ACTIVE</v>
      </c>
      <c r="E1144" s="7" t="str">
        <f>VLOOKUP($A1144,SkillEnum!$A$2:$C$1020,3,FALSE)</f>
        <v>섀도우 스탭</v>
      </c>
      <c r="F1144" s="7" t="str">
        <f t="shared" si="154"/>
        <v>전방 4 미터 거리를 매우 빠른 속도로 회피 이동을 한다.</v>
      </c>
      <c r="G1144" s="2">
        <v>3</v>
      </c>
      <c r="H1144" s="2">
        <v>1</v>
      </c>
      <c r="I1144" s="2">
        <v>5</v>
      </c>
      <c r="J1144" s="2">
        <v>35</v>
      </c>
      <c r="K1144" s="2">
        <v>0</v>
      </c>
      <c r="L1144" s="2">
        <v>0</v>
      </c>
      <c r="M1144" s="2">
        <v>0</v>
      </c>
      <c r="N1144" s="2">
        <v>0</v>
      </c>
      <c r="O1144" s="2">
        <v>0</v>
      </c>
      <c r="P1144" s="2" t="s">
        <v>441</v>
      </c>
      <c r="Q1144" s="2" t="str">
        <f t="shared" si="146"/>
        <v>SI_A_RF_SHADOW_STEP</v>
      </c>
      <c r="R1144" s="2" t="b">
        <v>0</v>
      </c>
      <c r="S1144" s="2" t="b">
        <v>1</v>
      </c>
      <c r="T1144" s="2">
        <v>1</v>
      </c>
      <c r="V1144" s="2" t="s">
        <v>261</v>
      </c>
      <c r="W1144" s="2">
        <v>4</v>
      </c>
    </row>
    <row r="1145" spans="1:23">
      <c r="A1145" s="4">
        <v>2701</v>
      </c>
      <c r="B1145" s="7" t="str">
        <f>VLOOKUP($A1145,SkillEnum!$A$2:$C$1020,2,FALSE)</f>
        <v>SI_A_RF_SHADOW_STEP</v>
      </c>
      <c r="C1145" s="7">
        <v>6</v>
      </c>
      <c r="D1145" s="2" t="str">
        <f>VLOOKUP($C1145,SkillEnum!$D$2:$E$10,2,FALSE)</f>
        <v>ST_ACTIVE</v>
      </c>
      <c r="E1145" s="7" t="str">
        <f>VLOOKUP($A1145,SkillEnum!$A$2:$C$1020,3,FALSE)</f>
        <v>섀도우 스탭</v>
      </c>
      <c r="F1145" s="7" t="str">
        <f t="shared" si="154"/>
        <v>전방 4 미터 거리를 매우 빠른 속도로 회피 이동을 한다.</v>
      </c>
      <c r="G1145" s="2">
        <v>4</v>
      </c>
      <c r="H1145" s="2">
        <v>1</v>
      </c>
      <c r="I1145" s="2">
        <v>5</v>
      </c>
      <c r="J1145" s="2">
        <v>30</v>
      </c>
      <c r="K1145" s="2">
        <v>0</v>
      </c>
      <c r="L1145" s="2">
        <v>0</v>
      </c>
      <c r="M1145" s="2">
        <v>0</v>
      </c>
      <c r="N1145" s="2">
        <v>0</v>
      </c>
      <c r="O1145" s="2">
        <v>0</v>
      </c>
      <c r="P1145" s="2" t="s">
        <v>441</v>
      </c>
      <c r="Q1145" s="2" t="str">
        <f t="shared" si="146"/>
        <v>SI_A_RF_SHADOW_STEP</v>
      </c>
      <c r="R1145" s="2" t="b">
        <v>0</v>
      </c>
      <c r="S1145" s="2" t="b">
        <v>1</v>
      </c>
      <c r="T1145" s="2">
        <v>1</v>
      </c>
      <c r="V1145" s="2" t="s">
        <v>261</v>
      </c>
      <c r="W1145" s="2">
        <v>4</v>
      </c>
    </row>
    <row r="1146" spans="1:23">
      <c r="A1146" s="4">
        <v>2701</v>
      </c>
      <c r="B1146" s="7" t="str">
        <f>VLOOKUP($A1146,SkillEnum!$A$2:$C$1020,2,FALSE)</f>
        <v>SI_A_RF_SHADOW_STEP</v>
      </c>
      <c r="C1146" s="7">
        <v>6</v>
      </c>
      <c r="D1146" s="2" t="str">
        <f>VLOOKUP($C1146,SkillEnum!$D$2:$E$10,2,FALSE)</f>
        <v>ST_ACTIVE</v>
      </c>
      <c r="E1146" s="7" t="str">
        <f>VLOOKUP($A1146,SkillEnum!$A$2:$C$1020,3,FALSE)</f>
        <v>섀도우 스탭</v>
      </c>
      <c r="F1146" s="7" t="str">
        <f t="shared" si="154"/>
        <v>전방 5 미터 거리를 매우 빠른 속도로 회피 이동을 한다.</v>
      </c>
      <c r="G1146" s="2">
        <v>5</v>
      </c>
      <c r="H1146" s="2">
        <v>1</v>
      </c>
      <c r="I1146" s="2">
        <v>5</v>
      </c>
      <c r="J1146" s="2">
        <v>30</v>
      </c>
      <c r="K1146" s="2">
        <v>0</v>
      </c>
      <c r="L1146" s="2">
        <v>0</v>
      </c>
      <c r="M1146" s="2">
        <v>0</v>
      </c>
      <c r="N1146" s="2">
        <v>0</v>
      </c>
      <c r="O1146" s="2">
        <v>0</v>
      </c>
      <c r="P1146" s="2" t="s">
        <v>441</v>
      </c>
      <c r="Q1146" s="2" t="str">
        <f t="shared" si="146"/>
        <v>SI_A_RF_SHADOW_STEP</v>
      </c>
      <c r="R1146" s="2" t="b">
        <v>0</v>
      </c>
      <c r="S1146" s="2" t="b">
        <v>1</v>
      </c>
      <c r="T1146" s="2">
        <v>1</v>
      </c>
      <c r="V1146" s="2" t="s">
        <v>261</v>
      </c>
      <c r="W1146" s="2">
        <v>5</v>
      </c>
    </row>
    <row r="1147" spans="1:23">
      <c r="A1147" s="4">
        <v>2701</v>
      </c>
      <c r="B1147" s="7" t="str">
        <f>VLOOKUP($A1147,SkillEnum!$A$2:$C$1020,2,FALSE)</f>
        <v>SI_A_RF_SHADOW_STEP</v>
      </c>
      <c r="C1147" s="7">
        <v>6</v>
      </c>
      <c r="D1147" s="2" t="str">
        <f>VLOOKUP($C1147,SkillEnum!$D$2:$E$10,2,FALSE)</f>
        <v>ST_ACTIVE</v>
      </c>
      <c r="E1147" s="7" t="str">
        <f>VLOOKUP($A1147,SkillEnum!$A$2:$C$1020,3,FALSE)</f>
        <v>섀도우 스탭</v>
      </c>
      <c r="F1147" s="7" t="str">
        <f t="shared" si="154"/>
        <v>전방 5 미터 거리를 매우 빠른 속도로 회피 이동을 한다.</v>
      </c>
      <c r="G1147" s="2">
        <v>6</v>
      </c>
      <c r="H1147" s="2">
        <v>1</v>
      </c>
      <c r="I1147" s="2">
        <v>5</v>
      </c>
      <c r="J1147" s="2">
        <v>25</v>
      </c>
      <c r="K1147" s="2">
        <v>0</v>
      </c>
      <c r="L1147" s="2">
        <v>0</v>
      </c>
      <c r="M1147" s="2">
        <v>0</v>
      </c>
      <c r="N1147" s="2">
        <v>0</v>
      </c>
      <c r="O1147" s="2">
        <v>0</v>
      </c>
      <c r="P1147" s="2" t="s">
        <v>441</v>
      </c>
      <c r="Q1147" s="2" t="str">
        <f t="shared" si="146"/>
        <v>SI_A_RF_SHADOW_STEP</v>
      </c>
      <c r="R1147" s="2" t="b">
        <v>0</v>
      </c>
      <c r="S1147" s="2" t="b">
        <v>1</v>
      </c>
      <c r="T1147" s="2">
        <v>1</v>
      </c>
      <c r="V1147" s="2" t="s">
        <v>261</v>
      </c>
      <c r="W1147" s="2">
        <v>5</v>
      </c>
    </row>
    <row r="1148" spans="1:23">
      <c r="A1148" s="4">
        <v>2701</v>
      </c>
      <c r="B1148" s="7" t="str">
        <f>VLOOKUP($A1148,SkillEnum!$A$2:$C$1020,2,FALSE)</f>
        <v>SI_A_RF_SHADOW_STEP</v>
      </c>
      <c r="C1148" s="7">
        <v>6</v>
      </c>
      <c r="D1148" s="2" t="str">
        <f>VLOOKUP($C1148,SkillEnum!$D$2:$E$10,2,FALSE)</f>
        <v>ST_ACTIVE</v>
      </c>
      <c r="E1148" s="7" t="str">
        <f>VLOOKUP($A1148,SkillEnum!$A$2:$C$1020,3,FALSE)</f>
        <v>섀도우 스탭</v>
      </c>
      <c r="F1148" s="7" t="str">
        <f t="shared" si="154"/>
        <v>전방 6 미터 거리를 매우 빠른 속도로 회피 이동을 한다.</v>
      </c>
      <c r="G1148" s="2">
        <v>7</v>
      </c>
      <c r="H1148" s="2">
        <v>1</v>
      </c>
      <c r="I1148" s="2">
        <v>5</v>
      </c>
      <c r="J1148" s="2">
        <v>25</v>
      </c>
      <c r="K1148" s="2">
        <v>0</v>
      </c>
      <c r="L1148" s="2">
        <v>0</v>
      </c>
      <c r="M1148" s="2">
        <v>0</v>
      </c>
      <c r="N1148" s="2">
        <v>0</v>
      </c>
      <c r="O1148" s="2">
        <v>0</v>
      </c>
      <c r="P1148" s="2" t="s">
        <v>441</v>
      </c>
      <c r="Q1148" s="2" t="str">
        <f t="shared" si="146"/>
        <v>SI_A_RF_SHADOW_STEP</v>
      </c>
      <c r="R1148" s="2" t="b">
        <v>0</v>
      </c>
      <c r="S1148" s="2" t="b">
        <v>1</v>
      </c>
      <c r="T1148" s="2">
        <v>1</v>
      </c>
      <c r="V1148" s="2" t="s">
        <v>261</v>
      </c>
      <c r="W1148" s="2">
        <v>6</v>
      </c>
    </row>
    <row r="1149" spans="1:23">
      <c r="A1149" s="4">
        <v>2701</v>
      </c>
      <c r="B1149" s="7" t="str">
        <f>VLOOKUP($A1149,SkillEnum!$A$2:$C$1020,2,FALSE)</f>
        <v>SI_A_RF_SHADOW_STEP</v>
      </c>
      <c r="C1149" s="7">
        <v>6</v>
      </c>
      <c r="D1149" s="2" t="str">
        <f>VLOOKUP($C1149,SkillEnum!$D$2:$E$10,2,FALSE)</f>
        <v>ST_ACTIVE</v>
      </c>
      <c r="E1149" s="7" t="str">
        <f>VLOOKUP($A1149,SkillEnum!$A$2:$C$1020,3,FALSE)</f>
        <v>섀도우 스탭</v>
      </c>
      <c r="F1149" s="7" t="str">
        <f t="shared" si="154"/>
        <v>전방 6 미터 거리를 매우 빠른 속도로 회피 이동을 한다.</v>
      </c>
      <c r="G1149" s="2">
        <v>8</v>
      </c>
      <c r="H1149" s="2">
        <v>1</v>
      </c>
      <c r="I1149" s="2">
        <v>5</v>
      </c>
      <c r="J1149" s="2">
        <v>20</v>
      </c>
      <c r="K1149" s="2">
        <v>0</v>
      </c>
      <c r="L1149" s="2">
        <v>0</v>
      </c>
      <c r="M1149" s="2">
        <v>0</v>
      </c>
      <c r="N1149" s="2">
        <v>0</v>
      </c>
      <c r="O1149" s="2">
        <v>0</v>
      </c>
      <c r="P1149" s="2" t="s">
        <v>441</v>
      </c>
      <c r="Q1149" s="2" t="str">
        <f t="shared" si="146"/>
        <v>SI_A_RF_SHADOW_STEP</v>
      </c>
      <c r="R1149" s="2" t="b">
        <v>0</v>
      </c>
      <c r="S1149" s="2" t="b">
        <v>1</v>
      </c>
      <c r="T1149" s="2">
        <v>1</v>
      </c>
      <c r="V1149" s="2" t="s">
        <v>261</v>
      </c>
      <c r="W1149" s="2">
        <v>6</v>
      </c>
    </row>
    <row r="1150" spans="1:23">
      <c r="A1150" s="4">
        <v>2701</v>
      </c>
      <c r="B1150" s="7" t="str">
        <f>VLOOKUP($A1150,SkillEnum!$A$2:$C$1020,2,FALSE)</f>
        <v>SI_A_RF_SHADOW_STEP</v>
      </c>
      <c r="C1150" s="7">
        <v>6</v>
      </c>
      <c r="D1150" s="2" t="str">
        <f>VLOOKUP($C1150,SkillEnum!$D$2:$E$10,2,FALSE)</f>
        <v>ST_ACTIVE</v>
      </c>
      <c r="E1150" s="7" t="str">
        <f>VLOOKUP($A1150,SkillEnum!$A$2:$C$1020,3,FALSE)</f>
        <v>섀도우 스탭</v>
      </c>
      <c r="F1150" s="7" t="str">
        <f t="shared" si="154"/>
        <v>전방 7 미터 거리를 매우 빠른 속도로 회피 이동을 한다.</v>
      </c>
      <c r="G1150" s="2">
        <v>9</v>
      </c>
      <c r="H1150" s="2">
        <v>1</v>
      </c>
      <c r="I1150" s="2">
        <v>5</v>
      </c>
      <c r="J1150" s="2">
        <v>20</v>
      </c>
      <c r="K1150" s="2">
        <v>0</v>
      </c>
      <c r="L1150" s="2">
        <v>0</v>
      </c>
      <c r="M1150" s="2">
        <v>0</v>
      </c>
      <c r="N1150" s="2">
        <v>0</v>
      </c>
      <c r="O1150" s="2">
        <v>0</v>
      </c>
      <c r="P1150" s="2" t="s">
        <v>441</v>
      </c>
      <c r="Q1150" s="2" t="str">
        <f t="shared" si="146"/>
        <v>SI_A_RF_SHADOW_STEP</v>
      </c>
      <c r="R1150" s="2" t="b">
        <v>0</v>
      </c>
      <c r="S1150" s="2" t="b">
        <v>1</v>
      </c>
      <c r="T1150" s="2">
        <v>1</v>
      </c>
      <c r="V1150" s="2" t="s">
        <v>261</v>
      </c>
      <c r="W1150" s="2">
        <v>7</v>
      </c>
    </row>
    <row r="1151" spans="1:23" s="5" customFormat="1">
      <c r="A1151" s="6">
        <v>2701</v>
      </c>
      <c r="B1151" s="8" t="str">
        <f>VLOOKUP($A1151,SkillEnum!$A$2:$C$1020,2,FALSE)</f>
        <v>SI_A_RF_SHADOW_STEP</v>
      </c>
      <c r="C1151" s="8">
        <v>6</v>
      </c>
      <c r="D1151" s="5" t="str">
        <f>VLOOKUP($C1151,SkillEnum!$D$2:$E$10,2,FALSE)</f>
        <v>ST_ACTIVE</v>
      </c>
      <c r="E1151" s="8" t="str">
        <f>VLOOKUP($A1151,SkillEnum!$A$2:$C$1020,3,FALSE)</f>
        <v>섀도우 스탭</v>
      </c>
      <c r="F1151" s="8" t="str">
        <f t="shared" si="154"/>
        <v>전방 7 미터 거리를 매우 빠른 속도로 회피 이동을 한다.</v>
      </c>
      <c r="G1151" s="5">
        <v>10</v>
      </c>
      <c r="H1151" s="5">
        <v>1</v>
      </c>
      <c r="I1151" s="5">
        <v>5</v>
      </c>
      <c r="J1151" s="5">
        <v>15</v>
      </c>
      <c r="K1151" s="5">
        <v>0</v>
      </c>
      <c r="L1151" s="5">
        <v>0</v>
      </c>
      <c r="M1151" s="5">
        <v>0</v>
      </c>
      <c r="N1151" s="5">
        <v>0</v>
      </c>
      <c r="O1151" s="5">
        <v>0</v>
      </c>
      <c r="P1151" s="2" t="s">
        <v>441</v>
      </c>
      <c r="Q1151" s="2" t="str">
        <f t="shared" si="146"/>
        <v>SI_A_RF_SHADOW_STEP</v>
      </c>
      <c r="R1151" s="5" t="b">
        <v>0</v>
      </c>
      <c r="S1151" s="2" t="b">
        <v>1</v>
      </c>
      <c r="T1151" s="2">
        <v>1</v>
      </c>
      <c r="U1151" s="2"/>
      <c r="V1151" s="5" t="s">
        <v>261</v>
      </c>
      <c r="W1151" s="5">
        <v>7</v>
      </c>
    </row>
    <row r="1152" spans="1:23" s="10" customFormat="1">
      <c r="A1152" s="9">
        <v>2702</v>
      </c>
      <c r="B1152" s="11" t="str">
        <f>VLOOKUP($A1152,SkillEnum!$A$2:$C$1020,2,FALSE)</f>
        <v>SI_A_RST_CUT_TENDON</v>
      </c>
      <c r="C1152" s="11">
        <v>6</v>
      </c>
      <c r="D1152" s="10" t="str">
        <f>VLOOKUP($C1152,SkillEnum!$D$2:$E$10,2,FALSE)</f>
        <v>ST_ACTIVE</v>
      </c>
      <c r="E1152" s="11" t="str">
        <f>VLOOKUP($A1152,SkillEnum!$A$2:$C$1020,3,FALSE)</f>
        <v>컷텐던</v>
      </c>
      <c r="F1152" s="7" t="str">
        <f t="shared" ref="F1152:F1161" si="155">"물리공격력의 "&amp;ROUND(H1152*100,0)&amp;" % 로 적의 힘줄을 절단해 "&amp;W1152&amp;"초간 대시가 불가능해 지고, 상처를 내어 지속적인 데미지를 준다."</f>
        <v>물리공격력의 150 % 로 적의 힘줄을 절단해 5초간 대시가 불가능해 지고, 상처를 내어 지속적인 데미지를 준다.</v>
      </c>
      <c r="G1152" s="10">
        <v>1</v>
      </c>
      <c r="H1152" s="2">
        <v>1.5</v>
      </c>
      <c r="I1152" s="2">
        <v>10</v>
      </c>
      <c r="J1152" s="10">
        <v>30</v>
      </c>
      <c r="K1152" s="2">
        <v>0</v>
      </c>
      <c r="L1152" s="2">
        <v>0</v>
      </c>
      <c r="M1152" s="2">
        <v>0</v>
      </c>
      <c r="N1152" s="2">
        <v>0</v>
      </c>
      <c r="O1152" s="2">
        <v>0</v>
      </c>
      <c r="P1152" s="2" t="s">
        <v>441</v>
      </c>
      <c r="Q1152" s="2" t="str">
        <f t="shared" ref="Q1152:Q1161" si="156">B1152</f>
        <v>SI_A_RST_CUT_TENDON</v>
      </c>
      <c r="R1152" s="2" t="b">
        <v>0</v>
      </c>
      <c r="S1152" s="2" t="b">
        <v>1</v>
      </c>
      <c r="T1152" s="2">
        <v>1</v>
      </c>
      <c r="U1152" s="2" t="b">
        <v>1</v>
      </c>
      <c r="V1152" s="10" t="s">
        <v>262</v>
      </c>
      <c r="W1152" s="10">
        <v>5</v>
      </c>
    </row>
    <row r="1153" spans="1:23">
      <c r="A1153" s="4">
        <v>2702</v>
      </c>
      <c r="B1153" s="7" t="str">
        <f>VLOOKUP($A1153,SkillEnum!$A$2:$C$1020,2,FALSE)</f>
        <v>SI_A_RST_CUT_TENDON</v>
      </c>
      <c r="C1153" s="7">
        <v>6</v>
      </c>
      <c r="D1153" s="2" t="str">
        <f>VLOOKUP($C1153,SkillEnum!$D$2:$E$10,2,FALSE)</f>
        <v>ST_ACTIVE</v>
      </c>
      <c r="E1153" s="7" t="str">
        <f>VLOOKUP($A1153,SkillEnum!$A$2:$C$1020,3,FALSE)</f>
        <v>컷텐던</v>
      </c>
      <c r="F1153" s="7" t="str">
        <f t="shared" si="155"/>
        <v>물리공격력의 160 % 로 적의 힘줄을 절단해 5.5초간 대시가 불가능해 지고, 상처를 내어 지속적인 데미지를 준다.</v>
      </c>
      <c r="G1153" s="2">
        <v>2</v>
      </c>
      <c r="H1153" s="2">
        <v>1.6</v>
      </c>
      <c r="I1153" s="2">
        <v>10</v>
      </c>
      <c r="J1153" s="2">
        <v>30</v>
      </c>
      <c r="K1153" s="2">
        <v>0</v>
      </c>
      <c r="L1153" s="2">
        <v>0</v>
      </c>
      <c r="M1153" s="2">
        <v>0</v>
      </c>
      <c r="N1153" s="2">
        <v>0</v>
      </c>
      <c r="O1153" s="2">
        <v>0</v>
      </c>
      <c r="P1153" s="2" t="s">
        <v>441</v>
      </c>
      <c r="Q1153" s="2" t="str">
        <f t="shared" si="156"/>
        <v>SI_A_RST_CUT_TENDON</v>
      </c>
      <c r="R1153" s="2" t="b">
        <v>0</v>
      </c>
      <c r="S1153" s="2" t="b">
        <v>1</v>
      </c>
      <c r="T1153" s="2">
        <v>1</v>
      </c>
      <c r="U1153" s="2" t="b">
        <v>1</v>
      </c>
      <c r="V1153" s="2" t="s">
        <v>262</v>
      </c>
      <c r="W1153" s="2">
        <v>5.5</v>
      </c>
    </row>
    <row r="1154" spans="1:23">
      <c r="A1154" s="4">
        <v>2702</v>
      </c>
      <c r="B1154" s="7" t="str">
        <f>VLOOKUP($A1154,SkillEnum!$A$2:$C$1020,2,FALSE)</f>
        <v>SI_A_RST_CUT_TENDON</v>
      </c>
      <c r="C1154" s="7">
        <v>6</v>
      </c>
      <c r="D1154" s="2" t="str">
        <f>VLOOKUP($C1154,SkillEnum!$D$2:$E$10,2,FALSE)</f>
        <v>ST_ACTIVE</v>
      </c>
      <c r="E1154" s="7" t="str">
        <f>VLOOKUP($A1154,SkillEnum!$A$2:$C$1020,3,FALSE)</f>
        <v>컷텐던</v>
      </c>
      <c r="F1154" s="7" t="str">
        <f t="shared" si="155"/>
        <v>물리공격력의 170 % 로 적의 힘줄을 절단해 6초간 대시가 불가능해 지고, 상처를 내어 지속적인 데미지를 준다.</v>
      </c>
      <c r="G1154" s="2">
        <v>3</v>
      </c>
      <c r="H1154" s="2">
        <v>1.7</v>
      </c>
      <c r="I1154" s="2">
        <v>10</v>
      </c>
      <c r="J1154" s="2">
        <v>30</v>
      </c>
      <c r="K1154" s="2">
        <v>0</v>
      </c>
      <c r="L1154" s="2">
        <v>0</v>
      </c>
      <c r="M1154" s="2">
        <v>0</v>
      </c>
      <c r="N1154" s="2">
        <v>0</v>
      </c>
      <c r="O1154" s="2">
        <v>0</v>
      </c>
      <c r="P1154" s="2" t="s">
        <v>441</v>
      </c>
      <c r="Q1154" s="2" t="str">
        <f t="shared" si="156"/>
        <v>SI_A_RST_CUT_TENDON</v>
      </c>
      <c r="R1154" s="2" t="b">
        <v>0</v>
      </c>
      <c r="S1154" s="2" t="b">
        <v>1</v>
      </c>
      <c r="T1154" s="2">
        <v>1</v>
      </c>
      <c r="U1154" s="2" t="b">
        <v>1</v>
      </c>
      <c r="V1154" s="2" t="s">
        <v>262</v>
      </c>
      <c r="W1154" s="2">
        <v>6</v>
      </c>
    </row>
    <row r="1155" spans="1:23">
      <c r="A1155" s="4">
        <v>2702</v>
      </c>
      <c r="B1155" s="7" t="str">
        <f>VLOOKUP($A1155,SkillEnum!$A$2:$C$1020,2,FALSE)</f>
        <v>SI_A_RST_CUT_TENDON</v>
      </c>
      <c r="C1155" s="7">
        <v>6</v>
      </c>
      <c r="D1155" s="2" t="str">
        <f>VLOOKUP($C1155,SkillEnum!$D$2:$E$10,2,FALSE)</f>
        <v>ST_ACTIVE</v>
      </c>
      <c r="E1155" s="7" t="str">
        <f>VLOOKUP($A1155,SkillEnum!$A$2:$C$1020,3,FALSE)</f>
        <v>컷텐던</v>
      </c>
      <c r="F1155" s="7" t="str">
        <f t="shared" si="155"/>
        <v>물리공격력의 180 % 로 적의 힘줄을 절단해 6.5초간 대시가 불가능해 지고, 상처를 내어 지속적인 데미지를 준다.</v>
      </c>
      <c r="G1155" s="2">
        <v>4</v>
      </c>
      <c r="H1155" s="2">
        <v>1.8</v>
      </c>
      <c r="I1155" s="2">
        <v>10</v>
      </c>
      <c r="J1155" s="2">
        <v>30</v>
      </c>
      <c r="K1155" s="2">
        <v>0</v>
      </c>
      <c r="L1155" s="2">
        <v>0</v>
      </c>
      <c r="M1155" s="2">
        <v>0</v>
      </c>
      <c r="N1155" s="2">
        <v>0</v>
      </c>
      <c r="O1155" s="2">
        <v>0</v>
      </c>
      <c r="P1155" s="2" t="s">
        <v>441</v>
      </c>
      <c r="Q1155" s="2" t="str">
        <f t="shared" si="156"/>
        <v>SI_A_RST_CUT_TENDON</v>
      </c>
      <c r="R1155" s="2" t="b">
        <v>0</v>
      </c>
      <c r="S1155" s="2" t="b">
        <v>1</v>
      </c>
      <c r="T1155" s="2">
        <v>1</v>
      </c>
      <c r="U1155" s="2" t="b">
        <v>1</v>
      </c>
      <c r="V1155" s="2" t="s">
        <v>262</v>
      </c>
      <c r="W1155" s="2">
        <v>6.5</v>
      </c>
    </row>
    <row r="1156" spans="1:23">
      <c r="A1156" s="4">
        <v>2702</v>
      </c>
      <c r="B1156" s="7" t="str">
        <f>VLOOKUP($A1156,SkillEnum!$A$2:$C$1020,2,FALSE)</f>
        <v>SI_A_RST_CUT_TENDON</v>
      </c>
      <c r="C1156" s="7">
        <v>6</v>
      </c>
      <c r="D1156" s="2" t="str">
        <f>VLOOKUP($C1156,SkillEnum!$D$2:$E$10,2,FALSE)</f>
        <v>ST_ACTIVE</v>
      </c>
      <c r="E1156" s="7" t="str">
        <f>VLOOKUP($A1156,SkillEnum!$A$2:$C$1020,3,FALSE)</f>
        <v>컷텐던</v>
      </c>
      <c r="F1156" s="7" t="str">
        <f t="shared" si="155"/>
        <v>물리공격력의 200 % 로 적의 힘줄을 절단해 7초간 대시가 불가능해 지고, 상처를 내어 지속적인 데미지를 준다.</v>
      </c>
      <c r="G1156" s="2">
        <v>5</v>
      </c>
      <c r="H1156" s="2">
        <v>2</v>
      </c>
      <c r="I1156" s="2">
        <v>10</v>
      </c>
      <c r="J1156" s="2">
        <v>30</v>
      </c>
      <c r="K1156" s="2">
        <v>0</v>
      </c>
      <c r="L1156" s="2">
        <v>0</v>
      </c>
      <c r="M1156" s="2">
        <v>0</v>
      </c>
      <c r="N1156" s="2">
        <v>0</v>
      </c>
      <c r="O1156" s="2">
        <v>0</v>
      </c>
      <c r="P1156" s="2" t="s">
        <v>441</v>
      </c>
      <c r="Q1156" s="2" t="str">
        <f t="shared" si="156"/>
        <v>SI_A_RST_CUT_TENDON</v>
      </c>
      <c r="R1156" s="2" t="b">
        <v>0</v>
      </c>
      <c r="S1156" s="2" t="b">
        <v>1</v>
      </c>
      <c r="T1156" s="2">
        <v>1</v>
      </c>
      <c r="U1156" s="2" t="b">
        <v>1</v>
      </c>
      <c r="V1156" s="2" t="s">
        <v>262</v>
      </c>
      <c r="W1156" s="2">
        <v>7</v>
      </c>
    </row>
    <row r="1157" spans="1:23">
      <c r="A1157" s="4">
        <v>2702</v>
      </c>
      <c r="B1157" s="7" t="str">
        <f>VLOOKUP($A1157,SkillEnum!$A$2:$C$1020,2,FALSE)</f>
        <v>SI_A_RST_CUT_TENDON</v>
      </c>
      <c r="C1157" s="7">
        <v>6</v>
      </c>
      <c r="D1157" s="2" t="str">
        <f>VLOOKUP($C1157,SkillEnum!$D$2:$E$10,2,FALSE)</f>
        <v>ST_ACTIVE</v>
      </c>
      <c r="E1157" s="7" t="str">
        <f>VLOOKUP($A1157,SkillEnum!$A$2:$C$1020,3,FALSE)</f>
        <v>컷텐던</v>
      </c>
      <c r="F1157" s="7" t="str">
        <f t="shared" si="155"/>
        <v>물리공격력의 210 % 로 적의 힘줄을 절단해 7.5초간 대시가 불가능해 지고, 상처를 내어 지속적인 데미지를 준다.</v>
      </c>
      <c r="G1157" s="2">
        <v>6</v>
      </c>
      <c r="H1157" s="2">
        <v>2.1</v>
      </c>
      <c r="I1157" s="2">
        <v>10</v>
      </c>
      <c r="J1157" s="2">
        <v>30</v>
      </c>
      <c r="K1157" s="2">
        <v>0</v>
      </c>
      <c r="L1157" s="2">
        <v>0</v>
      </c>
      <c r="M1157" s="2">
        <v>0</v>
      </c>
      <c r="N1157" s="2">
        <v>0</v>
      </c>
      <c r="O1157" s="2">
        <v>0</v>
      </c>
      <c r="P1157" s="2" t="s">
        <v>441</v>
      </c>
      <c r="Q1157" s="2" t="str">
        <f t="shared" si="156"/>
        <v>SI_A_RST_CUT_TENDON</v>
      </c>
      <c r="R1157" s="2" t="b">
        <v>0</v>
      </c>
      <c r="S1157" s="2" t="b">
        <v>1</v>
      </c>
      <c r="T1157" s="2">
        <v>1</v>
      </c>
      <c r="U1157" s="2" t="b">
        <v>1</v>
      </c>
      <c r="V1157" s="2" t="s">
        <v>262</v>
      </c>
      <c r="W1157" s="2">
        <v>7.5</v>
      </c>
    </row>
    <row r="1158" spans="1:23">
      <c r="A1158" s="4">
        <v>2702</v>
      </c>
      <c r="B1158" s="7" t="str">
        <f>VLOOKUP($A1158,SkillEnum!$A$2:$C$1020,2,FALSE)</f>
        <v>SI_A_RST_CUT_TENDON</v>
      </c>
      <c r="C1158" s="7">
        <v>6</v>
      </c>
      <c r="D1158" s="2" t="str">
        <f>VLOOKUP($C1158,SkillEnum!$D$2:$E$10,2,FALSE)</f>
        <v>ST_ACTIVE</v>
      </c>
      <c r="E1158" s="7" t="str">
        <f>VLOOKUP($A1158,SkillEnum!$A$2:$C$1020,3,FALSE)</f>
        <v>컷텐던</v>
      </c>
      <c r="F1158" s="7" t="str">
        <f t="shared" si="155"/>
        <v>물리공격력의 220 % 로 적의 힘줄을 절단해 8초간 대시가 불가능해 지고, 상처를 내어 지속적인 데미지를 준다.</v>
      </c>
      <c r="G1158" s="2">
        <v>7</v>
      </c>
      <c r="H1158" s="2">
        <v>2.2000000000000002</v>
      </c>
      <c r="I1158" s="2">
        <v>10</v>
      </c>
      <c r="J1158" s="2">
        <v>30</v>
      </c>
      <c r="K1158" s="2">
        <v>0</v>
      </c>
      <c r="L1158" s="2">
        <v>0</v>
      </c>
      <c r="M1158" s="2">
        <v>0</v>
      </c>
      <c r="N1158" s="2">
        <v>0</v>
      </c>
      <c r="O1158" s="2">
        <v>0</v>
      </c>
      <c r="P1158" s="2" t="s">
        <v>441</v>
      </c>
      <c r="Q1158" s="2" t="str">
        <f t="shared" si="156"/>
        <v>SI_A_RST_CUT_TENDON</v>
      </c>
      <c r="R1158" s="2" t="b">
        <v>0</v>
      </c>
      <c r="S1158" s="2" t="b">
        <v>1</v>
      </c>
      <c r="T1158" s="2">
        <v>1</v>
      </c>
      <c r="U1158" s="2" t="b">
        <v>1</v>
      </c>
      <c r="V1158" s="2" t="s">
        <v>262</v>
      </c>
      <c r="W1158" s="2">
        <v>8</v>
      </c>
    </row>
    <row r="1159" spans="1:23">
      <c r="A1159" s="4">
        <v>2702</v>
      </c>
      <c r="B1159" s="7" t="str">
        <f>VLOOKUP($A1159,SkillEnum!$A$2:$C$1020,2,FALSE)</f>
        <v>SI_A_RST_CUT_TENDON</v>
      </c>
      <c r="C1159" s="7">
        <v>6</v>
      </c>
      <c r="D1159" s="2" t="str">
        <f>VLOOKUP($C1159,SkillEnum!$D$2:$E$10,2,FALSE)</f>
        <v>ST_ACTIVE</v>
      </c>
      <c r="E1159" s="7" t="str">
        <f>VLOOKUP($A1159,SkillEnum!$A$2:$C$1020,3,FALSE)</f>
        <v>컷텐던</v>
      </c>
      <c r="F1159" s="7" t="str">
        <f t="shared" si="155"/>
        <v>물리공격력의 230 % 로 적의 힘줄을 절단해 8.5초간 대시가 불가능해 지고, 상처를 내어 지속적인 데미지를 준다.</v>
      </c>
      <c r="G1159" s="2">
        <v>8</v>
      </c>
      <c r="H1159" s="2">
        <v>2.2999999999999998</v>
      </c>
      <c r="I1159" s="2">
        <v>10</v>
      </c>
      <c r="J1159" s="2">
        <v>30</v>
      </c>
      <c r="K1159" s="2">
        <v>0</v>
      </c>
      <c r="L1159" s="2">
        <v>0</v>
      </c>
      <c r="M1159" s="2">
        <v>0</v>
      </c>
      <c r="N1159" s="2">
        <v>0</v>
      </c>
      <c r="O1159" s="2">
        <v>0</v>
      </c>
      <c r="P1159" s="2" t="s">
        <v>441</v>
      </c>
      <c r="Q1159" s="2" t="str">
        <f t="shared" si="156"/>
        <v>SI_A_RST_CUT_TENDON</v>
      </c>
      <c r="R1159" s="2" t="b">
        <v>0</v>
      </c>
      <c r="S1159" s="2" t="b">
        <v>1</v>
      </c>
      <c r="T1159" s="2">
        <v>1</v>
      </c>
      <c r="U1159" s="2" t="b">
        <v>1</v>
      </c>
      <c r="V1159" s="2" t="s">
        <v>262</v>
      </c>
      <c r="W1159" s="2">
        <v>8.5</v>
      </c>
    </row>
    <row r="1160" spans="1:23">
      <c r="A1160" s="4">
        <v>2702</v>
      </c>
      <c r="B1160" s="7" t="str">
        <f>VLOOKUP($A1160,SkillEnum!$A$2:$C$1020,2,FALSE)</f>
        <v>SI_A_RST_CUT_TENDON</v>
      </c>
      <c r="C1160" s="7">
        <v>6</v>
      </c>
      <c r="D1160" s="2" t="str">
        <f>VLOOKUP($C1160,SkillEnum!$D$2:$E$10,2,FALSE)</f>
        <v>ST_ACTIVE</v>
      </c>
      <c r="E1160" s="7" t="str">
        <f>VLOOKUP($A1160,SkillEnum!$A$2:$C$1020,3,FALSE)</f>
        <v>컷텐던</v>
      </c>
      <c r="F1160" s="7" t="str">
        <f t="shared" si="155"/>
        <v>물리공격력의 240 % 로 적의 힘줄을 절단해 9초간 대시가 불가능해 지고, 상처를 내어 지속적인 데미지를 준다.</v>
      </c>
      <c r="G1160" s="2">
        <v>9</v>
      </c>
      <c r="H1160" s="2">
        <v>2.4</v>
      </c>
      <c r="I1160" s="2">
        <v>10</v>
      </c>
      <c r="J1160" s="2">
        <v>30</v>
      </c>
      <c r="K1160" s="2">
        <v>0</v>
      </c>
      <c r="L1160" s="2">
        <v>0</v>
      </c>
      <c r="M1160" s="2">
        <v>0</v>
      </c>
      <c r="N1160" s="2">
        <v>0</v>
      </c>
      <c r="O1160" s="2">
        <v>0</v>
      </c>
      <c r="P1160" s="2" t="s">
        <v>441</v>
      </c>
      <c r="Q1160" s="2" t="str">
        <f t="shared" si="156"/>
        <v>SI_A_RST_CUT_TENDON</v>
      </c>
      <c r="R1160" s="2" t="b">
        <v>0</v>
      </c>
      <c r="S1160" s="2" t="b">
        <v>1</v>
      </c>
      <c r="T1160" s="2">
        <v>1</v>
      </c>
      <c r="U1160" s="2" t="b">
        <v>1</v>
      </c>
      <c r="V1160" s="2" t="s">
        <v>262</v>
      </c>
      <c r="W1160" s="2">
        <v>9</v>
      </c>
    </row>
    <row r="1161" spans="1:23" s="5" customFormat="1">
      <c r="A1161" s="6">
        <v>2702</v>
      </c>
      <c r="B1161" s="8" t="str">
        <f>VLOOKUP($A1161,SkillEnum!$A$2:$C$1020,2,FALSE)</f>
        <v>SI_A_RST_CUT_TENDON</v>
      </c>
      <c r="C1161" s="8">
        <v>6</v>
      </c>
      <c r="D1161" s="5" t="str">
        <f>VLOOKUP($C1161,SkillEnum!$D$2:$E$10,2,FALSE)</f>
        <v>ST_ACTIVE</v>
      </c>
      <c r="E1161" s="8" t="str">
        <f>VLOOKUP($A1161,SkillEnum!$A$2:$C$1020,3,FALSE)</f>
        <v>컷텐던</v>
      </c>
      <c r="F1161" s="8" t="str">
        <f t="shared" si="155"/>
        <v>물리공격력의 250 % 로 적의 힘줄을 절단해 9.5초간 대시가 불가능해 지고, 상처를 내어 지속적인 데미지를 준다.</v>
      </c>
      <c r="G1161" s="5">
        <v>10</v>
      </c>
      <c r="H1161" s="5">
        <v>2.5</v>
      </c>
      <c r="I1161" s="5">
        <v>10</v>
      </c>
      <c r="J1161" s="5">
        <v>30</v>
      </c>
      <c r="K1161" s="5">
        <v>0</v>
      </c>
      <c r="L1161" s="5">
        <v>0</v>
      </c>
      <c r="M1161" s="5">
        <v>0</v>
      </c>
      <c r="N1161" s="5">
        <v>0</v>
      </c>
      <c r="O1161" s="5">
        <v>0</v>
      </c>
      <c r="P1161" s="2" t="s">
        <v>441</v>
      </c>
      <c r="Q1161" s="2" t="str">
        <f t="shared" si="156"/>
        <v>SI_A_RST_CUT_TENDON</v>
      </c>
      <c r="R1161" s="5" t="b">
        <v>0</v>
      </c>
      <c r="S1161" s="2" t="b">
        <v>1</v>
      </c>
      <c r="T1161" s="2">
        <v>1</v>
      </c>
      <c r="U1161" s="2" t="b">
        <v>1</v>
      </c>
      <c r="V1161" s="5" t="s">
        <v>262</v>
      </c>
      <c r="W1161" s="5">
        <v>9.5</v>
      </c>
    </row>
    <row r="1162" spans="1:23" s="10" customFormat="1">
      <c r="A1162" s="9">
        <v>2703</v>
      </c>
      <c r="B1162" s="11" t="str">
        <f>VLOOKUP($A1162,SkillEnum!$A$2:$C$1020,2,FALSE)</f>
        <v xml:space="preserve">SI_A_ROT_WEAPON_BRAKE </v>
      </c>
      <c r="C1162" s="11">
        <v>6</v>
      </c>
      <c r="D1162" s="10" t="str">
        <f>VLOOKUP($C1162,SkillEnum!$D$2:$E$10,2,FALSE)</f>
        <v>ST_ACTIVE</v>
      </c>
      <c r="E1162" s="11" t="str">
        <f>VLOOKUP($A1162,SkillEnum!$A$2:$C$1020,3,FALSE)</f>
        <v>웨폰 브레이크</v>
      </c>
      <c r="F1162" s="7" t="str">
        <f>"나소드 핸드의 강한 힘으로 적의 무기를 공격하여 물리 공격력의 "&amp;ROUND(H1162*100,0)&amp;" % 피해를 입히고, "&amp;ROUND(W1162*100,0)&amp;" % 확률로 대상의 무기를 파괴하여 20초간 공격력을 70 % 감소 시킨다."</f>
        <v>나소드 핸드의 강한 힘으로 적의 무기를 공격하여 물리 공격력의 150 % 피해를 입히고, 20 % 확률로 대상의 무기를 파괴하여 20초간 공격력을 70 % 감소 시킨다.</v>
      </c>
      <c r="G1162" s="10">
        <v>1</v>
      </c>
      <c r="H1162" s="2">
        <v>1.5</v>
      </c>
      <c r="I1162" s="2">
        <v>10</v>
      </c>
      <c r="J1162" s="10">
        <v>30</v>
      </c>
      <c r="K1162" s="2">
        <v>0</v>
      </c>
      <c r="L1162" s="2">
        <v>0</v>
      </c>
      <c r="M1162" s="2">
        <v>0</v>
      </c>
      <c r="N1162" s="2">
        <v>0</v>
      </c>
      <c r="O1162" s="2">
        <v>0</v>
      </c>
      <c r="P1162" s="2" t="s">
        <v>441</v>
      </c>
      <c r="Q1162" s="2" t="str">
        <f t="shared" ref="Q1162:Q1171" si="157">B1162</f>
        <v xml:space="preserve">SI_A_ROT_WEAPON_BRAKE </v>
      </c>
      <c r="R1162" s="2" t="b">
        <v>0</v>
      </c>
      <c r="S1162" s="2" t="b">
        <v>1</v>
      </c>
      <c r="T1162" s="2">
        <v>1</v>
      </c>
      <c r="U1162" s="2" t="b">
        <v>1</v>
      </c>
      <c r="V1162" s="1" t="s">
        <v>491</v>
      </c>
      <c r="W1162" s="10">
        <v>0.2</v>
      </c>
    </row>
    <row r="1163" spans="1:23">
      <c r="A1163" s="4">
        <v>2703</v>
      </c>
      <c r="B1163" s="7" t="str">
        <f>VLOOKUP($A1163,SkillEnum!$A$2:$C$1020,2,FALSE)</f>
        <v xml:space="preserve">SI_A_ROT_WEAPON_BRAKE </v>
      </c>
      <c r="C1163" s="7">
        <v>6</v>
      </c>
      <c r="D1163" s="2" t="str">
        <f>VLOOKUP($C1163,SkillEnum!$D$2:$E$10,2,FALSE)</f>
        <v>ST_ACTIVE</v>
      </c>
      <c r="E1163" s="7" t="str">
        <f>VLOOKUP($A1163,SkillEnum!$A$2:$C$1020,3,FALSE)</f>
        <v>웨폰 브레이크</v>
      </c>
      <c r="F1163" s="7" t="str">
        <f t="shared" ref="F1163:F1171" si="158">"나소드 핸드의 강한 힘으로 적의 무기를 공격하여 물리 공격력의 "&amp;ROUND(H1163*100,0)&amp;" % 피해를 입히고, "&amp;ROUND(W1163*100,0)&amp;" % 확률로 대상의 무기를 파괴하여 20초간 공격력을 70 % 감소 시킨다."</f>
        <v>나소드 핸드의 강한 힘으로 적의 무기를 공격하여 물리 공격력의 170 % 피해를 입히고, 40 % 확률로 대상의 무기를 파괴하여 20초간 공격력을 70 % 감소 시킨다.</v>
      </c>
      <c r="G1163" s="2">
        <v>2</v>
      </c>
      <c r="H1163" s="2">
        <v>1.7</v>
      </c>
      <c r="I1163" s="2">
        <v>10</v>
      </c>
      <c r="J1163" s="2">
        <v>30</v>
      </c>
      <c r="K1163" s="2">
        <v>0</v>
      </c>
      <c r="L1163" s="2">
        <v>0</v>
      </c>
      <c r="M1163" s="2">
        <v>0</v>
      </c>
      <c r="N1163" s="2">
        <v>0</v>
      </c>
      <c r="O1163" s="2">
        <v>0</v>
      </c>
      <c r="P1163" s="2" t="s">
        <v>441</v>
      </c>
      <c r="Q1163" s="2" t="str">
        <f t="shared" si="157"/>
        <v xml:space="preserve">SI_A_ROT_WEAPON_BRAKE </v>
      </c>
      <c r="R1163" s="2" t="b">
        <v>0</v>
      </c>
      <c r="S1163" s="2" t="b">
        <v>1</v>
      </c>
      <c r="T1163" s="2">
        <v>1</v>
      </c>
      <c r="U1163" s="2" t="b">
        <v>1</v>
      </c>
      <c r="V1163" s="1" t="s">
        <v>490</v>
      </c>
      <c r="W1163" s="2">
        <v>0.4</v>
      </c>
    </row>
    <row r="1164" spans="1:23">
      <c r="A1164" s="4">
        <v>2703</v>
      </c>
      <c r="B1164" s="7" t="str">
        <f>VLOOKUP($A1164,SkillEnum!$A$2:$C$1020,2,FALSE)</f>
        <v xml:space="preserve">SI_A_ROT_WEAPON_BRAKE </v>
      </c>
      <c r="C1164" s="7">
        <v>6</v>
      </c>
      <c r="D1164" s="2" t="str">
        <f>VLOOKUP($C1164,SkillEnum!$D$2:$E$10,2,FALSE)</f>
        <v>ST_ACTIVE</v>
      </c>
      <c r="E1164" s="7" t="str">
        <f>VLOOKUP($A1164,SkillEnum!$A$2:$C$1020,3,FALSE)</f>
        <v>웨폰 브레이크</v>
      </c>
      <c r="F1164" s="7" t="str">
        <f t="shared" si="158"/>
        <v>나소드 핸드의 강한 힘으로 적의 무기를 공격하여 물리 공격력의 200 % 피해를 입히고, 60 % 확률로 대상의 무기를 파괴하여 20초간 공격력을 70 % 감소 시킨다.</v>
      </c>
      <c r="G1164" s="2">
        <v>3</v>
      </c>
      <c r="H1164" s="2">
        <v>2</v>
      </c>
      <c r="I1164" s="2">
        <v>10</v>
      </c>
      <c r="J1164" s="2">
        <v>30</v>
      </c>
      <c r="K1164" s="2">
        <v>0</v>
      </c>
      <c r="L1164" s="2">
        <v>0</v>
      </c>
      <c r="M1164" s="2">
        <v>0</v>
      </c>
      <c r="N1164" s="2">
        <v>0</v>
      </c>
      <c r="O1164" s="2">
        <v>0</v>
      </c>
      <c r="P1164" s="2" t="s">
        <v>441</v>
      </c>
      <c r="Q1164" s="2" t="str">
        <f t="shared" si="157"/>
        <v xml:space="preserve">SI_A_ROT_WEAPON_BRAKE </v>
      </c>
      <c r="R1164" s="2" t="b">
        <v>0</v>
      </c>
      <c r="S1164" s="2" t="b">
        <v>1</v>
      </c>
      <c r="T1164" s="2">
        <v>1</v>
      </c>
      <c r="U1164" s="2" t="b">
        <v>1</v>
      </c>
      <c r="V1164" s="1" t="s">
        <v>490</v>
      </c>
      <c r="W1164" s="2">
        <v>0.6</v>
      </c>
    </row>
    <row r="1165" spans="1:23">
      <c r="A1165" s="4">
        <v>2703</v>
      </c>
      <c r="B1165" s="7" t="str">
        <f>VLOOKUP($A1165,SkillEnum!$A$2:$C$1020,2,FALSE)</f>
        <v xml:space="preserve">SI_A_ROT_WEAPON_BRAKE </v>
      </c>
      <c r="C1165" s="7">
        <v>6</v>
      </c>
      <c r="D1165" s="2" t="str">
        <f>VLOOKUP($C1165,SkillEnum!$D$2:$E$10,2,FALSE)</f>
        <v>ST_ACTIVE</v>
      </c>
      <c r="E1165" s="7" t="str">
        <f>VLOOKUP($A1165,SkillEnum!$A$2:$C$1020,3,FALSE)</f>
        <v>웨폰 브레이크</v>
      </c>
      <c r="F1165" s="7" t="str">
        <f t="shared" si="158"/>
        <v>나소드 핸드의 강한 힘으로 적의 무기를 공격하여 물리 공격력의 250 % 피해를 입히고, 60 % 확률로 대상의 무기를 파괴하여 20초간 공격력을 70 % 감소 시킨다.</v>
      </c>
      <c r="G1165" s="2">
        <v>4</v>
      </c>
      <c r="H1165" s="2">
        <v>2.5</v>
      </c>
      <c r="I1165" s="2">
        <v>10</v>
      </c>
      <c r="J1165" s="2">
        <v>30</v>
      </c>
      <c r="K1165" s="2">
        <v>0</v>
      </c>
      <c r="L1165" s="2">
        <v>0</v>
      </c>
      <c r="M1165" s="2">
        <v>0</v>
      </c>
      <c r="N1165" s="2">
        <v>0</v>
      </c>
      <c r="O1165" s="2">
        <v>0</v>
      </c>
      <c r="P1165" s="2" t="s">
        <v>441</v>
      </c>
      <c r="Q1165" s="2" t="str">
        <f t="shared" si="157"/>
        <v xml:space="preserve">SI_A_ROT_WEAPON_BRAKE </v>
      </c>
      <c r="R1165" s="2" t="b">
        <v>0</v>
      </c>
      <c r="S1165" s="2" t="b">
        <v>1</v>
      </c>
      <c r="T1165" s="2">
        <v>1</v>
      </c>
      <c r="U1165" s="2" t="b">
        <v>1</v>
      </c>
      <c r="V1165" s="1" t="s">
        <v>490</v>
      </c>
      <c r="W1165" s="2">
        <v>0.6</v>
      </c>
    </row>
    <row r="1166" spans="1:23">
      <c r="A1166" s="4">
        <v>2703</v>
      </c>
      <c r="B1166" s="7" t="str">
        <f>VLOOKUP($A1166,SkillEnum!$A$2:$C$1020,2,FALSE)</f>
        <v xml:space="preserve">SI_A_ROT_WEAPON_BRAKE </v>
      </c>
      <c r="C1166" s="7">
        <v>6</v>
      </c>
      <c r="D1166" s="2" t="str">
        <f>VLOOKUP($C1166,SkillEnum!$D$2:$E$10,2,FALSE)</f>
        <v>ST_ACTIVE</v>
      </c>
      <c r="E1166" s="7" t="str">
        <f>VLOOKUP($A1166,SkillEnum!$A$2:$C$1020,3,FALSE)</f>
        <v>웨폰 브레이크</v>
      </c>
      <c r="F1166" s="7" t="str">
        <f t="shared" si="158"/>
        <v>나소드 핸드의 강한 힘으로 적의 무기를 공격하여 물리 공격력의 300 % 피해를 입히고, 60 % 확률로 대상의 무기를 파괴하여 20초간 공격력을 70 % 감소 시킨다.</v>
      </c>
      <c r="G1166" s="2">
        <v>5</v>
      </c>
      <c r="H1166" s="2">
        <v>3</v>
      </c>
      <c r="I1166" s="2">
        <v>10</v>
      </c>
      <c r="J1166" s="2">
        <v>30</v>
      </c>
      <c r="K1166" s="2">
        <v>0</v>
      </c>
      <c r="L1166" s="2">
        <v>0</v>
      </c>
      <c r="M1166" s="2">
        <v>0</v>
      </c>
      <c r="N1166" s="2">
        <v>0</v>
      </c>
      <c r="O1166" s="2">
        <v>0</v>
      </c>
      <c r="P1166" s="2" t="s">
        <v>441</v>
      </c>
      <c r="Q1166" s="2" t="str">
        <f t="shared" si="157"/>
        <v xml:space="preserve">SI_A_ROT_WEAPON_BRAKE </v>
      </c>
      <c r="R1166" s="2" t="b">
        <v>0</v>
      </c>
      <c r="S1166" s="2" t="b">
        <v>1</v>
      </c>
      <c r="T1166" s="2">
        <v>1</v>
      </c>
      <c r="U1166" s="2" t="b">
        <v>1</v>
      </c>
      <c r="V1166" s="1" t="s">
        <v>490</v>
      </c>
      <c r="W1166" s="2">
        <v>0.6</v>
      </c>
    </row>
    <row r="1167" spans="1:23">
      <c r="A1167" s="4">
        <v>2703</v>
      </c>
      <c r="B1167" s="7" t="str">
        <f>VLOOKUP($A1167,SkillEnum!$A$2:$C$1020,2,FALSE)</f>
        <v xml:space="preserve">SI_A_ROT_WEAPON_BRAKE </v>
      </c>
      <c r="C1167" s="7">
        <v>6</v>
      </c>
      <c r="D1167" s="2" t="str">
        <f>VLOOKUP($C1167,SkillEnum!$D$2:$E$10,2,FALSE)</f>
        <v>ST_ACTIVE</v>
      </c>
      <c r="E1167" s="7" t="str">
        <f>VLOOKUP($A1167,SkillEnum!$A$2:$C$1020,3,FALSE)</f>
        <v>웨폰 브레이크</v>
      </c>
      <c r="F1167" s="7" t="str">
        <f t="shared" si="158"/>
        <v>나소드 핸드의 강한 힘으로 적의 무기를 공격하여 물리 공격력의 350 % 피해를 입히고, 60 % 확률로 대상의 무기를 파괴하여 20초간 공격력을 70 % 감소 시킨다.</v>
      </c>
      <c r="G1167" s="2">
        <v>6</v>
      </c>
      <c r="H1167" s="2">
        <v>3.5</v>
      </c>
      <c r="I1167" s="2">
        <v>10</v>
      </c>
      <c r="J1167" s="2">
        <v>30</v>
      </c>
      <c r="K1167" s="2">
        <v>0</v>
      </c>
      <c r="L1167" s="2">
        <v>0</v>
      </c>
      <c r="M1167" s="2">
        <v>0</v>
      </c>
      <c r="N1167" s="2">
        <v>0</v>
      </c>
      <c r="O1167" s="2">
        <v>0</v>
      </c>
      <c r="P1167" s="2" t="s">
        <v>441</v>
      </c>
      <c r="Q1167" s="2" t="str">
        <f t="shared" si="157"/>
        <v xml:space="preserve">SI_A_ROT_WEAPON_BRAKE </v>
      </c>
      <c r="R1167" s="2" t="b">
        <v>0</v>
      </c>
      <c r="S1167" s="2" t="b">
        <v>1</v>
      </c>
      <c r="T1167" s="2">
        <v>1</v>
      </c>
      <c r="U1167" s="2" t="b">
        <v>1</v>
      </c>
      <c r="V1167" s="1" t="s">
        <v>490</v>
      </c>
      <c r="W1167" s="2">
        <v>0.6</v>
      </c>
    </row>
    <row r="1168" spans="1:23">
      <c r="A1168" s="4">
        <v>2703</v>
      </c>
      <c r="B1168" s="7" t="str">
        <f>VLOOKUP($A1168,SkillEnum!$A$2:$C$1020,2,FALSE)</f>
        <v xml:space="preserve">SI_A_ROT_WEAPON_BRAKE </v>
      </c>
      <c r="C1168" s="7">
        <v>6</v>
      </c>
      <c r="D1168" s="2" t="str">
        <f>VLOOKUP($C1168,SkillEnum!$D$2:$E$10,2,FALSE)</f>
        <v>ST_ACTIVE</v>
      </c>
      <c r="E1168" s="7" t="str">
        <f>VLOOKUP($A1168,SkillEnum!$A$2:$C$1020,3,FALSE)</f>
        <v>웨폰 브레이크</v>
      </c>
      <c r="F1168" s="7" t="str">
        <f t="shared" si="158"/>
        <v>나소드 핸드의 강한 힘으로 적의 무기를 공격하여 물리 공격력의 400 % 피해를 입히고, 60 % 확률로 대상의 무기를 파괴하여 20초간 공격력을 70 % 감소 시킨다.</v>
      </c>
      <c r="G1168" s="2">
        <v>7</v>
      </c>
      <c r="H1168" s="2">
        <v>4</v>
      </c>
      <c r="I1168" s="2">
        <v>10</v>
      </c>
      <c r="J1168" s="2">
        <v>30</v>
      </c>
      <c r="K1168" s="2">
        <v>0</v>
      </c>
      <c r="L1168" s="2">
        <v>0</v>
      </c>
      <c r="M1168" s="2">
        <v>0</v>
      </c>
      <c r="N1168" s="2">
        <v>0</v>
      </c>
      <c r="O1168" s="2">
        <v>0</v>
      </c>
      <c r="P1168" s="2" t="s">
        <v>441</v>
      </c>
      <c r="Q1168" s="2" t="str">
        <f t="shared" si="157"/>
        <v xml:space="preserve">SI_A_ROT_WEAPON_BRAKE </v>
      </c>
      <c r="R1168" s="2" t="b">
        <v>0</v>
      </c>
      <c r="S1168" s="2" t="b">
        <v>1</v>
      </c>
      <c r="T1168" s="2">
        <v>1</v>
      </c>
      <c r="U1168" s="2" t="b">
        <v>1</v>
      </c>
      <c r="V1168" s="1" t="s">
        <v>490</v>
      </c>
      <c r="W1168" s="2">
        <v>0.6</v>
      </c>
    </row>
    <row r="1169" spans="1:23">
      <c r="A1169" s="4">
        <v>2703</v>
      </c>
      <c r="B1169" s="7" t="str">
        <f>VLOOKUP($A1169,SkillEnum!$A$2:$C$1020,2,FALSE)</f>
        <v xml:space="preserve">SI_A_ROT_WEAPON_BRAKE </v>
      </c>
      <c r="C1169" s="7">
        <v>6</v>
      </c>
      <c r="D1169" s="2" t="str">
        <f>VLOOKUP($C1169,SkillEnum!$D$2:$E$10,2,FALSE)</f>
        <v>ST_ACTIVE</v>
      </c>
      <c r="E1169" s="7" t="str">
        <f>VLOOKUP($A1169,SkillEnum!$A$2:$C$1020,3,FALSE)</f>
        <v>웨폰 브레이크</v>
      </c>
      <c r="F1169" s="7" t="str">
        <f t="shared" si="158"/>
        <v>나소드 핸드의 강한 힘으로 적의 무기를 공격하여 물리 공격력의 450 % 피해를 입히고, 60 % 확률로 대상의 무기를 파괴하여 20초간 공격력을 70 % 감소 시킨다.</v>
      </c>
      <c r="G1169" s="2">
        <v>8</v>
      </c>
      <c r="H1169" s="2">
        <v>4.5</v>
      </c>
      <c r="I1169" s="2">
        <v>10</v>
      </c>
      <c r="J1169" s="2">
        <v>30</v>
      </c>
      <c r="K1169" s="2">
        <v>0</v>
      </c>
      <c r="L1169" s="2">
        <v>0</v>
      </c>
      <c r="M1169" s="2">
        <v>0</v>
      </c>
      <c r="N1169" s="2">
        <v>0</v>
      </c>
      <c r="O1169" s="2">
        <v>0</v>
      </c>
      <c r="P1169" s="2" t="s">
        <v>441</v>
      </c>
      <c r="Q1169" s="2" t="str">
        <f t="shared" si="157"/>
        <v xml:space="preserve">SI_A_ROT_WEAPON_BRAKE </v>
      </c>
      <c r="R1169" s="2" t="b">
        <v>0</v>
      </c>
      <c r="S1169" s="2" t="b">
        <v>1</v>
      </c>
      <c r="T1169" s="2">
        <v>1</v>
      </c>
      <c r="U1169" s="2" t="b">
        <v>1</v>
      </c>
      <c r="V1169" s="1" t="s">
        <v>490</v>
      </c>
      <c r="W1169" s="2">
        <v>0.6</v>
      </c>
    </row>
    <row r="1170" spans="1:23">
      <c r="A1170" s="4">
        <v>2703</v>
      </c>
      <c r="B1170" s="7" t="str">
        <f>VLOOKUP($A1170,SkillEnum!$A$2:$C$1020,2,FALSE)</f>
        <v xml:space="preserve">SI_A_ROT_WEAPON_BRAKE </v>
      </c>
      <c r="C1170" s="7">
        <v>6</v>
      </c>
      <c r="D1170" s="2" t="str">
        <f>VLOOKUP($C1170,SkillEnum!$D$2:$E$10,2,FALSE)</f>
        <v>ST_ACTIVE</v>
      </c>
      <c r="E1170" s="7" t="str">
        <f>VLOOKUP($A1170,SkillEnum!$A$2:$C$1020,3,FALSE)</f>
        <v>웨폰 브레이크</v>
      </c>
      <c r="F1170" s="7" t="str">
        <f t="shared" si="158"/>
        <v>나소드 핸드의 강한 힘으로 적의 무기를 공격하여 물리 공격력의 500 % 피해를 입히고, 60 % 확률로 대상의 무기를 파괴하여 20초간 공격력을 70 % 감소 시킨다.</v>
      </c>
      <c r="G1170" s="2">
        <v>9</v>
      </c>
      <c r="H1170" s="2">
        <v>5</v>
      </c>
      <c r="I1170" s="2">
        <v>10</v>
      </c>
      <c r="J1170" s="2">
        <v>30</v>
      </c>
      <c r="K1170" s="2">
        <v>0</v>
      </c>
      <c r="L1170" s="2">
        <v>0</v>
      </c>
      <c r="M1170" s="2">
        <v>0</v>
      </c>
      <c r="N1170" s="2">
        <v>0</v>
      </c>
      <c r="O1170" s="2">
        <v>0</v>
      </c>
      <c r="P1170" s="2" t="s">
        <v>441</v>
      </c>
      <c r="Q1170" s="2" t="str">
        <f t="shared" si="157"/>
        <v xml:space="preserve">SI_A_ROT_WEAPON_BRAKE </v>
      </c>
      <c r="R1170" s="2" t="b">
        <v>0</v>
      </c>
      <c r="S1170" s="2" t="b">
        <v>1</v>
      </c>
      <c r="T1170" s="2">
        <v>1</v>
      </c>
      <c r="U1170" s="2" t="b">
        <v>1</v>
      </c>
      <c r="V1170" s="1" t="s">
        <v>490</v>
      </c>
      <c r="W1170" s="2">
        <v>0.6</v>
      </c>
    </row>
    <row r="1171" spans="1:23" s="5" customFormat="1">
      <c r="A1171" s="6">
        <v>2703</v>
      </c>
      <c r="B1171" s="8" t="str">
        <f>VLOOKUP($A1171,SkillEnum!$A$2:$C$1020,2,FALSE)</f>
        <v xml:space="preserve">SI_A_ROT_WEAPON_BRAKE </v>
      </c>
      <c r="C1171" s="8">
        <v>6</v>
      </c>
      <c r="D1171" s="5" t="str">
        <f>VLOOKUP($C1171,SkillEnum!$D$2:$E$10,2,FALSE)</f>
        <v>ST_ACTIVE</v>
      </c>
      <c r="E1171" s="8" t="str">
        <f>VLOOKUP($A1171,SkillEnum!$A$2:$C$1020,3,FALSE)</f>
        <v>웨폰 브레이크</v>
      </c>
      <c r="F1171" s="7" t="str">
        <f t="shared" si="158"/>
        <v>나소드 핸드의 강한 힘으로 적의 무기를 공격하여 물리 공격력의 550 % 피해를 입히고, 60 % 확률로 대상의 무기를 파괴하여 20초간 공격력을 70 % 감소 시킨다.</v>
      </c>
      <c r="G1171" s="5">
        <v>10</v>
      </c>
      <c r="H1171" s="5">
        <v>5.5</v>
      </c>
      <c r="I1171" s="5">
        <v>10</v>
      </c>
      <c r="J1171" s="5">
        <v>30</v>
      </c>
      <c r="K1171" s="5">
        <v>0</v>
      </c>
      <c r="L1171" s="5">
        <v>0</v>
      </c>
      <c r="M1171" s="5">
        <v>0</v>
      </c>
      <c r="N1171" s="5">
        <v>0</v>
      </c>
      <c r="O1171" s="5">
        <v>0</v>
      </c>
      <c r="P1171" s="2" t="s">
        <v>441</v>
      </c>
      <c r="Q1171" s="2" t="str">
        <f t="shared" si="157"/>
        <v xml:space="preserve">SI_A_ROT_WEAPON_BRAKE </v>
      </c>
      <c r="R1171" s="5" t="b">
        <v>0</v>
      </c>
      <c r="S1171" s="2" t="b">
        <v>1</v>
      </c>
      <c r="T1171" s="2">
        <v>1</v>
      </c>
      <c r="U1171" s="2" t="b">
        <v>1</v>
      </c>
      <c r="V1171" s="5" t="s">
        <v>490</v>
      </c>
      <c r="W1171" s="5">
        <v>0.6</v>
      </c>
    </row>
    <row r="1172" spans="1:23" s="10" customFormat="1">
      <c r="A1172" s="9">
        <v>2900</v>
      </c>
      <c r="B1172" s="11" t="str">
        <f>VLOOKUP($A1172,SkillEnum!$A$2:$C$1020,2,FALSE)</f>
        <v>SI_P_RF_THRUST</v>
      </c>
      <c r="C1172" s="11">
        <v>8</v>
      </c>
      <c r="D1172" s="10" t="str">
        <f>VLOOKUP($C1172,SkillEnum!$D$2:$E$10,2,FALSE)</f>
        <v>ST_PASSIVE</v>
      </c>
      <c r="E1172" s="11" t="str">
        <f>VLOOKUP($A1172,SkillEnum!$A$2:$C$1020,3,FALSE)</f>
        <v>섀도우 피어싱</v>
      </c>
      <c r="F1172" s="11" t="str">
        <f>"섀도우스탭을 진행하는 도중 Z키를 통해 물리공격력의 "&amp;ROUND(W1172*100,0)&amp;" % 데미지로 돌연 찌르기를 할 수 있다."</f>
        <v>섀도우스탭을 진행하는 도중 Z키를 통해 물리공격력의 300 % 데미지로 돌연 찌르기를 할 수 있다.</v>
      </c>
      <c r="G1172" s="10">
        <v>1</v>
      </c>
      <c r="H1172" s="10">
        <v>1</v>
      </c>
      <c r="I1172" s="2">
        <v>0</v>
      </c>
      <c r="J1172" s="10">
        <v>10</v>
      </c>
      <c r="K1172" s="2">
        <v>0</v>
      </c>
      <c r="L1172" s="2">
        <v>0</v>
      </c>
      <c r="M1172" s="2">
        <v>0</v>
      </c>
      <c r="N1172" s="2">
        <v>0</v>
      </c>
      <c r="O1172" s="2">
        <v>0</v>
      </c>
      <c r="P1172" s="2" t="s">
        <v>441</v>
      </c>
      <c r="Q1172" s="2" t="str">
        <f t="shared" si="146"/>
        <v>SI_P_RF_THRUST</v>
      </c>
      <c r="R1172" s="2" t="b">
        <v>0</v>
      </c>
      <c r="S1172" s="2" t="b">
        <v>1</v>
      </c>
      <c r="T1172" s="2">
        <v>0</v>
      </c>
      <c r="U1172" s="2"/>
      <c r="V1172" s="10" t="s">
        <v>244</v>
      </c>
      <c r="W1172" s="10">
        <v>3</v>
      </c>
    </row>
    <row r="1173" spans="1:23">
      <c r="A1173" s="4">
        <v>2900</v>
      </c>
      <c r="B1173" s="7" t="str">
        <f>VLOOKUP($A1173,SkillEnum!$A$2:$C$1020,2,FALSE)</f>
        <v>SI_P_RF_THRUST</v>
      </c>
      <c r="C1173" s="7">
        <v>8</v>
      </c>
      <c r="D1173" s="2" t="str">
        <f>VLOOKUP($C1173,SkillEnum!$D$2:$E$10,2,FALSE)</f>
        <v>ST_PASSIVE</v>
      </c>
      <c r="E1173" s="7" t="str">
        <f>VLOOKUP($A1173,SkillEnum!$A$2:$C$1020,3,FALSE)</f>
        <v>섀도우 피어싱</v>
      </c>
      <c r="F1173" s="7" t="str">
        <f t="shared" ref="F1173:F1181" si="159">"섀도우스탭을 진행하는 도중 Z키를 통해 물리공격력의 "&amp;ROUND(W1173*100,0)&amp;" % 데미지로 돌연 찌르기를 할 수 있다."</f>
        <v>섀도우스탭을 진행하는 도중 Z키를 통해 물리공격력의 325 % 데미지로 돌연 찌르기를 할 수 있다.</v>
      </c>
      <c r="G1173" s="2">
        <v>2</v>
      </c>
      <c r="H1173" s="2">
        <v>1</v>
      </c>
      <c r="I1173" s="2">
        <v>0</v>
      </c>
      <c r="J1173" s="2">
        <v>10</v>
      </c>
      <c r="K1173" s="2">
        <v>0</v>
      </c>
      <c r="L1173" s="2">
        <v>0</v>
      </c>
      <c r="M1173" s="2">
        <v>0</v>
      </c>
      <c r="N1173" s="2">
        <v>0</v>
      </c>
      <c r="O1173" s="2">
        <v>0</v>
      </c>
      <c r="P1173" s="2" t="s">
        <v>441</v>
      </c>
      <c r="Q1173" s="2" t="str">
        <f t="shared" si="146"/>
        <v>SI_P_RF_THRUST</v>
      </c>
      <c r="R1173" s="2" t="b">
        <v>0</v>
      </c>
      <c r="S1173" s="2" t="b">
        <v>1</v>
      </c>
      <c r="T1173" s="2">
        <v>0</v>
      </c>
      <c r="V1173" s="2" t="s">
        <v>244</v>
      </c>
      <c r="W1173" s="2">
        <v>3.25</v>
      </c>
    </row>
    <row r="1174" spans="1:23">
      <c r="A1174" s="4">
        <v>2900</v>
      </c>
      <c r="B1174" s="7" t="str">
        <f>VLOOKUP($A1174,SkillEnum!$A$2:$C$1020,2,FALSE)</f>
        <v>SI_P_RF_THRUST</v>
      </c>
      <c r="C1174" s="7">
        <v>8</v>
      </c>
      <c r="D1174" s="2" t="str">
        <f>VLOOKUP($C1174,SkillEnum!$D$2:$E$10,2,FALSE)</f>
        <v>ST_PASSIVE</v>
      </c>
      <c r="E1174" s="7" t="str">
        <f>VLOOKUP($A1174,SkillEnum!$A$2:$C$1020,3,FALSE)</f>
        <v>섀도우 피어싱</v>
      </c>
      <c r="F1174" s="7" t="str">
        <f t="shared" si="159"/>
        <v>섀도우스탭을 진행하는 도중 Z키를 통해 물리공격력의 350 % 데미지로 돌연 찌르기를 할 수 있다.</v>
      </c>
      <c r="G1174" s="2">
        <v>3</v>
      </c>
      <c r="H1174" s="2">
        <v>1</v>
      </c>
      <c r="I1174" s="2">
        <v>0</v>
      </c>
      <c r="J1174" s="2">
        <v>10</v>
      </c>
      <c r="K1174" s="2">
        <v>0</v>
      </c>
      <c r="L1174" s="2">
        <v>0</v>
      </c>
      <c r="M1174" s="2">
        <v>0</v>
      </c>
      <c r="N1174" s="2">
        <v>0</v>
      </c>
      <c r="O1174" s="2">
        <v>0</v>
      </c>
      <c r="P1174" s="2" t="s">
        <v>441</v>
      </c>
      <c r="Q1174" s="2" t="str">
        <f t="shared" si="146"/>
        <v>SI_P_RF_THRUST</v>
      </c>
      <c r="R1174" s="2" t="b">
        <v>0</v>
      </c>
      <c r="S1174" s="2" t="b">
        <v>1</v>
      </c>
      <c r="T1174" s="2">
        <v>0</v>
      </c>
      <c r="V1174" s="2" t="s">
        <v>244</v>
      </c>
      <c r="W1174" s="2">
        <v>3.5</v>
      </c>
    </row>
    <row r="1175" spans="1:23">
      <c r="A1175" s="4">
        <v>2900</v>
      </c>
      <c r="B1175" s="7" t="str">
        <f>VLOOKUP($A1175,SkillEnum!$A$2:$C$1020,2,FALSE)</f>
        <v>SI_P_RF_THRUST</v>
      </c>
      <c r="C1175" s="7">
        <v>8</v>
      </c>
      <c r="D1175" s="2" t="str">
        <f>VLOOKUP($C1175,SkillEnum!$D$2:$E$10,2,FALSE)</f>
        <v>ST_PASSIVE</v>
      </c>
      <c r="E1175" s="7" t="str">
        <f>VLOOKUP($A1175,SkillEnum!$A$2:$C$1020,3,FALSE)</f>
        <v>섀도우 피어싱</v>
      </c>
      <c r="F1175" s="7" t="str">
        <f t="shared" si="159"/>
        <v>섀도우스탭을 진행하는 도중 Z키를 통해 물리공격력의 375 % 데미지로 돌연 찌르기를 할 수 있다.</v>
      </c>
      <c r="G1175" s="2">
        <v>4</v>
      </c>
      <c r="H1175" s="2">
        <v>1</v>
      </c>
      <c r="I1175" s="2">
        <v>0</v>
      </c>
      <c r="J1175" s="2">
        <v>10</v>
      </c>
      <c r="K1175" s="2">
        <v>0</v>
      </c>
      <c r="L1175" s="2">
        <v>0</v>
      </c>
      <c r="M1175" s="2">
        <v>0</v>
      </c>
      <c r="N1175" s="2">
        <v>0</v>
      </c>
      <c r="O1175" s="2">
        <v>0</v>
      </c>
      <c r="P1175" s="2" t="s">
        <v>441</v>
      </c>
      <c r="Q1175" s="2" t="str">
        <f t="shared" si="146"/>
        <v>SI_P_RF_THRUST</v>
      </c>
      <c r="R1175" s="2" t="b">
        <v>0</v>
      </c>
      <c r="S1175" s="2" t="b">
        <v>1</v>
      </c>
      <c r="T1175" s="2">
        <v>0</v>
      </c>
      <c r="V1175" s="2" t="s">
        <v>244</v>
      </c>
      <c r="W1175" s="2">
        <v>3.75</v>
      </c>
    </row>
    <row r="1176" spans="1:23">
      <c r="A1176" s="4">
        <v>2900</v>
      </c>
      <c r="B1176" s="7" t="str">
        <f>VLOOKUP($A1176,SkillEnum!$A$2:$C$1020,2,FALSE)</f>
        <v>SI_P_RF_THRUST</v>
      </c>
      <c r="C1176" s="7">
        <v>8</v>
      </c>
      <c r="D1176" s="2" t="str">
        <f>VLOOKUP($C1176,SkillEnum!$D$2:$E$10,2,FALSE)</f>
        <v>ST_PASSIVE</v>
      </c>
      <c r="E1176" s="7" t="str">
        <f>VLOOKUP($A1176,SkillEnum!$A$2:$C$1020,3,FALSE)</f>
        <v>섀도우 피어싱</v>
      </c>
      <c r="F1176" s="7" t="str">
        <f t="shared" si="159"/>
        <v>섀도우스탭을 진행하는 도중 Z키를 통해 물리공격력의 400 % 데미지로 돌연 찌르기를 할 수 있다.</v>
      </c>
      <c r="G1176" s="2">
        <v>5</v>
      </c>
      <c r="H1176" s="2">
        <v>1</v>
      </c>
      <c r="I1176" s="2">
        <v>0</v>
      </c>
      <c r="J1176" s="2">
        <v>10</v>
      </c>
      <c r="K1176" s="2">
        <v>0</v>
      </c>
      <c r="L1176" s="2">
        <v>0</v>
      </c>
      <c r="M1176" s="2">
        <v>0</v>
      </c>
      <c r="N1176" s="2">
        <v>0</v>
      </c>
      <c r="O1176" s="2">
        <v>0</v>
      </c>
      <c r="P1176" s="2" t="s">
        <v>441</v>
      </c>
      <c r="Q1176" s="2" t="str">
        <f t="shared" si="146"/>
        <v>SI_P_RF_THRUST</v>
      </c>
      <c r="R1176" s="2" t="b">
        <v>0</v>
      </c>
      <c r="S1176" s="2" t="b">
        <v>1</v>
      </c>
      <c r="T1176" s="2">
        <v>0</v>
      </c>
      <c r="V1176" s="2" t="s">
        <v>244</v>
      </c>
      <c r="W1176" s="2">
        <v>4</v>
      </c>
    </row>
    <row r="1177" spans="1:23">
      <c r="A1177" s="4">
        <v>2900</v>
      </c>
      <c r="B1177" s="7" t="str">
        <f>VLOOKUP($A1177,SkillEnum!$A$2:$C$1020,2,FALSE)</f>
        <v>SI_P_RF_THRUST</v>
      </c>
      <c r="C1177" s="7">
        <v>8</v>
      </c>
      <c r="D1177" s="2" t="str">
        <f>VLOOKUP($C1177,SkillEnum!$D$2:$E$10,2,FALSE)</f>
        <v>ST_PASSIVE</v>
      </c>
      <c r="E1177" s="7" t="str">
        <f>VLOOKUP($A1177,SkillEnum!$A$2:$C$1020,3,FALSE)</f>
        <v>섀도우 피어싱</v>
      </c>
      <c r="F1177" s="7" t="str">
        <f t="shared" si="159"/>
        <v>섀도우스탭을 진행하는 도중 Z키를 통해 물리공격력의 425 % 데미지로 돌연 찌르기를 할 수 있다.</v>
      </c>
      <c r="G1177" s="2">
        <v>6</v>
      </c>
      <c r="H1177" s="2">
        <v>1</v>
      </c>
      <c r="I1177" s="2">
        <v>0</v>
      </c>
      <c r="J1177" s="2">
        <v>10</v>
      </c>
      <c r="K1177" s="2">
        <v>0</v>
      </c>
      <c r="L1177" s="2">
        <v>0</v>
      </c>
      <c r="M1177" s="2">
        <v>0</v>
      </c>
      <c r="N1177" s="2">
        <v>0</v>
      </c>
      <c r="O1177" s="2">
        <v>0</v>
      </c>
      <c r="P1177" s="2" t="s">
        <v>441</v>
      </c>
      <c r="Q1177" s="2" t="str">
        <f t="shared" si="146"/>
        <v>SI_P_RF_THRUST</v>
      </c>
      <c r="R1177" s="2" t="b">
        <v>0</v>
      </c>
      <c r="S1177" s="2" t="b">
        <v>1</v>
      </c>
      <c r="T1177" s="2">
        <v>0</v>
      </c>
      <c r="V1177" s="2" t="s">
        <v>244</v>
      </c>
      <c r="W1177" s="2">
        <v>4.25</v>
      </c>
    </row>
    <row r="1178" spans="1:23">
      <c r="A1178" s="4">
        <v>2900</v>
      </c>
      <c r="B1178" s="7" t="str">
        <f>VLOOKUP($A1178,SkillEnum!$A$2:$C$1020,2,FALSE)</f>
        <v>SI_P_RF_THRUST</v>
      </c>
      <c r="C1178" s="7">
        <v>8</v>
      </c>
      <c r="D1178" s="2" t="str">
        <f>VLOOKUP($C1178,SkillEnum!$D$2:$E$10,2,FALSE)</f>
        <v>ST_PASSIVE</v>
      </c>
      <c r="E1178" s="7" t="str">
        <f>VLOOKUP($A1178,SkillEnum!$A$2:$C$1020,3,FALSE)</f>
        <v>섀도우 피어싱</v>
      </c>
      <c r="F1178" s="7" t="str">
        <f t="shared" si="159"/>
        <v>섀도우스탭을 진행하는 도중 Z키를 통해 물리공격력의 450 % 데미지로 돌연 찌르기를 할 수 있다.</v>
      </c>
      <c r="G1178" s="2">
        <v>7</v>
      </c>
      <c r="H1178" s="2">
        <v>1</v>
      </c>
      <c r="I1178" s="2">
        <v>0</v>
      </c>
      <c r="J1178" s="2">
        <v>10</v>
      </c>
      <c r="K1178" s="2">
        <v>0</v>
      </c>
      <c r="L1178" s="2">
        <v>0</v>
      </c>
      <c r="M1178" s="2">
        <v>0</v>
      </c>
      <c r="N1178" s="2">
        <v>0</v>
      </c>
      <c r="O1178" s="2">
        <v>0</v>
      </c>
      <c r="P1178" s="2" t="s">
        <v>441</v>
      </c>
      <c r="Q1178" s="2" t="str">
        <f t="shared" si="146"/>
        <v>SI_P_RF_THRUST</v>
      </c>
      <c r="R1178" s="2" t="b">
        <v>0</v>
      </c>
      <c r="S1178" s="2" t="b">
        <v>1</v>
      </c>
      <c r="T1178" s="2">
        <v>0</v>
      </c>
      <c r="V1178" s="2" t="s">
        <v>244</v>
      </c>
      <c r="W1178" s="2">
        <v>4.5</v>
      </c>
    </row>
    <row r="1179" spans="1:23">
      <c r="A1179" s="4">
        <v>2900</v>
      </c>
      <c r="B1179" s="7" t="str">
        <f>VLOOKUP($A1179,SkillEnum!$A$2:$C$1020,2,FALSE)</f>
        <v>SI_P_RF_THRUST</v>
      </c>
      <c r="C1179" s="7">
        <v>8</v>
      </c>
      <c r="D1179" s="2" t="str">
        <f>VLOOKUP($C1179,SkillEnum!$D$2:$E$10,2,FALSE)</f>
        <v>ST_PASSIVE</v>
      </c>
      <c r="E1179" s="7" t="str">
        <f>VLOOKUP($A1179,SkillEnum!$A$2:$C$1020,3,FALSE)</f>
        <v>섀도우 피어싱</v>
      </c>
      <c r="F1179" s="7" t="str">
        <f t="shared" si="159"/>
        <v>섀도우스탭을 진행하는 도중 Z키를 통해 물리공격력의 475 % 데미지로 돌연 찌르기를 할 수 있다.</v>
      </c>
      <c r="G1179" s="2">
        <v>8</v>
      </c>
      <c r="H1179" s="2">
        <v>1</v>
      </c>
      <c r="I1179" s="2">
        <v>0</v>
      </c>
      <c r="J1179" s="2">
        <v>10</v>
      </c>
      <c r="K1179" s="2">
        <v>0</v>
      </c>
      <c r="L1179" s="2">
        <v>0</v>
      </c>
      <c r="M1179" s="2">
        <v>0</v>
      </c>
      <c r="N1179" s="2">
        <v>0</v>
      </c>
      <c r="O1179" s="2">
        <v>0</v>
      </c>
      <c r="P1179" s="2" t="s">
        <v>441</v>
      </c>
      <c r="Q1179" s="2" t="str">
        <f t="shared" si="146"/>
        <v>SI_P_RF_THRUST</v>
      </c>
      <c r="R1179" s="2" t="b">
        <v>0</v>
      </c>
      <c r="S1179" s="2" t="b">
        <v>1</v>
      </c>
      <c r="T1179" s="2">
        <v>0</v>
      </c>
      <c r="V1179" s="2" t="s">
        <v>244</v>
      </c>
      <c r="W1179" s="2">
        <v>4.75</v>
      </c>
    </row>
    <row r="1180" spans="1:23">
      <c r="A1180" s="4">
        <v>2900</v>
      </c>
      <c r="B1180" s="7" t="str">
        <f>VLOOKUP($A1180,SkillEnum!$A$2:$C$1020,2,FALSE)</f>
        <v>SI_P_RF_THRUST</v>
      </c>
      <c r="C1180" s="7">
        <v>8</v>
      </c>
      <c r="D1180" s="2" t="str">
        <f>VLOOKUP($C1180,SkillEnum!$D$2:$E$10,2,FALSE)</f>
        <v>ST_PASSIVE</v>
      </c>
      <c r="E1180" s="7" t="str">
        <f>VLOOKUP($A1180,SkillEnum!$A$2:$C$1020,3,FALSE)</f>
        <v>섀도우 피어싱</v>
      </c>
      <c r="F1180" s="7" t="str">
        <f t="shared" si="159"/>
        <v>섀도우스탭을 진행하는 도중 Z키를 통해 물리공격력의 500 % 데미지로 돌연 찌르기를 할 수 있다.</v>
      </c>
      <c r="G1180" s="2">
        <v>9</v>
      </c>
      <c r="H1180" s="2">
        <v>1</v>
      </c>
      <c r="I1180" s="2">
        <v>0</v>
      </c>
      <c r="J1180" s="2">
        <v>10</v>
      </c>
      <c r="K1180" s="2">
        <v>0</v>
      </c>
      <c r="L1180" s="2">
        <v>0</v>
      </c>
      <c r="M1180" s="2">
        <v>0</v>
      </c>
      <c r="N1180" s="2">
        <v>0</v>
      </c>
      <c r="O1180" s="2">
        <v>0</v>
      </c>
      <c r="P1180" s="2" t="s">
        <v>441</v>
      </c>
      <c r="Q1180" s="2" t="str">
        <f t="shared" si="146"/>
        <v>SI_P_RF_THRUST</v>
      </c>
      <c r="R1180" s="2" t="b">
        <v>0</v>
      </c>
      <c r="S1180" s="2" t="b">
        <v>1</v>
      </c>
      <c r="T1180" s="2">
        <v>0</v>
      </c>
      <c r="V1180" s="2" t="s">
        <v>244</v>
      </c>
      <c r="W1180" s="2">
        <v>5</v>
      </c>
    </row>
    <row r="1181" spans="1:23" s="5" customFormat="1">
      <c r="A1181" s="6">
        <v>2900</v>
      </c>
      <c r="B1181" s="8" t="str">
        <f>VLOOKUP($A1181,SkillEnum!$A$2:$C$1020,2,FALSE)</f>
        <v>SI_P_RF_THRUST</v>
      </c>
      <c r="C1181" s="8">
        <v>8</v>
      </c>
      <c r="D1181" s="5" t="str">
        <f>VLOOKUP($C1181,SkillEnum!$D$2:$E$10,2,FALSE)</f>
        <v>ST_PASSIVE</v>
      </c>
      <c r="E1181" s="8" t="str">
        <f>VLOOKUP($A1181,SkillEnum!$A$2:$C$1020,3,FALSE)</f>
        <v>섀도우 피어싱</v>
      </c>
      <c r="F1181" s="8" t="str">
        <f t="shared" si="159"/>
        <v>섀도우스탭을 진행하는 도중 Z키를 통해 물리공격력의 525 % 데미지로 돌연 찌르기를 할 수 있다.</v>
      </c>
      <c r="G1181" s="5">
        <v>10</v>
      </c>
      <c r="H1181" s="5">
        <v>1</v>
      </c>
      <c r="I1181" s="5">
        <v>0</v>
      </c>
      <c r="J1181" s="5">
        <v>10</v>
      </c>
      <c r="K1181" s="5">
        <v>0</v>
      </c>
      <c r="L1181" s="5">
        <v>0</v>
      </c>
      <c r="M1181" s="5">
        <v>0</v>
      </c>
      <c r="N1181" s="5">
        <v>0</v>
      </c>
      <c r="O1181" s="5">
        <v>0</v>
      </c>
      <c r="P1181" s="2" t="s">
        <v>441</v>
      </c>
      <c r="Q1181" s="2" t="str">
        <f t="shared" si="146"/>
        <v>SI_P_RF_THRUST</v>
      </c>
      <c r="R1181" s="5" t="b">
        <v>0</v>
      </c>
      <c r="S1181" s="2" t="b">
        <v>1</v>
      </c>
      <c r="T1181" s="2">
        <v>0</v>
      </c>
      <c r="U1181" s="2"/>
      <c r="V1181" s="5" t="s">
        <v>244</v>
      </c>
      <c r="W1181" s="5">
        <v>5.25</v>
      </c>
    </row>
    <row r="1182" spans="1:23">
      <c r="A1182" s="4">
        <v>3000</v>
      </c>
      <c r="B1182" s="7" t="str">
        <f>VLOOKUP($A1182,SkillEnum!$A$2:$C$1020,2,FALSE)</f>
        <v>SI_SA_EN_ILLUSION_STRIKE</v>
      </c>
      <c r="C1182" s="7">
        <v>7</v>
      </c>
      <c r="D1182" s="2" t="str">
        <f>VLOOKUP($C1182,SkillEnum!$D$2:$E$10,2,FALSE)</f>
        <v>ST_SPECIAL_ACTIVE</v>
      </c>
      <c r="E1182" s="11" t="str">
        <f>VLOOKUP($A1182,SkillEnum!$A$2:$C$1020,3,FALSE)</f>
        <v>일루전 스트라이크</v>
      </c>
      <c r="F1182" s="11" t="str">
        <f>"8개의 기어를 소환해  순차적으로 적을 공격하여 타격당 물리공격력의 "&amp;ROUND(0.85*H1182*100,0)&amp;" % 데미지를 준다."</f>
        <v>8개의 기어를 소환해  순차적으로 적을 공격하여 타격당 물리공격력의 60 % 데미지를 준다.</v>
      </c>
      <c r="G1182" s="10">
        <v>1</v>
      </c>
      <c r="H1182" s="2">
        <v>0.7</v>
      </c>
      <c r="I1182" s="2">
        <v>3</v>
      </c>
      <c r="J1182" s="10">
        <v>100</v>
      </c>
      <c r="K1182" s="2">
        <v>0</v>
      </c>
      <c r="L1182" s="2">
        <v>0</v>
      </c>
      <c r="M1182" s="2">
        <v>0</v>
      </c>
      <c r="N1182" s="2">
        <v>0</v>
      </c>
      <c r="O1182" s="2">
        <v>0</v>
      </c>
      <c r="P1182" s="2" t="s">
        <v>443</v>
      </c>
      <c r="Q1182" s="2" t="str">
        <f t="shared" si="146"/>
        <v>SI_SA_EN_ILLUSION_STRIKE</v>
      </c>
      <c r="R1182" s="2" t="b">
        <v>0</v>
      </c>
      <c r="S1182" s="2" t="b">
        <v>1</v>
      </c>
      <c r="T1182" s="2">
        <v>1</v>
      </c>
    </row>
    <row r="1183" spans="1:23">
      <c r="A1183" s="4">
        <v>3000</v>
      </c>
      <c r="B1183" s="7" t="str">
        <f>VLOOKUP($A1183,SkillEnum!$A$2:$C$1020,2,FALSE)</f>
        <v>SI_SA_EN_ILLUSION_STRIKE</v>
      </c>
      <c r="C1183" s="7">
        <v>7</v>
      </c>
      <c r="D1183" s="2" t="str">
        <f>VLOOKUP($C1183,SkillEnum!$D$2:$E$10,2,FALSE)</f>
        <v>ST_SPECIAL_ACTIVE</v>
      </c>
      <c r="E1183" s="7" t="str">
        <f>VLOOKUP($A1183,SkillEnum!$A$2:$C$1020,3,FALSE)</f>
        <v>일루전 스트라이크</v>
      </c>
      <c r="F1183" s="7" t="str">
        <f t="shared" ref="F1183:F1191" si="160">"8개의 기어를 소환해  순차적으로 적을 공격하여 타격당 물리공격력의 "&amp;ROUND(0.85*H1183*100,0)&amp;" % 데미지를 준다."</f>
        <v>8개의 기어를 소환해  순차적으로 적을 공격하여 타격당 물리공격력의 71 % 데미지를 준다.</v>
      </c>
      <c r="G1183" s="2">
        <v>2</v>
      </c>
      <c r="H1183" s="2">
        <v>0.84</v>
      </c>
      <c r="I1183" s="2">
        <v>3</v>
      </c>
      <c r="J1183" s="2">
        <v>100</v>
      </c>
      <c r="K1183" s="2">
        <v>0</v>
      </c>
      <c r="L1183" s="2">
        <v>0</v>
      </c>
      <c r="M1183" s="2">
        <v>0</v>
      </c>
      <c r="N1183" s="2">
        <v>0</v>
      </c>
      <c r="O1183" s="2">
        <v>0</v>
      </c>
      <c r="P1183" s="2" t="s">
        <v>443</v>
      </c>
      <c r="Q1183" s="2" t="str">
        <f t="shared" si="146"/>
        <v>SI_SA_EN_ILLUSION_STRIKE</v>
      </c>
      <c r="R1183" s="2" t="b">
        <v>0</v>
      </c>
      <c r="S1183" s="2" t="b">
        <v>1</v>
      </c>
      <c r="T1183" s="2">
        <v>1</v>
      </c>
    </row>
    <row r="1184" spans="1:23">
      <c r="A1184" s="4">
        <v>3000</v>
      </c>
      <c r="B1184" s="7" t="str">
        <f>VLOOKUP($A1184,SkillEnum!$A$2:$C$1020,2,FALSE)</f>
        <v>SI_SA_EN_ILLUSION_STRIKE</v>
      </c>
      <c r="C1184" s="7">
        <v>7</v>
      </c>
      <c r="D1184" s="2" t="str">
        <f>VLOOKUP($C1184,SkillEnum!$D$2:$E$10,2,FALSE)</f>
        <v>ST_SPECIAL_ACTIVE</v>
      </c>
      <c r="E1184" s="7" t="str">
        <f>VLOOKUP($A1184,SkillEnum!$A$2:$C$1020,3,FALSE)</f>
        <v>일루전 스트라이크</v>
      </c>
      <c r="F1184" s="7" t="str">
        <f t="shared" si="160"/>
        <v>8개의 기어를 소환해  순차적으로 적을 공격하여 타격당 물리공격력의 83 % 데미지를 준다.</v>
      </c>
      <c r="G1184" s="2">
        <v>3</v>
      </c>
      <c r="H1184" s="2">
        <v>0.98</v>
      </c>
      <c r="I1184" s="2">
        <v>3</v>
      </c>
      <c r="J1184" s="2">
        <v>100</v>
      </c>
      <c r="K1184" s="2">
        <v>0</v>
      </c>
      <c r="L1184" s="2">
        <v>0</v>
      </c>
      <c r="M1184" s="2">
        <v>0</v>
      </c>
      <c r="N1184" s="2">
        <v>0</v>
      </c>
      <c r="O1184" s="2">
        <v>0</v>
      </c>
      <c r="P1184" s="2" t="s">
        <v>443</v>
      </c>
      <c r="Q1184" s="2" t="str">
        <f t="shared" si="146"/>
        <v>SI_SA_EN_ILLUSION_STRIKE</v>
      </c>
      <c r="R1184" s="2" t="b">
        <v>0</v>
      </c>
      <c r="S1184" s="2" t="b">
        <v>1</v>
      </c>
      <c r="T1184" s="2">
        <v>1</v>
      </c>
    </row>
    <row r="1185" spans="1:21">
      <c r="A1185" s="4">
        <v>3000</v>
      </c>
      <c r="B1185" s="7" t="str">
        <f>VLOOKUP($A1185,SkillEnum!$A$2:$C$1020,2,FALSE)</f>
        <v>SI_SA_EN_ILLUSION_STRIKE</v>
      </c>
      <c r="C1185" s="7">
        <v>7</v>
      </c>
      <c r="D1185" s="2" t="str">
        <f>VLOOKUP($C1185,SkillEnum!$D$2:$E$10,2,FALSE)</f>
        <v>ST_SPECIAL_ACTIVE</v>
      </c>
      <c r="E1185" s="7" t="str">
        <f>VLOOKUP($A1185,SkillEnum!$A$2:$C$1020,3,FALSE)</f>
        <v>일루전 스트라이크</v>
      </c>
      <c r="F1185" s="7" t="str">
        <f t="shared" si="160"/>
        <v>8개의 기어를 소환해  순차적으로 적을 공격하여 타격당 물리공격력의 95 % 데미지를 준다.</v>
      </c>
      <c r="G1185" s="2">
        <v>4</v>
      </c>
      <c r="H1185" s="2">
        <v>1.1200000000000001</v>
      </c>
      <c r="I1185" s="2">
        <v>3</v>
      </c>
      <c r="J1185" s="2">
        <v>100</v>
      </c>
      <c r="K1185" s="2">
        <v>0</v>
      </c>
      <c r="L1185" s="2">
        <v>0</v>
      </c>
      <c r="M1185" s="2">
        <v>0</v>
      </c>
      <c r="N1185" s="2">
        <v>0</v>
      </c>
      <c r="O1185" s="2">
        <v>0</v>
      </c>
      <c r="P1185" s="2" t="s">
        <v>443</v>
      </c>
      <c r="Q1185" s="2" t="str">
        <f t="shared" si="146"/>
        <v>SI_SA_EN_ILLUSION_STRIKE</v>
      </c>
      <c r="R1185" s="2" t="b">
        <v>0</v>
      </c>
      <c r="S1185" s="2" t="b">
        <v>1</v>
      </c>
      <c r="T1185" s="2">
        <v>1</v>
      </c>
    </row>
    <row r="1186" spans="1:21">
      <c r="A1186" s="4">
        <v>3000</v>
      </c>
      <c r="B1186" s="7" t="str">
        <f>VLOOKUP($A1186,SkillEnum!$A$2:$C$1020,2,FALSE)</f>
        <v>SI_SA_EN_ILLUSION_STRIKE</v>
      </c>
      <c r="C1186" s="7">
        <v>7</v>
      </c>
      <c r="D1186" s="2" t="str">
        <f>VLOOKUP($C1186,SkillEnum!$D$2:$E$10,2,FALSE)</f>
        <v>ST_SPECIAL_ACTIVE</v>
      </c>
      <c r="E1186" s="7" t="str">
        <f>VLOOKUP($A1186,SkillEnum!$A$2:$C$1020,3,FALSE)</f>
        <v>일루전 스트라이크</v>
      </c>
      <c r="F1186" s="7" t="str">
        <f t="shared" si="160"/>
        <v>8개의 기어를 소환해  순차적으로 적을 공격하여 타격당 물리공격력의 113 % 데미지를 준다.</v>
      </c>
      <c r="G1186" s="2">
        <v>5</v>
      </c>
      <c r="H1186" s="2">
        <v>1.33</v>
      </c>
      <c r="I1186" s="2">
        <v>3</v>
      </c>
      <c r="J1186" s="2">
        <v>100</v>
      </c>
      <c r="K1186" s="2">
        <v>0</v>
      </c>
      <c r="L1186" s="2">
        <v>0</v>
      </c>
      <c r="M1186" s="2">
        <v>0</v>
      </c>
      <c r="N1186" s="2">
        <v>0</v>
      </c>
      <c r="O1186" s="2">
        <v>0</v>
      </c>
      <c r="P1186" s="2" t="s">
        <v>443</v>
      </c>
      <c r="Q1186" s="2" t="str">
        <f t="shared" si="146"/>
        <v>SI_SA_EN_ILLUSION_STRIKE</v>
      </c>
      <c r="R1186" s="2" t="b">
        <v>0</v>
      </c>
      <c r="S1186" s="2" t="b">
        <v>1</v>
      </c>
      <c r="T1186" s="2">
        <v>1</v>
      </c>
    </row>
    <row r="1187" spans="1:21">
      <c r="A1187" s="4">
        <v>3000</v>
      </c>
      <c r="B1187" s="7" t="str">
        <f>VLOOKUP($A1187,SkillEnum!$A$2:$C$1020,2,FALSE)</f>
        <v>SI_SA_EN_ILLUSION_STRIKE</v>
      </c>
      <c r="C1187" s="7">
        <v>7</v>
      </c>
      <c r="D1187" s="2" t="str">
        <f>VLOOKUP($C1187,SkillEnum!$D$2:$E$10,2,FALSE)</f>
        <v>ST_SPECIAL_ACTIVE</v>
      </c>
      <c r="E1187" s="7" t="str">
        <f>VLOOKUP($A1187,SkillEnum!$A$2:$C$1020,3,FALSE)</f>
        <v>일루전 스트라이크</v>
      </c>
      <c r="F1187" s="7" t="str">
        <f t="shared" si="160"/>
        <v>8개의 기어를 소환해  순차적으로 적을 공격하여 타격당 물리공격력의 131 % 데미지를 준다.</v>
      </c>
      <c r="G1187" s="2">
        <v>6</v>
      </c>
      <c r="H1187" s="2">
        <v>1.54</v>
      </c>
      <c r="I1187" s="2">
        <v>3</v>
      </c>
      <c r="J1187" s="2">
        <v>100</v>
      </c>
      <c r="K1187" s="2">
        <v>0</v>
      </c>
      <c r="L1187" s="2">
        <v>0</v>
      </c>
      <c r="M1187" s="2">
        <v>0</v>
      </c>
      <c r="N1187" s="2">
        <v>0</v>
      </c>
      <c r="O1187" s="2">
        <v>0</v>
      </c>
      <c r="P1187" s="2" t="s">
        <v>443</v>
      </c>
      <c r="Q1187" s="2" t="str">
        <f t="shared" ref="Q1187:Q1250" si="161">B1187</f>
        <v>SI_SA_EN_ILLUSION_STRIKE</v>
      </c>
      <c r="R1187" s="2" t="b">
        <v>0</v>
      </c>
      <c r="S1187" s="2" t="b">
        <v>1</v>
      </c>
      <c r="T1187" s="2">
        <v>1</v>
      </c>
    </row>
    <row r="1188" spans="1:21">
      <c r="A1188" s="4">
        <v>3000</v>
      </c>
      <c r="B1188" s="7" t="str">
        <f>VLOOKUP($A1188,SkillEnum!$A$2:$C$1020,2,FALSE)</f>
        <v>SI_SA_EN_ILLUSION_STRIKE</v>
      </c>
      <c r="C1188" s="7">
        <v>7</v>
      </c>
      <c r="D1188" s="2" t="str">
        <f>VLOOKUP($C1188,SkillEnum!$D$2:$E$10,2,FALSE)</f>
        <v>ST_SPECIAL_ACTIVE</v>
      </c>
      <c r="E1188" s="7" t="str">
        <f>VLOOKUP($A1188,SkillEnum!$A$2:$C$1020,3,FALSE)</f>
        <v>일루전 스트라이크</v>
      </c>
      <c r="F1188" s="7" t="str">
        <f t="shared" si="160"/>
        <v>8개의 기어를 소환해  순차적으로 적을 공격하여 타격당 물리공격력의 149 % 데미지를 준다.</v>
      </c>
      <c r="G1188" s="2">
        <v>7</v>
      </c>
      <c r="H1188" s="2">
        <v>1.75</v>
      </c>
      <c r="I1188" s="2">
        <v>3</v>
      </c>
      <c r="J1188" s="2">
        <v>100</v>
      </c>
      <c r="K1188" s="2">
        <v>0</v>
      </c>
      <c r="L1188" s="2">
        <v>0</v>
      </c>
      <c r="M1188" s="2">
        <v>0</v>
      </c>
      <c r="N1188" s="2">
        <v>0</v>
      </c>
      <c r="O1188" s="2">
        <v>0</v>
      </c>
      <c r="P1188" s="2" t="s">
        <v>443</v>
      </c>
      <c r="Q1188" s="2" t="str">
        <f t="shared" si="161"/>
        <v>SI_SA_EN_ILLUSION_STRIKE</v>
      </c>
      <c r="R1188" s="2" t="b">
        <v>0</v>
      </c>
      <c r="S1188" s="2" t="b">
        <v>1</v>
      </c>
      <c r="T1188" s="2">
        <v>1</v>
      </c>
    </row>
    <row r="1189" spans="1:21">
      <c r="A1189" s="4">
        <v>3000</v>
      </c>
      <c r="B1189" s="7" t="str">
        <f>VLOOKUP($A1189,SkillEnum!$A$2:$C$1020,2,FALSE)</f>
        <v>SI_SA_EN_ILLUSION_STRIKE</v>
      </c>
      <c r="C1189" s="7">
        <v>7</v>
      </c>
      <c r="D1189" s="2" t="str">
        <f>VLOOKUP($C1189,SkillEnum!$D$2:$E$10,2,FALSE)</f>
        <v>ST_SPECIAL_ACTIVE</v>
      </c>
      <c r="E1189" s="7" t="str">
        <f>VLOOKUP($A1189,SkillEnum!$A$2:$C$1020,3,FALSE)</f>
        <v>일루전 스트라이크</v>
      </c>
      <c r="F1189" s="7" t="str">
        <f t="shared" si="160"/>
        <v>8개의 기어를 소환해  순차적으로 적을 공격하여 타격당 물리공격력의 167 % 데미지를 준다.</v>
      </c>
      <c r="G1189" s="2">
        <v>8</v>
      </c>
      <c r="H1189" s="2">
        <v>1.96</v>
      </c>
      <c r="I1189" s="2">
        <v>3</v>
      </c>
      <c r="J1189" s="2">
        <v>100</v>
      </c>
      <c r="K1189" s="2">
        <v>0</v>
      </c>
      <c r="L1189" s="2">
        <v>0</v>
      </c>
      <c r="M1189" s="2">
        <v>0</v>
      </c>
      <c r="N1189" s="2">
        <v>0</v>
      </c>
      <c r="O1189" s="2">
        <v>0</v>
      </c>
      <c r="P1189" s="2" t="s">
        <v>443</v>
      </c>
      <c r="Q1189" s="2" t="str">
        <f t="shared" si="161"/>
        <v>SI_SA_EN_ILLUSION_STRIKE</v>
      </c>
      <c r="R1189" s="2" t="b">
        <v>0</v>
      </c>
      <c r="S1189" s="2" t="b">
        <v>1</v>
      </c>
      <c r="T1189" s="2">
        <v>1</v>
      </c>
    </row>
    <row r="1190" spans="1:21">
      <c r="A1190" s="4">
        <v>3000</v>
      </c>
      <c r="B1190" s="7" t="str">
        <f>VLOOKUP($A1190,SkillEnum!$A$2:$C$1020,2,FALSE)</f>
        <v>SI_SA_EN_ILLUSION_STRIKE</v>
      </c>
      <c r="C1190" s="7">
        <v>7</v>
      </c>
      <c r="D1190" s="2" t="str">
        <f>VLOOKUP($C1190,SkillEnum!$D$2:$E$10,2,FALSE)</f>
        <v>ST_SPECIAL_ACTIVE</v>
      </c>
      <c r="E1190" s="7" t="str">
        <f>VLOOKUP($A1190,SkillEnum!$A$2:$C$1020,3,FALSE)</f>
        <v>일루전 스트라이크</v>
      </c>
      <c r="F1190" s="7" t="str">
        <f t="shared" si="160"/>
        <v>8개의 기어를 소환해  순차적으로 적을 공격하여 타격당 물리공격력의 190 % 데미지를 준다.</v>
      </c>
      <c r="G1190" s="2">
        <v>9</v>
      </c>
      <c r="H1190" s="2">
        <v>2.2400000000000002</v>
      </c>
      <c r="I1190" s="2">
        <v>3</v>
      </c>
      <c r="J1190" s="2">
        <v>100</v>
      </c>
      <c r="K1190" s="2">
        <v>0</v>
      </c>
      <c r="L1190" s="2">
        <v>0</v>
      </c>
      <c r="M1190" s="2">
        <v>0</v>
      </c>
      <c r="N1190" s="2">
        <v>0</v>
      </c>
      <c r="O1190" s="2">
        <v>0</v>
      </c>
      <c r="P1190" s="2" t="s">
        <v>443</v>
      </c>
      <c r="Q1190" s="2" t="str">
        <f t="shared" si="161"/>
        <v>SI_SA_EN_ILLUSION_STRIKE</v>
      </c>
      <c r="R1190" s="2" t="b">
        <v>0</v>
      </c>
      <c r="S1190" s="2" t="b">
        <v>1</v>
      </c>
      <c r="T1190" s="2">
        <v>1</v>
      </c>
    </row>
    <row r="1191" spans="1:21" s="5" customFormat="1">
      <c r="A1191" s="6">
        <v>3000</v>
      </c>
      <c r="B1191" s="8" t="str">
        <f>VLOOKUP($A1191,SkillEnum!$A$2:$C$1020,2,FALSE)</f>
        <v>SI_SA_EN_ILLUSION_STRIKE</v>
      </c>
      <c r="C1191" s="8">
        <v>7</v>
      </c>
      <c r="D1191" s="5" t="str">
        <f>VLOOKUP($C1191,SkillEnum!$D$2:$E$10,2,FALSE)</f>
        <v>ST_SPECIAL_ACTIVE</v>
      </c>
      <c r="E1191" s="8" t="str">
        <f>VLOOKUP($A1191,SkillEnum!$A$2:$C$1020,3,FALSE)</f>
        <v>일루전 스트라이크</v>
      </c>
      <c r="F1191" s="8" t="str">
        <f t="shared" si="160"/>
        <v>8개의 기어를 소환해  순차적으로 적을 공격하여 타격당 물리공격력의 214 % 데미지를 준다.</v>
      </c>
      <c r="G1191" s="5">
        <v>10</v>
      </c>
      <c r="H1191" s="5">
        <v>2.52</v>
      </c>
      <c r="I1191" s="5">
        <v>3</v>
      </c>
      <c r="J1191" s="5">
        <v>100</v>
      </c>
      <c r="K1191" s="5">
        <v>0</v>
      </c>
      <c r="L1191" s="5">
        <v>0</v>
      </c>
      <c r="M1191" s="5">
        <v>0</v>
      </c>
      <c r="N1191" s="5">
        <v>0</v>
      </c>
      <c r="O1191" s="5">
        <v>0</v>
      </c>
      <c r="P1191" s="2" t="s">
        <v>443</v>
      </c>
      <c r="Q1191" s="2" t="str">
        <f t="shared" si="161"/>
        <v>SI_SA_EN_ILLUSION_STRIKE</v>
      </c>
      <c r="R1191" s="5" t="b">
        <v>0</v>
      </c>
      <c r="S1191" s="2" t="b">
        <v>1</v>
      </c>
      <c r="T1191" s="2">
        <v>1</v>
      </c>
      <c r="U1191" s="2"/>
    </row>
    <row r="1192" spans="1:21">
      <c r="A1192" s="4">
        <v>3001</v>
      </c>
      <c r="B1192" s="7" t="str">
        <f>VLOOKUP($A1192,SkillEnum!$A$2:$C$1020,2,FALSE)</f>
        <v>SI_SA_EN_DIMENSION_LINK</v>
      </c>
      <c r="C1192" s="7">
        <v>7</v>
      </c>
      <c r="D1192" s="2" t="str">
        <f>VLOOKUP($C1192,SkillEnum!$D$2:$E$10,2,FALSE)</f>
        <v>ST_SPECIAL_ACTIVE</v>
      </c>
      <c r="E1192" s="11" t="str">
        <f>VLOOKUP($A1192,SkillEnum!$A$2:$C$1020,3,FALSE)</f>
        <v>디멘션 링크</v>
      </c>
      <c r="F1192" s="7" t="str">
        <f>"공간을 연결해  나소드정찰병을 소환한다. (소환수의 HP :시전자의 "&amp;ROUND(0.15*H1192*100,0)&amp;" % , 물리공격력 : 시전자의 "&amp;ROUND(1*H1192*100,0)&amp;" % , 마법공격력 : 시전자의 "&amp;ROUND(1*H1192*100,0)&amp;" % , 물리방어력 : 시전자의 "&amp;ROUND(1*H1192*100,0)&amp;" % , 마법방어력 "&amp;ROUND(0.8*H1192*100,0)&amp;" %)"</f>
        <v>공간을 연결해  나소드정찰병을 소환한다. (소환수의 HP :시전자의 11 % , 물리공격력 : 시전자의 70 % , 마법공격력 : 시전자의 70 % , 물리방어력 : 시전자의 70 % , 마법방어력 56 %)</v>
      </c>
      <c r="G1192" s="10">
        <v>1</v>
      </c>
      <c r="H1192" s="2">
        <v>0.7</v>
      </c>
      <c r="I1192" s="2">
        <v>3</v>
      </c>
      <c r="J1192" s="10">
        <v>70</v>
      </c>
      <c r="K1192" s="2">
        <v>0</v>
      </c>
      <c r="L1192" s="2">
        <v>0</v>
      </c>
      <c r="M1192" s="2">
        <v>0</v>
      </c>
      <c r="N1192" s="2">
        <v>0</v>
      </c>
      <c r="O1192" s="2">
        <v>0</v>
      </c>
      <c r="P1192" s="2" t="s">
        <v>443</v>
      </c>
      <c r="Q1192" s="2" t="str">
        <f t="shared" si="161"/>
        <v>SI_SA_EN_DIMENSION_LINK</v>
      </c>
      <c r="R1192" s="2" t="b">
        <v>0</v>
      </c>
      <c r="S1192" s="2" t="b">
        <v>1</v>
      </c>
      <c r="T1192" s="2">
        <v>1</v>
      </c>
    </row>
    <row r="1193" spans="1:21">
      <c r="A1193" s="4">
        <v>3001</v>
      </c>
      <c r="B1193" s="7" t="str">
        <f>VLOOKUP($A1193,SkillEnum!$A$2:$C$1020,2,FALSE)</f>
        <v>SI_SA_EN_DIMENSION_LINK</v>
      </c>
      <c r="C1193" s="7">
        <v>7</v>
      </c>
      <c r="D1193" s="2" t="str">
        <f>VLOOKUP($C1193,SkillEnum!$D$2:$E$10,2,FALSE)</f>
        <v>ST_SPECIAL_ACTIVE</v>
      </c>
      <c r="E1193" s="7" t="str">
        <f>VLOOKUP($A1193,SkillEnum!$A$2:$C$1020,3,FALSE)</f>
        <v>디멘션 링크</v>
      </c>
      <c r="F1193" s="7" t="str">
        <f t="shared" ref="F1193:F1201" si="162">"공간을 연결해  나소드정찰병을 소환한다. (소환수의 HP :시전자의 "&amp;ROUND(0.15*H1193*100,0)&amp;" % , 물리공격력 : 시전자의 "&amp;ROUND(1*H1193*100,0)&amp;" % , 마법공격력 : 시전자의 "&amp;ROUND(1*H1193*100,0)&amp;" % , 물리방어력 : 시전자의 "&amp;ROUND(1*H1193*100,0)&amp;" % , 마법방어력 "&amp;ROUND(0.8*H1193*100,0)&amp;" %)"</f>
        <v>공간을 연결해  나소드정찰병을 소환한다. (소환수의 HP :시전자의 13 % , 물리공격력 : 시전자의 84 % , 마법공격력 : 시전자의 84 % , 물리방어력 : 시전자의 84 % , 마법방어력 67 %)</v>
      </c>
      <c r="G1193" s="2">
        <v>2</v>
      </c>
      <c r="H1193" s="2">
        <v>0.84</v>
      </c>
      <c r="I1193" s="2">
        <v>3</v>
      </c>
      <c r="J1193" s="2">
        <v>70</v>
      </c>
      <c r="K1193" s="2">
        <v>0</v>
      </c>
      <c r="L1193" s="2">
        <v>0</v>
      </c>
      <c r="M1193" s="2">
        <v>0</v>
      </c>
      <c r="N1193" s="2">
        <v>0</v>
      </c>
      <c r="O1193" s="2">
        <v>0</v>
      </c>
      <c r="P1193" s="2" t="s">
        <v>443</v>
      </c>
      <c r="Q1193" s="2" t="str">
        <f t="shared" si="161"/>
        <v>SI_SA_EN_DIMENSION_LINK</v>
      </c>
      <c r="R1193" s="2" t="b">
        <v>0</v>
      </c>
      <c r="S1193" s="2" t="b">
        <v>1</v>
      </c>
      <c r="T1193" s="2">
        <v>1</v>
      </c>
    </row>
    <row r="1194" spans="1:21">
      <c r="A1194" s="4">
        <v>3001</v>
      </c>
      <c r="B1194" s="7" t="str">
        <f>VLOOKUP($A1194,SkillEnum!$A$2:$C$1020,2,FALSE)</f>
        <v>SI_SA_EN_DIMENSION_LINK</v>
      </c>
      <c r="C1194" s="7">
        <v>7</v>
      </c>
      <c r="D1194" s="2" t="str">
        <f>VLOOKUP($C1194,SkillEnum!$D$2:$E$10,2,FALSE)</f>
        <v>ST_SPECIAL_ACTIVE</v>
      </c>
      <c r="E1194" s="7" t="str">
        <f>VLOOKUP($A1194,SkillEnum!$A$2:$C$1020,3,FALSE)</f>
        <v>디멘션 링크</v>
      </c>
      <c r="F1194" s="7" t="str">
        <f t="shared" si="162"/>
        <v>공간을 연결해  나소드정찰병을 소환한다. (소환수의 HP :시전자의 15 % , 물리공격력 : 시전자의 98 % , 마법공격력 : 시전자의 98 % , 물리방어력 : 시전자의 98 % , 마법방어력 78 %)</v>
      </c>
      <c r="G1194" s="2">
        <v>3</v>
      </c>
      <c r="H1194" s="2">
        <v>0.98</v>
      </c>
      <c r="I1194" s="2">
        <v>3</v>
      </c>
      <c r="J1194" s="2">
        <v>70</v>
      </c>
      <c r="K1194" s="2">
        <v>0</v>
      </c>
      <c r="L1194" s="2">
        <v>0</v>
      </c>
      <c r="M1194" s="2">
        <v>0</v>
      </c>
      <c r="N1194" s="2">
        <v>0</v>
      </c>
      <c r="O1194" s="2">
        <v>0</v>
      </c>
      <c r="P1194" s="2" t="s">
        <v>443</v>
      </c>
      <c r="Q1194" s="2" t="str">
        <f t="shared" si="161"/>
        <v>SI_SA_EN_DIMENSION_LINK</v>
      </c>
      <c r="R1194" s="2" t="b">
        <v>0</v>
      </c>
      <c r="S1194" s="2" t="b">
        <v>1</v>
      </c>
      <c r="T1194" s="2">
        <v>1</v>
      </c>
    </row>
    <row r="1195" spans="1:21">
      <c r="A1195" s="4">
        <v>3001</v>
      </c>
      <c r="B1195" s="7" t="str">
        <f>VLOOKUP($A1195,SkillEnum!$A$2:$C$1020,2,FALSE)</f>
        <v>SI_SA_EN_DIMENSION_LINK</v>
      </c>
      <c r="C1195" s="7">
        <v>7</v>
      </c>
      <c r="D1195" s="2" t="str">
        <f>VLOOKUP($C1195,SkillEnum!$D$2:$E$10,2,FALSE)</f>
        <v>ST_SPECIAL_ACTIVE</v>
      </c>
      <c r="E1195" s="7" t="str">
        <f>VLOOKUP($A1195,SkillEnum!$A$2:$C$1020,3,FALSE)</f>
        <v>디멘션 링크</v>
      </c>
      <c r="F1195" s="7" t="str">
        <f t="shared" si="162"/>
        <v>공간을 연결해  나소드정찰병을 소환한다. (소환수의 HP :시전자의 17 % , 물리공격력 : 시전자의 112 % , 마법공격력 : 시전자의 112 % , 물리방어력 : 시전자의 112 % , 마법방어력 90 %)</v>
      </c>
      <c r="G1195" s="2">
        <v>4</v>
      </c>
      <c r="H1195" s="2">
        <v>1.1200000000000001</v>
      </c>
      <c r="I1195" s="2">
        <v>3</v>
      </c>
      <c r="J1195" s="2">
        <v>70</v>
      </c>
      <c r="K1195" s="2">
        <v>0</v>
      </c>
      <c r="L1195" s="2">
        <v>0</v>
      </c>
      <c r="M1195" s="2">
        <v>0</v>
      </c>
      <c r="N1195" s="2">
        <v>0</v>
      </c>
      <c r="O1195" s="2">
        <v>0</v>
      </c>
      <c r="P1195" s="2" t="s">
        <v>443</v>
      </c>
      <c r="Q1195" s="2" t="str">
        <f t="shared" si="161"/>
        <v>SI_SA_EN_DIMENSION_LINK</v>
      </c>
      <c r="R1195" s="2" t="b">
        <v>0</v>
      </c>
      <c r="S1195" s="2" t="b">
        <v>1</v>
      </c>
      <c r="T1195" s="2">
        <v>1</v>
      </c>
    </row>
    <row r="1196" spans="1:21">
      <c r="A1196" s="4">
        <v>3001</v>
      </c>
      <c r="B1196" s="7" t="str">
        <f>VLOOKUP($A1196,SkillEnum!$A$2:$C$1020,2,FALSE)</f>
        <v>SI_SA_EN_DIMENSION_LINK</v>
      </c>
      <c r="C1196" s="7">
        <v>7</v>
      </c>
      <c r="D1196" s="2" t="str">
        <f>VLOOKUP($C1196,SkillEnum!$D$2:$E$10,2,FALSE)</f>
        <v>ST_SPECIAL_ACTIVE</v>
      </c>
      <c r="E1196" s="7" t="str">
        <f>VLOOKUP($A1196,SkillEnum!$A$2:$C$1020,3,FALSE)</f>
        <v>디멘션 링크</v>
      </c>
      <c r="F1196" s="7" t="str">
        <f t="shared" si="162"/>
        <v>공간을 연결해  나소드정찰병을 소환한다. (소환수의 HP :시전자의 20 % , 물리공격력 : 시전자의 133 % , 마법공격력 : 시전자의 133 % , 물리방어력 : 시전자의 133 % , 마법방어력 106 %)</v>
      </c>
      <c r="G1196" s="2">
        <v>5</v>
      </c>
      <c r="H1196" s="2">
        <v>1.33</v>
      </c>
      <c r="I1196" s="2">
        <v>3</v>
      </c>
      <c r="J1196" s="2">
        <v>70</v>
      </c>
      <c r="K1196" s="2">
        <v>0</v>
      </c>
      <c r="L1196" s="2">
        <v>0</v>
      </c>
      <c r="M1196" s="2">
        <v>0</v>
      </c>
      <c r="N1196" s="2">
        <v>0</v>
      </c>
      <c r="O1196" s="2">
        <v>0</v>
      </c>
      <c r="P1196" s="2" t="s">
        <v>443</v>
      </c>
      <c r="Q1196" s="2" t="str">
        <f t="shared" si="161"/>
        <v>SI_SA_EN_DIMENSION_LINK</v>
      </c>
      <c r="R1196" s="2" t="b">
        <v>0</v>
      </c>
      <c r="S1196" s="2" t="b">
        <v>1</v>
      </c>
      <c r="T1196" s="2">
        <v>1</v>
      </c>
    </row>
    <row r="1197" spans="1:21">
      <c r="A1197" s="4">
        <v>3001</v>
      </c>
      <c r="B1197" s="7" t="str">
        <f>VLOOKUP($A1197,SkillEnum!$A$2:$C$1020,2,FALSE)</f>
        <v>SI_SA_EN_DIMENSION_LINK</v>
      </c>
      <c r="C1197" s="7">
        <v>7</v>
      </c>
      <c r="D1197" s="2" t="str">
        <f>VLOOKUP($C1197,SkillEnum!$D$2:$E$10,2,FALSE)</f>
        <v>ST_SPECIAL_ACTIVE</v>
      </c>
      <c r="E1197" s="7" t="str">
        <f>VLOOKUP($A1197,SkillEnum!$A$2:$C$1020,3,FALSE)</f>
        <v>디멘션 링크</v>
      </c>
      <c r="F1197" s="7" t="str">
        <f t="shared" si="162"/>
        <v>공간을 연결해  나소드정찰병을 소환한다. (소환수의 HP :시전자의 23 % , 물리공격력 : 시전자의 154 % , 마법공격력 : 시전자의 154 % , 물리방어력 : 시전자의 154 % , 마법방어력 123 %)</v>
      </c>
      <c r="G1197" s="2">
        <v>6</v>
      </c>
      <c r="H1197" s="2">
        <v>1.54</v>
      </c>
      <c r="I1197" s="2">
        <v>3</v>
      </c>
      <c r="J1197" s="2">
        <v>70</v>
      </c>
      <c r="K1197" s="2">
        <v>0</v>
      </c>
      <c r="L1197" s="2">
        <v>0</v>
      </c>
      <c r="M1197" s="2">
        <v>0</v>
      </c>
      <c r="N1197" s="2">
        <v>0</v>
      </c>
      <c r="O1197" s="2">
        <v>0</v>
      </c>
      <c r="P1197" s="2" t="s">
        <v>443</v>
      </c>
      <c r="Q1197" s="2" t="str">
        <f t="shared" si="161"/>
        <v>SI_SA_EN_DIMENSION_LINK</v>
      </c>
      <c r="R1197" s="2" t="b">
        <v>0</v>
      </c>
      <c r="S1197" s="2" t="b">
        <v>1</v>
      </c>
      <c r="T1197" s="2">
        <v>1</v>
      </c>
    </row>
    <row r="1198" spans="1:21">
      <c r="A1198" s="4">
        <v>3001</v>
      </c>
      <c r="B1198" s="7" t="str">
        <f>VLOOKUP($A1198,SkillEnum!$A$2:$C$1020,2,FALSE)</f>
        <v>SI_SA_EN_DIMENSION_LINK</v>
      </c>
      <c r="C1198" s="7">
        <v>7</v>
      </c>
      <c r="D1198" s="2" t="str">
        <f>VLOOKUP($C1198,SkillEnum!$D$2:$E$10,2,FALSE)</f>
        <v>ST_SPECIAL_ACTIVE</v>
      </c>
      <c r="E1198" s="7" t="str">
        <f>VLOOKUP($A1198,SkillEnum!$A$2:$C$1020,3,FALSE)</f>
        <v>디멘션 링크</v>
      </c>
      <c r="F1198" s="7" t="str">
        <f t="shared" si="162"/>
        <v>공간을 연결해  나소드정찰병을 소환한다. (소환수의 HP :시전자의 26 % , 물리공격력 : 시전자의 175 % , 마법공격력 : 시전자의 175 % , 물리방어력 : 시전자의 175 % , 마법방어력 140 %)</v>
      </c>
      <c r="G1198" s="2">
        <v>7</v>
      </c>
      <c r="H1198" s="2">
        <v>1.75</v>
      </c>
      <c r="I1198" s="2">
        <v>3</v>
      </c>
      <c r="J1198" s="2">
        <v>70</v>
      </c>
      <c r="K1198" s="2">
        <v>0</v>
      </c>
      <c r="L1198" s="2">
        <v>0</v>
      </c>
      <c r="M1198" s="2">
        <v>0</v>
      </c>
      <c r="N1198" s="2">
        <v>0</v>
      </c>
      <c r="O1198" s="2">
        <v>0</v>
      </c>
      <c r="P1198" s="2" t="s">
        <v>443</v>
      </c>
      <c r="Q1198" s="2" t="str">
        <f t="shared" si="161"/>
        <v>SI_SA_EN_DIMENSION_LINK</v>
      </c>
      <c r="R1198" s="2" t="b">
        <v>0</v>
      </c>
      <c r="S1198" s="2" t="b">
        <v>1</v>
      </c>
      <c r="T1198" s="2">
        <v>1</v>
      </c>
    </row>
    <row r="1199" spans="1:21">
      <c r="A1199" s="4">
        <v>3001</v>
      </c>
      <c r="B1199" s="7" t="str">
        <f>VLOOKUP($A1199,SkillEnum!$A$2:$C$1020,2,FALSE)</f>
        <v>SI_SA_EN_DIMENSION_LINK</v>
      </c>
      <c r="C1199" s="7">
        <v>7</v>
      </c>
      <c r="D1199" s="2" t="str">
        <f>VLOOKUP($C1199,SkillEnum!$D$2:$E$10,2,FALSE)</f>
        <v>ST_SPECIAL_ACTIVE</v>
      </c>
      <c r="E1199" s="7" t="str">
        <f>VLOOKUP($A1199,SkillEnum!$A$2:$C$1020,3,FALSE)</f>
        <v>디멘션 링크</v>
      </c>
      <c r="F1199" s="7" t="str">
        <f t="shared" si="162"/>
        <v>공간을 연결해  나소드정찰병을 소환한다. (소환수의 HP :시전자의 29 % , 물리공격력 : 시전자의 196 % , 마법공격력 : 시전자의 196 % , 물리방어력 : 시전자의 196 % , 마법방어력 157 %)</v>
      </c>
      <c r="G1199" s="2">
        <v>8</v>
      </c>
      <c r="H1199" s="2">
        <v>1.96</v>
      </c>
      <c r="I1199" s="2">
        <v>3</v>
      </c>
      <c r="J1199" s="2">
        <v>70</v>
      </c>
      <c r="K1199" s="2">
        <v>0</v>
      </c>
      <c r="L1199" s="2">
        <v>0</v>
      </c>
      <c r="M1199" s="2">
        <v>0</v>
      </c>
      <c r="N1199" s="2">
        <v>0</v>
      </c>
      <c r="O1199" s="2">
        <v>0</v>
      </c>
      <c r="P1199" s="2" t="s">
        <v>443</v>
      </c>
      <c r="Q1199" s="2" t="str">
        <f t="shared" si="161"/>
        <v>SI_SA_EN_DIMENSION_LINK</v>
      </c>
      <c r="R1199" s="2" t="b">
        <v>0</v>
      </c>
      <c r="S1199" s="2" t="b">
        <v>1</v>
      </c>
      <c r="T1199" s="2">
        <v>1</v>
      </c>
    </row>
    <row r="1200" spans="1:21">
      <c r="A1200" s="4">
        <v>3001</v>
      </c>
      <c r="B1200" s="7" t="str">
        <f>VLOOKUP($A1200,SkillEnum!$A$2:$C$1020,2,FALSE)</f>
        <v>SI_SA_EN_DIMENSION_LINK</v>
      </c>
      <c r="C1200" s="7">
        <v>7</v>
      </c>
      <c r="D1200" s="2" t="str">
        <f>VLOOKUP($C1200,SkillEnum!$D$2:$E$10,2,FALSE)</f>
        <v>ST_SPECIAL_ACTIVE</v>
      </c>
      <c r="E1200" s="7" t="str">
        <f>VLOOKUP($A1200,SkillEnum!$A$2:$C$1020,3,FALSE)</f>
        <v>디멘션 링크</v>
      </c>
      <c r="F1200" s="7" t="str">
        <f t="shared" si="162"/>
        <v>공간을 연결해  나소드정찰병을 소환한다. (소환수의 HP :시전자의 34 % , 물리공격력 : 시전자의 224 % , 마법공격력 : 시전자의 224 % , 물리방어력 : 시전자의 224 % , 마법방어력 179 %)</v>
      </c>
      <c r="G1200" s="2">
        <v>9</v>
      </c>
      <c r="H1200" s="2">
        <v>2.2400000000000002</v>
      </c>
      <c r="I1200" s="2">
        <v>3</v>
      </c>
      <c r="J1200" s="2">
        <v>70</v>
      </c>
      <c r="K1200" s="2">
        <v>0</v>
      </c>
      <c r="L1200" s="2">
        <v>0</v>
      </c>
      <c r="M1200" s="2">
        <v>0</v>
      </c>
      <c r="N1200" s="2">
        <v>0</v>
      </c>
      <c r="O1200" s="2">
        <v>0</v>
      </c>
      <c r="P1200" s="2" t="s">
        <v>443</v>
      </c>
      <c r="Q1200" s="2" t="str">
        <f t="shared" si="161"/>
        <v>SI_SA_EN_DIMENSION_LINK</v>
      </c>
      <c r="R1200" s="2" t="b">
        <v>0</v>
      </c>
      <c r="S1200" s="2" t="b">
        <v>1</v>
      </c>
      <c r="T1200" s="2">
        <v>1</v>
      </c>
    </row>
    <row r="1201" spans="1:21" s="5" customFormat="1">
      <c r="A1201" s="6">
        <v>3001</v>
      </c>
      <c r="B1201" s="8" t="str">
        <f>VLOOKUP($A1201,SkillEnum!$A$2:$C$1020,2,FALSE)</f>
        <v>SI_SA_EN_DIMENSION_LINK</v>
      </c>
      <c r="C1201" s="8">
        <v>7</v>
      </c>
      <c r="D1201" s="5" t="str">
        <f>VLOOKUP($C1201,SkillEnum!$D$2:$E$10,2,FALSE)</f>
        <v>ST_SPECIAL_ACTIVE</v>
      </c>
      <c r="E1201" s="8" t="str">
        <f>VLOOKUP($A1201,SkillEnum!$A$2:$C$1020,3,FALSE)</f>
        <v>디멘션 링크</v>
      </c>
      <c r="F1201" s="7" t="str">
        <f t="shared" si="162"/>
        <v>공간을 연결해  나소드정찰병을 소환한다. (소환수의 HP :시전자의 38 % , 물리공격력 : 시전자의 252 % , 마법공격력 : 시전자의 252 % , 물리방어력 : 시전자의 252 % , 마법방어력 202 %)</v>
      </c>
      <c r="G1201" s="5">
        <v>10</v>
      </c>
      <c r="H1201" s="5">
        <v>2.52</v>
      </c>
      <c r="I1201" s="5">
        <v>3</v>
      </c>
      <c r="J1201" s="5">
        <v>70</v>
      </c>
      <c r="K1201" s="5">
        <v>0</v>
      </c>
      <c r="L1201" s="5">
        <v>0</v>
      </c>
      <c r="M1201" s="5">
        <v>0</v>
      </c>
      <c r="N1201" s="5">
        <v>0</v>
      </c>
      <c r="O1201" s="5">
        <v>0</v>
      </c>
      <c r="P1201" s="2" t="s">
        <v>443</v>
      </c>
      <c r="Q1201" s="2" t="str">
        <f t="shared" si="161"/>
        <v>SI_SA_EN_DIMENSION_LINK</v>
      </c>
      <c r="R1201" s="5" t="b">
        <v>0</v>
      </c>
      <c r="S1201" s="2" t="b">
        <v>1</v>
      </c>
      <c r="T1201" s="2">
        <v>1</v>
      </c>
      <c r="U1201" s="2"/>
    </row>
    <row r="1202" spans="1:21">
      <c r="A1202" s="4">
        <v>3002</v>
      </c>
      <c r="B1202" s="7" t="str">
        <f>VLOOKUP($A1202,SkillEnum!$A$2:$C$1020,2,FALSE)</f>
        <v>SI_SA_EN_ILLUSION_STINGER</v>
      </c>
      <c r="C1202" s="7">
        <v>7</v>
      </c>
      <c r="D1202" s="2" t="str">
        <f>VLOOKUP($C1202,SkillEnum!$D$2:$E$10,2,FALSE)</f>
        <v>ST_SPECIAL_ACTIVE</v>
      </c>
      <c r="E1202" s="11" t="str">
        <f>VLOOKUP($A1202,SkillEnum!$A$2:$C$1020,3,FALSE)</f>
        <v>일루전 스팅어</v>
      </c>
      <c r="F1202" s="11" t="str">
        <f>"기어를 이용, 두 개의 창을 만들어 마법공격력의 "&amp;ROUND(1.41*H1202*100,0)&amp;" %로 적을 관통시키고 이동루트에 일렉트론 폭발을 일으켜 마법공격력의 "&amp;ROUND(1.3*H1202*100,0)&amp;" %로 연속타격을 한다."</f>
        <v>기어를 이용, 두 개의 창을 만들어 마법공격력의 99 %로 적을 관통시키고 이동루트에 일렉트론 폭발을 일으켜 마법공격력의 91 %로 연속타격을 한다.</v>
      </c>
      <c r="G1202" s="10">
        <v>1</v>
      </c>
      <c r="H1202" s="2">
        <v>0.7</v>
      </c>
      <c r="I1202" s="2">
        <v>10</v>
      </c>
      <c r="J1202" s="10">
        <v>200</v>
      </c>
      <c r="K1202" s="2">
        <v>0</v>
      </c>
      <c r="L1202" s="2">
        <v>0</v>
      </c>
      <c r="M1202" s="2">
        <v>0</v>
      </c>
      <c r="N1202" s="2">
        <v>0</v>
      </c>
      <c r="O1202" s="2">
        <v>0</v>
      </c>
      <c r="P1202" s="2" t="s">
        <v>443</v>
      </c>
      <c r="Q1202" s="2" t="str">
        <f t="shared" si="161"/>
        <v>SI_SA_EN_ILLUSION_STINGER</v>
      </c>
      <c r="R1202" s="2" t="b">
        <v>0</v>
      </c>
      <c r="S1202" s="2" t="b">
        <v>1</v>
      </c>
      <c r="T1202" s="2">
        <v>1</v>
      </c>
    </row>
    <row r="1203" spans="1:21">
      <c r="A1203" s="4">
        <v>3002</v>
      </c>
      <c r="B1203" s="7" t="str">
        <f>VLOOKUP($A1203,SkillEnum!$A$2:$C$1020,2,FALSE)</f>
        <v>SI_SA_EN_ILLUSION_STINGER</v>
      </c>
      <c r="C1203" s="7">
        <v>7</v>
      </c>
      <c r="D1203" s="2" t="str">
        <f>VLOOKUP($C1203,SkillEnum!$D$2:$E$10,2,FALSE)</f>
        <v>ST_SPECIAL_ACTIVE</v>
      </c>
      <c r="E1203" s="7" t="str">
        <f>VLOOKUP($A1203,SkillEnum!$A$2:$C$1020,3,FALSE)</f>
        <v>일루전 스팅어</v>
      </c>
      <c r="F1203" s="7" t="str">
        <f t="shared" ref="F1203:F1211" si="163">"기어를 이용, 두 개의 창을 만들어 마법공격력의 "&amp;ROUND(1.41*H1203*100,0)&amp;" %로 적을 관통시키고 이동루트에 일렉트론 폭발을 일으켜 마법공격력의 "&amp;ROUND(1.3*H1203*100,0)&amp;" %로 연속타격을 한다."</f>
        <v>기어를 이용, 두 개의 창을 만들어 마법공격력의 118 %로 적을 관통시키고 이동루트에 일렉트론 폭발을 일으켜 마법공격력의 109 %로 연속타격을 한다.</v>
      </c>
      <c r="G1203" s="2">
        <v>2</v>
      </c>
      <c r="H1203" s="2">
        <v>0.84</v>
      </c>
      <c r="I1203" s="2">
        <v>10</v>
      </c>
      <c r="J1203" s="2">
        <v>200</v>
      </c>
      <c r="K1203" s="2">
        <v>0</v>
      </c>
      <c r="L1203" s="2">
        <v>0</v>
      </c>
      <c r="M1203" s="2">
        <v>0</v>
      </c>
      <c r="N1203" s="2">
        <v>0</v>
      </c>
      <c r="O1203" s="2">
        <v>0</v>
      </c>
      <c r="P1203" s="2" t="s">
        <v>443</v>
      </c>
      <c r="Q1203" s="2" t="str">
        <f t="shared" si="161"/>
        <v>SI_SA_EN_ILLUSION_STINGER</v>
      </c>
      <c r="R1203" s="2" t="b">
        <v>0</v>
      </c>
      <c r="S1203" s="2" t="b">
        <v>1</v>
      </c>
      <c r="T1203" s="2">
        <v>1</v>
      </c>
    </row>
    <row r="1204" spans="1:21">
      <c r="A1204" s="4">
        <v>3002</v>
      </c>
      <c r="B1204" s="7" t="str">
        <f>VLOOKUP($A1204,SkillEnum!$A$2:$C$1020,2,FALSE)</f>
        <v>SI_SA_EN_ILLUSION_STINGER</v>
      </c>
      <c r="C1204" s="7">
        <v>7</v>
      </c>
      <c r="D1204" s="2" t="str">
        <f>VLOOKUP($C1204,SkillEnum!$D$2:$E$10,2,FALSE)</f>
        <v>ST_SPECIAL_ACTIVE</v>
      </c>
      <c r="E1204" s="7" t="str">
        <f>VLOOKUP($A1204,SkillEnum!$A$2:$C$1020,3,FALSE)</f>
        <v>일루전 스팅어</v>
      </c>
      <c r="F1204" s="7" t="str">
        <f t="shared" si="163"/>
        <v>기어를 이용, 두 개의 창을 만들어 마법공격력의 138 %로 적을 관통시키고 이동루트에 일렉트론 폭발을 일으켜 마법공격력의 127 %로 연속타격을 한다.</v>
      </c>
      <c r="G1204" s="2">
        <v>3</v>
      </c>
      <c r="H1204" s="2">
        <v>0.98</v>
      </c>
      <c r="I1204" s="2">
        <v>10</v>
      </c>
      <c r="J1204" s="2">
        <v>200</v>
      </c>
      <c r="K1204" s="2">
        <v>0</v>
      </c>
      <c r="L1204" s="2">
        <v>0</v>
      </c>
      <c r="M1204" s="2">
        <v>0</v>
      </c>
      <c r="N1204" s="2">
        <v>0</v>
      </c>
      <c r="O1204" s="2">
        <v>0</v>
      </c>
      <c r="P1204" s="2" t="s">
        <v>443</v>
      </c>
      <c r="Q1204" s="2" t="str">
        <f t="shared" si="161"/>
        <v>SI_SA_EN_ILLUSION_STINGER</v>
      </c>
      <c r="R1204" s="2" t="b">
        <v>0</v>
      </c>
      <c r="S1204" s="2" t="b">
        <v>1</v>
      </c>
      <c r="T1204" s="2">
        <v>1</v>
      </c>
    </row>
    <row r="1205" spans="1:21">
      <c r="A1205" s="4">
        <v>3002</v>
      </c>
      <c r="B1205" s="7" t="str">
        <f>VLOOKUP($A1205,SkillEnum!$A$2:$C$1020,2,FALSE)</f>
        <v>SI_SA_EN_ILLUSION_STINGER</v>
      </c>
      <c r="C1205" s="7">
        <v>7</v>
      </c>
      <c r="D1205" s="2" t="str">
        <f>VLOOKUP($C1205,SkillEnum!$D$2:$E$10,2,FALSE)</f>
        <v>ST_SPECIAL_ACTIVE</v>
      </c>
      <c r="E1205" s="7" t="str">
        <f>VLOOKUP($A1205,SkillEnum!$A$2:$C$1020,3,FALSE)</f>
        <v>일루전 스팅어</v>
      </c>
      <c r="F1205" s="7" t="str">
        <f t="shared" si="163"/>
        <v>기어를 이용, 두 개의 창을 만들어 마법공격력의 158 %로 적을 관통시키고 이동루트에 일렉트론 폭발을 일으켜 마법공격력의 146 %로 연속타격을 한다.</v>
      </c>
      <c r="G1205" s="2">
        <v>4</v>
      </c>
      <c r="H1205" s="2">
        <v>1.1200000000000001</v>
      </c>
      <c r="I1205" s="2">
        <v>10</v>
      </c>
      <c r="J1205" s="2">
        <v>200</v>
      </c>
      <c r="K1205" s="2">
        <v>0</v>
      </c>
      <c r="L1205" s="2">
        <v>0</v>
      </c>
      <c r="M1205" s="2">
        <v>0</v>
      </c>
      <c r="N1205" s="2">
        <v>0</v>
      </c>
      <c r="O1205" s="2">
        <v>0</v>
      </c>
      <c r="P1205" s="2" t="s">
        <v>443</v>
      </c>
      <c r="Q1205" s="2" t="str">
        <f t="shared" si="161"/>
        <v>SI_SA_EN_ILLUSION_STINGER</v>
      </c>
      <c r="R1205" s="2" t="b">
        <v>0</v>
      </c>
      <c r="S1205" s="2" t="b">
        <v>1</v>
      </c>
      <c r="T1205" s="2">
        <v>1</v>
      </c>
    </row>
    <row r="1206" spans="1:21">
      <c r="A1206" s="4">
        <v>3002</v>
      </c>
      <c r="B1206" s="7" t="str">
        <f>VLOOKUP($A1206,SkillEnum!$A$2:$C$1020,2,FALSE)</f>
        <v>SI_SA_EN_ILLUSION_STINGER</v>
      </c>
      <c r="C1206" s="7">
        <v>7</v>
      </c>
      <c r="D1206" s="2" t="str">
        <f>VLOOKUP($C1206,SkillEnum!$D$2:$E$10,2,FALSE)</f>
        <v>ST_SPECIAL_ACTIVE</v>
      </c>
      <c r="E1206" s="7" t="str">
        <f>VLOOKUP($A1206,SkillEnum!$A$2:$C$1020,3,FALSE)</f>
        <v>일루전 스팅어</v>
      </c>
      <c r="F1206" s="7" t="str">
        <f t="shared" si="163"/>
        <v>기어를 이용, 두 개의 창을 만들어 마법공격력의 188 %로 적을 관통시키고 이동루트에 일렉트론 폭발을 일으켜 마법공격력의 173 %로 연속타격을 한다.</v>
      </c>
      <c r="G1206" s="2">
        <v>5</v>
      </c>
      <c r="H1206" s="2">
        <v>1.33</v>
      </c>
      <c r="I1206" s="2">
        <v>10</v>
      </c>
      <c r="J1206" s="2">
        <v>200</v>
      </c>
      <c r="K1206" s="2">
        <v>0</v>
      </c>
      <c r="L1206" s="2">
        <v>0</v>
      </c>
      <c r="M1206" s="2">
        <v>0</v>
      </c>
      <c r="N1206" s="2">
        <v>0</v>
      </c>
      <c r="O1206" s="2">
        <v>0</v>
      </c>
      <c r="P1206" s="2" t="s">
        <v>443</v>
      </c>
      <c r="Q1206" s="2" t="str">
        <f t="shared" si="161"/>
        <v>SI_SA_EN_ILLUSION_STINGER</v>
      </c>
      <c r="R1206" s="2" t="b">
        <v>0</v>
      </c>
      <c r="S1206" s="2" t="b">
        <v>1</v>
      </c>
      <c r="T1206" s="2">
        <v>1</v>
      </c>
    </row>
    <row r="1207" spans="1:21">
      <c r="A1207" s="4">
        <v>3002</v>
      </c>
      <c r="B1207" s="7" t="str">
        <f>VLOOKUP($A1207,SkillEnum!$A$2:$C$1020,2,FALSE)</f>
        <v>SI_SA_EN_ILLUSION_STINGER</v>
      </c>
      <c r="C1207" s="7">
        <v>7</v>
      </c>
      <c r="D1207" s="2" t="str">
        <f>VLOOKUP($C1207,SkillEnum!$D$2:$E$10,2,FALSE)</f>
        <v>ST_SPECIAL_ACTIVE</v>
      </c>
      <c r="E1207" s="7" t="str">
        <f>VLOOKUP($A1207,SkillEnum!$A$2:$C$1020,3,FALSE)</f>
        <v>일루전 스팅어</v>
      </c>
      <c r="F1207" s="7" t="str">
        <f t="shared" si="163"/>
        <v>기어를 이용, 두 개의 창을 만들어 마법공격력의 217 %로 적을 관통시키고 이동루트에 일렉트론 폭발을 일으켜 마법공격력의 200 %로 연속타격을 한다.</v>
      </c>
      <c r="G1207" s="2">
        <v>6</v>
      </c>
      <c r="H1207" s="2">
        <v>1.54</v>
      </c>
      <c r="I1207" s="2">
        <v>10</v>
      </c>
      <c r="J1207" s="2">
        <v>200</v>
      </c>
      <c r="K1207" s="2">
        <v>0</v>
      </c>
      <c r="L1207" s="2">
        <v>0</v>
      </c>
      <c r="M1207" s="2">
        <v>0</v>
      </c>
      <c r="N1207" s="2">
        <v>0</v>
      </c>
      <c r="O1207" s="2">
        <v>0</v>
      </c>
      <c r="P1207" s="2" t="s">
        <v>443</v>
      </c>
      <c r="Q1207" s="2" t="str">
        <f t="shared" si="161"/>
        <v>SI_SA_EN_ILLUSION_STINGER</v>
      </c>
      <c r="R1207" s="2" t="b">
        <v>0</v>
      </c>
      <c r="S1207" s="2" t="b">
        <v>1</v>
      </c>
      <c r="T1207" s="2">
        <v>1</v>
      </c>
    </row>
    <row r="1208" spans="1:21">
      <c r="A1208" s="4">
        <v>3002</v>
      </c>
      <c r="B1208" s="7" t="str">
        <f>VLOOKUP($A1208,SkillEnum!$A$2:$C$1020,2,FALSE)</f>
        <v>SI_SA_EN_ILLUSION_STINGER</v>
      </c>
      <c r="C1208" s="7">
        <v>7</v>
      </c>
      <c r="D1208" s="2" t="str">
        <f>VLOOKUP($C1208,SkillEnum!$D$2:$E$10,2,FALSE)</f>
        <v>ST_SPECIAL_ACTIVE</v>
      </c>
      <c r="E1208" s="7" t="str">
        <f>VLOOKUP($A1208,SkillEnum!$A$2:$C$1020,3,FALSE)</f>
        <v>일루전 스팅어</v>
      </c>
      <c r="F1208" s="7" t="str">
        <f t="shared" si="163"/>
        <v>기어를 이용, 두 개의 창을 만들어 마법공격력의 247 %로 적을 관통시키고 이동루트에 일렉트론 폭발을 일으켜 마법공격력의 228 %로 연속타격을 한다.</v>
      </c>
      <c r="G1208" s="2">
        <v>7</v>
      </c>
      <c r="H1208" s="2">
        <v>1.75</v>
      </c>
      <c r="I1208" s="2">
        <v>10</v>
      </c>
      <c r="J1208" s="2">
        <v>200</v>
      </c>
      <c r="K1208" s="2">
        <v>0</v>
      </c>
      <c r="L1208" s="2">
        <v>0</v>
      </c>
      <c r="M1208" s="2">
        <v>0</v>
      </c>
      <c r="N1208" s="2">
        <v>0</v>
      </c>
      <c r="O1208" s="2">
        <v>0</v>
      </c>
      <c r="P1208" s="2" t="s">
        <v>443</v>
      </c>
      <c r="Q1208" s="2" t="str">
        <f t="shared" si="161"/>
        <v>SI_SA_EN_ILLUSION_STINGER</v>
      </c>
      <c r="R1208" s="2" t="b">
        <v>0</v>
      </c>
      <c r="S1208" s="2" t="b">
        <v>1</v>
      </c>
      <c r="T1208" s="2">
        <v>1</v>
      </c>
    </row>
    <row r="1209" spans="1:21">
      <c r="A1209" s="4">
        <v>3002</v>
      </c>
      <c r="B1209" s="7" t="str">
        <f>VLOOKUP($A1209,SkillEnum!$A$2:$C$1020,2,FALSE)</f>
        <v>SI_SA_EN_ILLUSION_STINGER</v>
      </c>
      <c r="C1209" s="7">
        <v>7</v>
      </c>
      <c r="D1209" s="2" t="str">
        <f>VLOOKUP($C1209,SkillEnum!$D$2:$E$10,2,FALSE)</f>
        <v>ST_SPECIAL_ACTIVE</v>
      </c>
      <c r="E1209" s="7" t="str">
        <f>VLOOKUP($A1209,SkillEnum!$A$2:$C$1020,3,FALSE)</f>
        <v>일루전 스팅어</v>
      </c>
      <c r="F1209" s="7" t="str">
        <f t="shared" si="163"/>
        <v>기어를 이용, 두 개의 창을 만들어 마법공격력의 276 %로 적을 관통시키고 이동루트에 일렉트론 폭발을 일으켜 마법공격력의 255 %로 연속타격을 한다.</v>
      </c>
      <c r="G1209" s="2">
        <v>8</v>
      </c>
      <c r="H1209" s="2">
        <v>1.96</v>
      </c>
      <c r="I1209" s="2">
        <v>10</v>
      </c>
      <c r="J1209" s="2">
        <v>200</v>
      </c>
      <c r="K1209" s="2">
        <v>0</v>
      </c>
      <c r="L1209" s="2">
        <v>0</v>
      </c>
      <c r="M1209" s="2">
        <v>0</v>
      </c>
      <c r="N1209" s="2">
        <v>0</v>
      </c>
      <c r="O1209" s="2">
        <v>0</v>
      </c>
      <c r="P1209" s="2" t="s">
        <v>443</v>
      </c>
      <c r="Q1209" s="2" t="str">
        <f t="shared" si="161"/>
        <v>SI_SA_EN_ILLUSION_STINGER</v>
      </c>
      <c r="R1209" s="2" t="b">
        <v>0</v>
      </c>
      <c r="S1209" s="2" t="b">
        <v>1</v>
      </c>
      <c r="T1209" s="2">
        <v>1</v>
      </c>
    </row>
    <row r="1210" spans="1:21">
      <c r="A1210" s="4">
        <v>3002</v>
      </c>
      <c r="B1210" s="7" t="str">
        <f>VLOOKUP($A1210,SkillEnum!$A$2:$C$1020,2,FALSE)</f>
        <v>SI_SA_EN_ILLUSION_STINGER</v>
      </c>
      <c r="C1210" s="7">
        <v>7</v>
      </c>
      <c r="D1210" s="2" t="str">
        <f>VLOOKUP($C1210,SkillEnum!$D$2:$E$10,2,FALSE)</f>
        <v>ST_SPECIAL_ACTIVE</v>
      </c>
      <c r="E1210" s="7" t="str">
        <f>VLOOKUP($A1210,SkillEnum!$A$2:$C$1020,3,FALSE)</f>
        <v>일루전 스팅어</v>
      </c>
      <c r="F1210" s="7" t="str">
        <f t="shared" si="163"/>
        <v>기어를 이용, 두 개의 창을 만들어 마법공격력의 316 %로 적을 관통시키고 이동루트에 일렉트론 폭발을 일으켜 마법공격력의 291 %로 연속타격을 한다.</v>
      </c>
      <c r="G1210" s="2">
        <v>9</v>
      </c>
      <c r="H1210" s="2">
        <v>2.2400000000000002</v>
      </c>
      <c r="I1210" s="2">
        <v>10</v>
      </c>
      <c r="J1210" s="2">
        <v>200</v>
      </c>
      <c r="K1210" s="2">
        <v>0</v>
      </c>
      <c r="L1210" s="2">
        <v>0</v>
      </c>
      <c r="M1210" s="2">
        <v>0</v>
      </c>
      <c r="N1210" s="2">
        <v>0</v>
      </c>
      <c r="O1210" s="2">
        <v>0</v>
      </c>
      <c r="P1210" s="2" t="s">
        <v>443</v>
      </c>
      <c r="Q1210" s="2" t="str">
        <f t="shared" si="161"/>
        <v>SI_SA_EN_ILLUSION_STINGER</v>
      </c>
      <c r="R1210" s="2" t="b">
        <v>0</v>
      </c>
      <c r="S1210" s="2" t="b">
        <v>1</v>
      </c>
      <c r="T1210" s="2">
        <v>1</v>
      </c>
    </row>
    <row r="1211" spans="1:21" s="5" customFormat="1">
      <c r="A1211" s="6">
        <v>3002</v>
      </c>
      <c r="B1211" s="8" t="str">
        <f>VLOOKUP($A1211,SkillEnum!$A$2:$C$1020,2,FALSE)</f>
        <v>SI_SA_EN_ILLUSION_STINGER</v>
      </c>
      <c r="C1211" s="8">
        <v>7</v>
      </c>
      <c r="D1211" s="5" t="str">
        <f>VLOOKUP($C1211,SkillEnum!$D$2:$E$10,2,FALSE)</f>
        <v>ST_SPECIAL_ACTIVE</v>
      </c>
      <c r="E1211" s="8" t="str">
        <f>VLOOKUP($A1211,SkillEnum!$A$2:$C$1020,3,FALSE)</f>
        <v>일루전 스팅어</v>
      </c>
      <c r="F1211" s="8" t="str">
        <f t="shared" si="163"/>
        <v>기어를 이용, 두 개의 창을 만들어 마법공격력의 355 %로 적을 관통시키고 이동루트에 일렉트론 폭발을 일으켜 마법공격력의 328 %로 연속타격을 한다.</v>
      </c>
      <c r="G1211" s="5">
        <v>10</v>
      </c>
      <c r="H1211" s="5">
        <v>2.52</v>
      </c>
      <c r="I1211" s="5">
        <v>10</v>
      </c>
      <c r="J1211" s="5">
        <v>200</v>
      </c>
      <c r="K1211" s="5">
        <v>0</v>
      </c>
      <c r="L1211" s="5">
        <v>0</v>
      </c>
      <c r="M1211" s="5">
        <v>0</v>
      </c>
      <c r="N1211" s="5">
        <v>0</v>
      </c>
      <c r="O1211" s="5">
        <v>0</v>
      </c>
      <c r="P1211" s="2" t="s">
        <v>443</v>
      </c>
      <c r="Q1211" s="2" t="str">
        <f t="shared" si="161"/>
        <v>SI_SA_EN_ILLUSION_STINGER</v>
      </c>
      <c r="R1211" s="5" t="b">
        <v>0</v>
      </c>
      <c r="S1211" s="2" t="b">
        <v>1</v>
      </c>
      <c r="T1211" s="2">
        <v>1</v>
      </c>
      <c r="U1211" s="2"/>
    </row>
    <row r="1212" spans="1:21">
      <c r="A1212" s="4">
        <v>3003</v>
      </c>
      <c r="B1212" s="7" t="str">
        <f>VLOOKUP($A1212,SkillEnum!$A$2:$C$1020,2,FALSE)</f>
        <v>SI_SA_EN_DIMENSION_LINK_BLADER</v>
      </c>
      <c r="C1212" s="7">
        <v>7</v>
      </c>
      <c r="D1212" s="2" t="str">
        <f>VLOOKUP($C1212,SkillEnum!$D$2:$E$10,2,FALSE)</f>
        <v>ST_SPECIAL_ACTIVE</v>
      </c>
      <c r="E1212" s="36" t="str">
        <f>VLOOKUP($A1212,SkillEnum!$A$2:$C$1020,3,FALSE)</f>
        <v>디멘션 링크 블레이더</v>
      </c>
      <c r="F1212" s="11" t="str">
        <f>"나소드블레이더를 소환해 물리공격력의 120 % 로 여러 번 베기 공격을 한 후 마법공격력의 200 %로 빔 공격을 한다. (소환수의 물리공격력 : 시전자의 "&amp;ROUND(1*H1212*100,0)&amp;" % , 마법공격력 : 시전자의 "&amp;ROUND(1*H1212*100,0)&amp;" %)"</f>
        <v>나소드블레이더를 소환해 물리공격력의 120 % 로 여러 번 베기 공격을 한 후 마법공격력의 200 %로 빔 공격을 한다. (소환수의 물리공격력 : 시전자의 70 % , 마법공격력 : 시전자의 70 %)</v>
      </c>
      <c r="G1212" s="10">
        <v>1</v>
      </c>
      <c r="H1212" s="2">
        <v>0.7</v>
      </c>
      <c r="I1212" s="2">
        <v>10</v>
      </c>
      <c r="J1212" s="10">
        <v>200</v>
      </c>
      <c r="K1212" s="2">
        <v>0</v>
      </c>
      <c r="L1212" s="2">
        <v>0</v>
      </c>
      <c r="M1212" s="2">
        <v>0</v>
      </c>
      <c r="N1212" s="2">
        <v>0</v>
      </c>
      <c r="O1212" s="2">
        <v>0</v>
      </c>
      <c r="P1212" s="2" t="s">
        <v>443</v>
      </c>
      <c r="Q1212" s="2" t="str">
        <f t="shared" si="161"/>
        <v>SI_SA_EN_DIMENSION_LINK_BLADER</v>
      </c>
      <c r="R1212" s="2" t="b">
        <v>0</v>
      </c>
      <c r="S1212" s="2" t="b">
        <v>1</v>
      </c>
      <c r="T1212" s="2">
        <v>1</v>
      </c>
    </row>
    <row r="1213" spans="1:21">
      <c r="A1213" s="4">
        <v>3003</v>
      </c>
      <c r="B1213" s="7" t="str">
        <f>VLOOKUP($A1213,SkillEnum!$A$2:$C$1020,2,FALSE)</f>
        <v>SI_SA_EN_DIMENSION_LINK_BLADER</v>
      </c>
      <c r="C1213" s="7">
        <v>7</v>
      </c>
      <c r="D1213" s="2" t="str">
        <f>VLOOKUP($C1213,SkillEnum!$D$2:$E$10,2,FALSE)</f>
        <v>ST_SPECIAL_ACTIVE</v>
      </c>
      <c r="E1213" s="37" t="str">
        <f>VLOOKUP($A1213,SkillEnum!$A$2:$C$1020,3,FALSE)</f>
        <v>디멘션 링크 블레이더</v>
      </c>
      <c r="F1213" s="7" t="str">
        <f t="shared" ref="F1213:F1221" si="164">"나소드블레이더를 소환해 물리공격력의 120 % 로 여러 번 베기 공격을 한 후 마법공격력의 200 %로 빔 공격을 한다. (소환수의 물리공격력 : 시전자의 "&amp;ROUND(1*H1213*100,0)&amp;" % , 마법공격력 : 시전자의 "&amp;ROUND(1*H1213*100,0)&amp;" %)"</f>
        <v>나소드블레이더를 소환해 물리공격력의 120 % 로 여러 번 베기 공격을 한 후 마법공격력의 200 %로 빔 공격을 한다. (소환수의 물리공격력 : 시전자의 84 % , 마법공격력 : 시전자의 84 %)</v>
      </c>
      <c r="G1213" s="2">
        <v>2</v>
      </c>
      <c r="H1213" s="2">
        <v>0.84</v>
      </c>
      <c r="I1213" s="2">
        <v>10</v>
      </c>
      <c r="J1213" s="2">
        <v>200</v>
      </c>
      <c r="K1213" s="2">
        <v>0</v>
      </c>
      <c r="L1213" s="2">
        <v>0</v>
      </c>
      <c r="M1213" s="2">
        <v>0</v>
      </c>
      <c r="N1213" s="2">
        <v>0</v>
      </c>
      <c r="O1213" s="2">
        <v>0</v>
      </c>
      <c r="P1213" s="2" t="s">
        <v>443</v>
      </c>
      <c r="Q1213" s="2" t="str">
        <f t="shared" si="161"/>
        <v>SI_SA_EN_DIMENSION_LINK_BLADER</v>
      </c>
      <c r="R1213" s="2" t="b">
        <v>0</v>
      </c>
      <c r="S1213" s="2" t="b">
        <v>1</v>
      </c>
      <c r="T1213" s="2">
        <v>1</v>
      </c>
    </row>
    <row r="1214" spans="1:21">
      <c r="A1214" s="4">
        <v>3003</v>
      </c>
      <c r="B1214" s="7" t="str">
        <f>VLOOKUP($A1214,SkillEnum!$A$2:$C$1020,2,FALSE)</f>
        <v>SI_SA_EN_DIMENSION_LINK_BLADER</v>
      </c>
      <c r="C1214" s="7">
        <v>7</v>
      </c>
      <c r="D1214" s="2" t="str">
        <f>VLOOKUP($C1214,SkillEnum!$D$2:$E$10,2,FALSE)</f>
        <v>ST_SPECIAL_ACTIVE</v>
      </c>
      <c r="E1214" s="37" t="str">
        <f>VLOOKUP($A1214,SkillEnum!$A$2:$C$1020,3,FALSE)</f>
        <v>디멘션 링크 블레이더</v>
      </c>
      <c r="F1214" s="7" t="str">
        <f t="shared" si="164"/>
        <v>나소드블레이더를 소환해 물리공격력의 120 % 로 여러 번 베기 공격을 한 후 마법공격력의 200 %로 빔 공격을 한다. (소환수의 물리공격력 : 시전자의 98 % , 마법공격력 : 시전자의 98 %)</v>
      </c>
      <c r="G1214" s="2">
        <v>3</v>
      </c>
      <c r="H1214" s="2">
        <v>0.98</v>
      </c>
      <c r="I1214" s="2">
        <v>10</v>
      </c>
      <c r="J1214" s="2">
        <v>200</v>
      </c>
      <c r="K1214" s="2">
        <v>0</v>
      </c>
      <c r="L1214" s="2">
        <v>0</v>
      </c>
      <c r="M1214" s="2">
        <v>0</v>
      </c>
      <c r="N1214" s="2">
        <v>0</v>
      </c>
      <c r="O1214" s="2">
        <v>0</v>
      </c>
      <c r="P1214" s="2" t="s">
        <v>443</v>
      </c>
      <c r="Q1214" s="2" t="str">
        <f t="shared" si="161"/>
        <v>SI_SA_EN_DIMENSION_LINK_BLADER</v>
      </c>
      <c r="R1214" s="2" t="b">
        <v>0</v>
      </c>
      <c r="S1214" s="2" t="b">
        <v>1</v>
      </c>
      <c r="T1214" s="2">
        <v>1</v>
      </c>
    </row>
    <row r="1215" spans="1:21">
      <c r="A1215" s="4">
        <v>3003</v>
      </c>
      <c r="B1215" s="7" t="str">
        <f>VLOOKUP($A1215,SkillEnum!$A$2:$C$1020,2,FALSE)</f>
        <v>SI_SA_EN_DIMENSION_LINK_BLADER</v>
      </c>
      <c r="C1215" s="7">
        <v>7</v>
      </c>
      <c r="D1215" s="2" t="str">
        <f>VLOOKUP($C1215,SkillEnum!$D$2:$E$10,2,FALSE)</f>
        <v>ST_SPECIAL_ACTIVE</v>
      </c>
      <c r="E1215" s="37" t="str">
        <f>VLOOKUP($A1215,SkillEnum!$A$2:$C$1020,3,FALSE)</f>
        <v>디멘션 링크 블레이더</v>
      </c>
      <c r="F1215" s="7" t="str">
        <f t="shared" si="164"/>
        <v>나소드블레이더를 소환해 물리공격력의 120 % 로 여러 번 베기 공격을 한 후 마법공격력의 200 %로 빔 공격을 한다. (소환수의 물리공격력 : 시전자의 112 % , 마법공격력 : 시전자의 112 %)</v>
      </c>
      <c r="G1215" s="2">
        <v>4</v>
      </c>
      <c r="H1215" s="2">
        <v>1.1200000000000001</v>
      </c>
      <c r="I1215" s="2">
        <v>10</v>
      </c>
      <c r="J1215" s="2">
        <v>200</v>
      </c>
      <c r="K1215" s="2">
        <v>0</v>
      </c>
      <c r="L1215" s="2">
        <v>0</v>
      </c>
      <c r="M1215" s="2">
        <v>0</v>
      </c>
      <c r="N1215" s="2">
        <v>0</v>
      </c>
      <c r="O1215" s="2">
        <v>0</v>
      </c>
      <c r="P1215" s="2" t="s">
        <v>443</v>
      </c>
      <c r="Q1215" s="2" t="str">
        <f t="shared" si="161"/>
        <v>SI_SA_EN_DIMENSION_LINK_BLADER</v>
      </c>
      <c r="R1215" s="2" t="b">
        <v>0</v>
      </c>
      <c r="S1215" s="2" t="b">
        <v>1</v>
      </c>
      <c r="T1215" s="2">
        <v>1</v>
      </c>
    </row>
    <row r="1216" spans="1:21">
      <c r="A1216" s="4">
        <v>3003</v>
      </c>
      <c r="B1216" s="7" t="str">
        <f>VLOOKUP($A1216,SkillEnum!$A$2:$C$1020,2,FALSE)</f>
        <v>SI_SA_EN_DIMENSION_LINK_BLADER</v>
      </c>
      <c r="C1216" s="7">
        <v>7</v>
      </c>
      <c r="D1216" s="2" t="str">
        <f>VLOOKUP($C1216,SkillEnum!$D$2:$E$10,2,FALSE)</f>
        <v>ST_SPECIAL_ACTIVE</v>
      </c>
      <c r="E1216" s="37" t="str">
        <f>VLOOKUP($A1216,SkillEnum!$A$2:$C$1020,3,FALSE)</f>
        <v>디멘션 링크 블레이더</v>
      </c>
      <c r="F1216" s="7" t="str">
        <f t="shared" si="164"/>
        <v>나소드블레이더를 소환해 물리공격력의 120 % 로 여러 번 베기 공격을 한 후 마법공격력의 200 %로 빔 공격을 한다. (소환수의 물리공격력 : 시전자의 133 % , 마법공격력 : 시전자의 133 %)</v>
      </c>
      <c r="G1216" s="2">
        <v>5</v>
      </c>
      <c r="H1216" s="2">
        <v>1.33</v>
      </c>
      <c r="I1216" s="2">
        <v>10</v>
      </c>
      <c r="J1216" s="2">
        <v>200</v>
      </c>
      <c r="K1216" s="2">
        <v>0</v>
      </c>
      <c r="L1216" s="2">
        <v>0</v>
      </c>
      <c r="M1216" s="2">
        <v>0</v>
      </c>
      <c r="N1216" s="2">
        <v>0</v>
      </c>
      <c r="O1216" s="2">
        <v>0</v>
      </c>
      <c r="P1216" s="2" t="s">
        <v>443</v>
      </c>
      <c r="Q1216" s="2" t="str">
        <f t="shared" si="161"/>
        <v>SI_SA_EN_DIMENSION_LINK_BLADER</v>
      </c>
      <c r="R1216" s="2" t="b">
        <v>0</v>
      </c>
      <c r="S1216" s="2" t="b">
        <v>1</v>
      </c>
      <c r="T1216" s="2">
        <v>1</v>
      </c>
    </row>
    <row r="1217" spans="1:21">
      <c r="A1217" s="4">
        <v>3003</v>
      </c>
      <c r="B1217" s="7" t="str">
        <f>VLOOKUP($A1217,SkillEnum!$A$2:$C$1020,2,FALSE)</f>
        <v>SI_SA_EN_DIMENSION_LINK_BLADER</v>
      </c>
      <c r="C1217" s="7">
        <v>7</v>
      </c>
      <c r="D1217" s="2" t="str">
        <f>VLOOKUP($C1217,SkillEnum!$D$2:$E$10,2,FALSE)</f>
        <v>ST_SPECIAL_ACTIVE</v>
      </c>
      <c r="E1217" s="37" t="str">
        <f>VLOOKUP($A1217,SkillEnum!$A$2:$C$1020,3,FALSE)</f>
        <v>디멘션 링크 블레이더</v>
      </c>
      <c r="F1217" s="7" t="str">
        <f t="shared" si="164"/>
        <v>나소드블레이더를 소환해 물리공격력의 120 % 로 여러 번 베기 공격을 한 후 마법공격력의 200 %로 빔 공격을 한다. (소환수의 물리공격력 : 시전자의 154 % , 마법공격력 : 시전자의 154 %)</v>
      </c>
      <c r="G1217" s="2">
        <v>6</v>
      </c>
      <c r="H1217" s="2">
        <v>1.54</v>
      </c>
      <c r="I1217" s="2">
        <v>10</v>
      </c>
      <c r="J1217" s="2">
        <v>200</v>
      </c>
      <c r="K1217" s="2">
        <v>0</v>
      </c>
      <c r="L1217" s="2">
        <v>0</v>
      </c>
      <c r="M1217" s="2">
        <v>0</v>
      </c>
      <c r="N1217" s="2">
        <v>0</v>
      </c>
      <c r="O1217" s="2">
        <v>0</v>
      </c>
      <c r="P1217" s="2" t="s">
        <v>443</v>
      </c>
      <c r="Q1217" s="2" t="str">
        <f t="shared" si="161"/>
        <v>SI_SA_EN_DIMENSION_LINK_BLADER</v>
      </c>
      <c r="R1217" s="2" t="b">
        <v>0</v>
      </c>
      <c r="S1217" s="2" t="b">
        <v>1</v>
      </c>
      <c r="T1217" s="2">
        <v>1</v>
      </c>
    </row>
    <row r="1218" spans="1:21">
      <c r="A1218" s="4">
        <v>3003</v>
      </c>
      <c r="B1218" s="7" t="str">
        <f>VLOOKUP($A1218,SkillEnum!$A$2:$C$1020,2,FALSE)</f>
        <v>SI_SA_EN_DIMENSION_LINK_BLADER</v>
      </c>
      <c r="C1218" s="7">
        <v>7</v>
      </c>
      <c r="D1218" s="2" t="str">
        <f>VLOOKUP($C1218,SkillEnum!$D$2:$E$10,2,FALSE)</f>
        <v>ST_SPECIAL_ACTIVE</v>
      </c>
      <c r="E1218" s="37" t="str">
        <f>VLOOKUP($A1218,SkillEnum!$A$2:$C$1020,3,FALSE)</f>
        <v>디멘션 링크 블레이더</v>
      </c>
      <c r="F1218" s="7" t="str">
        <f t="shared" si="164"/>
        <v>나소드블레이더를 소환해 물리공격력의 120 % 로 여러 번 베기 공격을 한 후 마법공격력의 200 %로 빔 공격을 한다. (소환수의 물리공격력 : 시전자의 175 % , 마법공격력 : 시전자의 175 %)</v>
      </c>
      <c r="G1218" s="2">
        <v>7</v>
      </c>
      <c r="H1218" s="2">
        <v>1.75</v>
      </c>
      <c r="I1218" s="2">
        <v>10</v>
      </c>
      <c r="J1218" s="2">
        <v>200</v>
      </c>
      <c r="K1218" s="2">
        <v>0</v>
      </c>
      <c r="L1218" s="2">
        <v>0</v>
      </c>
      <c r="M1218" s="2">
        <v>0</v>
      </c>
      <c r="N1218" s="2">
        <v>0</v>
      </c>
      <c r="O1218" s="2">
        <v>0</v>
      </c>
      <c r="P1218" s="2" t="s">
        <v>443</v>
      </c>
      <c r="Q1218" s="2" t="str">
        <f t="shared" si="161"/>
        <v>SI_SA_EN_DIMENSION_LINK_BLADER</v>
      </c>
      <c r="R1218" s="2" t="b">
        <v>0</v>
      </c>
      <c r="S1218" s="2" t="b">
        <v>1</v>
      </c>
      <c r="T1218" s="2">
        <v>1</v>
      </c>
    </row>
    <row r="1219" spans="1:21">
      <c r="A1219" s="4">
        <v>3003</v>
      </c>
      <c r="B1219" s="7" t="str">
        <f>VLOOKUP($A1219,SkillEnum!$A$2:$C$1020,2,FALSE)</f>
        <v>SI_SA_EN_DIMENSION_LINK_BLADER</v>
      </c>
      <c r="C1219" s="7">
        <v>7</v>
      </c>
      <c r="D1219" s="2" t="str">
        <f>VLOOKUP($C1219,SkillEnum!$D$2:$E$10,2,FALSE)</f>
        <v>ST_SPECIAL_ACTIVE</v>
      </c>
      <c r="E1219" s="37" t="str">
        <f>VLOOKUP($A1219,SkillEnum!$A$2:$C$1020,3,FALSE)</f>
        <v>디멘션 링크 블레이더</v>
      </c>
      <c r="F1219" s="7" t="str">
        <f t="shared" si="164"/>
        <v>나소드블레이더를 소환해 물리공격력의 120 % 로 여러 번 베기 공격을 한 후 마법공격력의 200 %로 빔 공격을 한다. (소환수의 물리공격력 : 시전자의 196 % , 마법공격력 : 시전자의 196 %)</v>
      </c>
      <c r="G1219" s="2">
        <v>8</v>
      </c>
      <c r="H1219" s="2">
        <v>1.96</v>
      </c>
      <c r="I1219" s="2">
        <v>10</v>
      </c>
      <c r="J1219" s="2">
        <v>200</v>
      </c>
      <c r="K1219" s="2">
        <v>0</v>
      </c>
      <c r="L1219" s="2">
        <v>0</v>
      </c>
      <c r="M1219" s="2">
        <v>0</v>
      </c>
      <c r="N1219" s="2">
        <v>0</v>
      </c>
      <c r="O1219" s="2">
        <v>0</v>
      </c>
      <c r="P1219" s="2" t="s">
        <v>443</v>
      </c>
      <c r="Q1219" s="2" t="str">
        <f t="shared" si="161"/>
        <v>SI_SA_EN_DIMENSION_LINK_BLADER</v>
      </c>
      <c r="R1219" s="2" t="b">
        <v>0</v>
      </c>
      <c r="S1219" s="2" t="b">
        <v>1</v>
      </c>
      <c r="T1219" s="2">
        <v>1</v>
      </c>
    </row>
    <row r="1220" spans="1:21">
      <c r="A1220" s="4">
        <v>3003</v>
      </c>
      <c r="B1220" s="7" t="str">
        <f>VLOOKUP($A1220,SkillEnum!$A$2:$C$1020,2,FALSE)</f>
        <v>SI_SA_EN_DIMENSION_LINK_BLADER</v>
      </c>
      <c r="C1220" s="7">
        <v>7</v>
      </c>
      <c r="D1220" s="2" t="str">
        <f>VLOOKUP($C1220,SkillEnum!$D$2:$E$10,2,FALSE)</f>
        <v>ST_SPECIAL_ACTIVE</v>
      </c>
      <c r="E1220" s="37" t="str">
        <f>VLOOKUP($A1220,SkillEnum!$A$2:$C$1020,3,FALSE)</f>
        <v>디멘션 링크 블레이더</v>
      </c>
      <c r="F1220" s="7" t="str">
        <f t="shared" si="164"/>
        <v>나소드블레이더를 소환해 물리공격력의 120 % 로 여러 번 베기 공격을 한 후 마법공격력의 200 %로 빔 공격을 한다. (소환수의 물리공격력 : 시전자의 224 % , 마법공격력 : 시전자의 224 %)</v>
      </c>
      <c r="G1220" s="2">
        <v>9</v>
      </c>
      <c r="H1220" s="2">
        <v>2.2400000000000002</v>
      </c>
      <c r="I1220" s="2">
        <v>10</v>
      </c>
      <c r="J1220" s="2">
        <v>200</v>
      </c>
      <c r="K1220" s="2">
        <v>0</v>
      </c>
      <c r="L1220" s="2">
        <v>0</v>
      </c>
      <c r="M1220" s="2">
        <v>0</v>
      </c>
      <c r="N1220" s="2">
        <v>0</v>
      </c>
      <c r="O1220" s="2">
        <v>0</v>
      </c>
      <c r="P1220" s="2" t="s">
        <v>443</v>
      </c>
      <c r="Q1220" s="2" t="str">
        <f t="shared" si="161"/>
        <v>SI_SA_EN_DIMENSION_LINK_BLADER</v>
      </c>
      <c r="R1220" s="2" t="b">
        <v>0</v>
      </c>
      <c r="S1220" s="2" t="b">
        <v>1</v>
      </c>
      <c r="T1220" s="2">
        <v>1</v>
      </c>
    </row>
    <row r="1221" spans="1:21" s="5" customFormat="1">
      <c r="A1221" s="6">
        <v>3003</v>
      </c>
      <c r="B1221" s="8" t="str">
        <f>VLOOKUP($A1221,SkillEnum!$A$2:$C$1020,2,FALSE)</f>
        <v>SI_SA_EN_DIMENSION_LINK_BLADER</v>
      </c>
      <c r="C1221" s="8">
        <v>7</v>
      </c>
      <c r="D1221" s="5" t="str">
        <f>VLOOKUP($C1221,SkillEnum!$D$2:$E$10,2,FALSE)</f>
        <v>ST_SPECIAL_ACTIVE</v>
      </c>
      <c r="E1221" s="38" t="str">
        <f>VLOOKUP($A1221,SkillEnum!$A$2:$C$1020,3,FALSE)</f>
        <v>디멘션 링크 블레이더</v>
      </c>
      <c r="F1221" s="8" t="str">
        <f t="shared" si="164"/>
        <v>나소드블레이더를 소환해 물리공격력의 120 % 로 여러 번 베기 공격을 한 후 마법공격력의 200 %로 빔 공격을 한다. (소환수의 물리공격력 : 시전자의 252 % , 마법공격력 : 시전자의 252 %)</v>
      </c>
      <c r="G1221" s="5">
        <v>10</v>
      </c>
      <c r="H1221" s="5">
        <v>2.52</v>
      </c>
      <c r="I1221" s="5">
        <v>10</v>
      </c>
      <c r="J1221" s="5">
        <v>200</v>
      </c>
      <c r="K1221" s="5">
        <v>0</v>
      </c>
      <c r="L1221" s="5">
        <v>0</v>
      </c>
      <c r="M1221" s="5">
        <v>0</v>
      </c>
      <c r="N1221" s="5">
        <v>0</v>
      </c>
      <c r="O1221" s="5">
        <v>0</v>
      </c>
      <c r="P1221" s="2" t="s">
        <v>443</v>
      </c>
      <c r="Q1221" s="2" t="str">
        <f t="shared" si="161"/>
        <v>SI_SA_EN_DIMENSION_LINK_BLADER</v>
      </c>
      <c r="R1221" s="5" t="b">
        <v>0</v>
      </c>
      <c r="S1221" s="2" t="b">
        <v>1</v>
      </c>
      <c r="T1221" s="2">
        <v>1</v>
      </c>
      <c r="U1221" s="2"/>
    </row>
    <row r="1222" spans="1:21">
      <c r="A1222" s="4">
        <v>3004</v>
      </c>
      <c r="B1222" s="7" t="str">
        <f>VLOOKUP($A1222,SkillEnum!$A$2:$C$1020,2,FALSE)</f>
        <v>SI_SA_EN_GENERATE_BLACKHOLE</v>
      </c>
      <c r="C1222" s="7">
        <v>7</v>
      </c>
      <c r="D1222" s="2" t="str">
        <f>VLOOKUP($C1222,SkillEnum!$D$2:$E$10,2,FALSE)</f>
        <v>ST_SPECIAL_ACTIVE</v>
      </c>
      <c r="E1222" s="11" t="str">
        <f>VLOOKUP($A1222,SkillEnum!$A$2:$C$1020,3,FALSE)</f>
        <v>제네레이터 블랙홀</v>
      </c>
      <c r="F1222" s="7" t="str">
        <f>"블랙홀을 생성시켜 적을 끌어들인 후  폭발시켜 마법공격력의 "&amp;ROUND(13*H1222*100,0)&amp;" % 데미지를 준다. (각성시 적을 끌어들이고 있는 동안 마법공격력의 "&amp;ROUND(0.65*1.2*H1222*100,0)&amp;" % 로 연속타격을 가하고, 폭발시킬 때 마법공격력의 "&amp;ROUND(4.5*1.2*H1222*100,0)&amp;" % 데미지를 준다.)"</f>
        <v>블랙홀을 생성시켜 적을 끌어들인 후  폭발시켜 마법공격력의 910 % 데미지를 준다. (각성시 적을 끌어들이고 있는 동안 마법공격력의 55 % 로 연속타격을 가하고, 폭발시킬 때 마법공격력의 378 % 데미지를 준다.)</v>
      </c>
      <c r="G1222" s="10">
        <v>1</v>
      </c>
      <c r="H1222" s="2">
        <v>0.7</v>
      </c>
      <c r="I1222" s="2">
        <v>30</v>
      </c>
      <c r="J1222" s="10">
        <v>300</v>
      </c>
      <c r="K1222" s="2">
        <v>0</v>
      </c>
      <c r="L1222" s="2">
        <v>0</v>
      </c>
      <c r="M1222" s="2">
        <v>0</v>
      </c>
      <c r="N1222" s="2">
        <v>0</v>
      </c>
      <c r="O1222" s="2">
        <v>0</v>
      </c>
      <c r="P1222" s="2" t="s">
        <v>443</v>
      </c>
      <c r="Q1222" s="2" t="str">
        <f t="shared" si="161"/>
        <v>SI_SA_EN_GENERATE_BLACKHOLE</v>
      </c>
      <c r="R1222" s="2" t="b">
        <v>0</v>
      </c>
      <c r="S1222" s="2" t="b">
        <v>1</v>
      </c>
      <c r="T1222" s="2">
        <v>1</v>
      </c>
    </row>
    <row r="1223" spans="1:21">
      <c r="A1223" s="4">
        <v>3004</v>
      </c>
      <c r="B1223" s="7" t="str">
        <f>VLOOKUP($A1223,SkillEnum!$A$2:$C$1020,2,FALSE)</f>
        <v>SI_SA_EN_GENERATE_BLACKHOLE</v>
      </c>
      <c r="C1223" s="7">
        <v>7</v>
      </c>
      <c r="D1223" s="2" t="str">
        <f>VLOOKUP($C1223,SkillEnum!$D$2:$E$10,2,FALSE)</f>
        <v>ST_SPECIAL_ACTIVE</v>
      </c>
      <c r="E1223" s="7" t="str">
        <f>VLOOKUP($A1223,SkillEnum!$A$2:$C$1020,3,FALSE)</f>
        <v>제네레이터 블랙홀</v>
      </c>
      <c r="F1223" s="7" t="str">
        <f t="shared" ref="F1223:F1231" si="165">"블랙홀을 생성시켜 적을 끌어들인 후  폭발시켜 마법공격력의 "&amp;ROUND(13*H1223*100,0)&amp;" % 데미지를 준다. (각성시 적을 끌어들이고 있는 동안 마법공격력의 "&amp;ROUND(0.65*1.2*H1223*100,0)&amp;" % 로 연속타격을 가하고, 폭발시킬 때 마법공격력의 "&amp;ROUND(4.5*1.2*H1223*100,0)&amp;" % 데미지를 준다.)"</f>
        <v>블랙홀을 생성시켜 적을 끌어들인 후  폭발시켜 마법공격력의 1092 % 데미지를 준다. (각성시 적을 끌어들이고 있는 동안 마법공격력의 66 % 로 연속타격을 가하고, 폭발시킬 때 마법공격력의 454 % 데미지를 준다.)</v>
      </c>
      <c r="G1223" s="2">
        <v>2</v>
      </c>
      <c r="H1223" s="2">
        <v>0.84</v>
      </c>
      <c r="I1223" s="2">
        <v>30</v>
      </c>
      <c r="J1223" s="2">
        <v>300</v>
      </c>
      <c r="K1223" s="2">
        <v>0</v>
      </c>
      <c r="L1223" s="2">
        <v>0</v>
      </c>
      <c r="M1223" s="2">
        <v>0</v>
      </c>
      <c r="N1223" s="2">
        <v>0</v>
      </c>
      <c r="O1223" s="2">
        <v>0</v>
      </c>
      <c r="P1223" s="2" t="s">
        <v>443</v>
      </c>
      <c r="Q1223" s="2" t="str">
        <f t="shared" si="161"/>
        <v>SI_SA_EN_GENERATE_BLACKHOLE</v>
      </c>
      <c r="R1223" s="2" t="b">
        <v>0</v>
      </c>
      <c r="S1223" s="2" t="b">
        <v>1</v>
      </c>
      <c r="T1223" s="2">
        <v>1</v>
      </c>
    </row>
    <row r="1224" spans="1:21">
      <c r="A1224" s="4">
        <v>3004</v>
      </c>
      <c r="B1224" s="7" t="str">
        <f>VLOOKUP($A1224,SkillEnum!$A$2:$C$1020,2,FALSE)</f>
        <v>SI_SA_EN_GENERATE_BLACKHOLE</v>
      </c>
      <c r="C1224" s="7">
        <v>7</v>
      </c>
      <c r="D1224" s="2" t="str">
        <f>VLOOKUP($C1224,SkillEnum!$D$2:$E$10,2,FALSE)</f>
        <v>ST_SPECIAL_ACTIVE</v>
      </c>
      <c r="E1224" s="7" t="str">
        <f>VLOOKUP($A1224,SkillEnum!$A$2:$C$1020,3,FALSE)</f>
        <v>제네레이터 블랙홀</v>
      </c>
      <c r="F1224" s="7" t="str">
        <f t="shared" si="165"/>
        <v>블랙홀을 생성시켜 적을 끌어들인 후  폭발시켜 마법공격력의 1274 % 데미지를 준다. (각성시 적을 끌어들이고 있는 동안 마법공격력의 76 % 로 연속타격을 가하고, 폭발시킬 때 마법공격력의 529 % 데미지를 준다.)</v>
      </c>
      <c r="G1224" s="2">
        <v>3</v>
      </c>
      <c r="H1224" s="2">
        <v>0.98</v>
      </c>
      <c r="I1224" s="2">
        <v>30</v>
      </c>
      <c r="J1224" s="2">
        <v>300</v>
      </c>
      <c r="K1224" s="2">
        <v>0</v>
      </c>
      <c r="L1224" s="2">
        <v>0</v>
      </c>
      <c r="M1224" s="2">
        <v>0</v>
      </c>
      <c r="N1224" s="2">
        <v>0</v>
      </c>
      <c r="O1224" s="2">
        <v>0</v>
      </c>
      <c r="P1224" s="2" t="s">
        <v>443</v>
      </c>
      <c r="Q1224" s="2" t="str">
        <f t="shared" si="161"/>
        <v>SI_SA_EN_GENERATE_BLACKHOLE</v>
      </c>
      <c r="R1224" s="2" t="b">
        <v>0</v>
      </c>
      <c r="S1224" s="2" t="b">
        <v>1</v>
      </c>
      <c r="T1224" s="2">
        <v>1</v>
      </c>
    </row>
    <row r="1225" spans="1:21">
      <c r="A1225" s="4">
        <v>3004</v>
      </c>
      <c r="B1225" s="7" t="str">
        <f>VLOOKUP($A1225,SkillEnum!$A$2:$C$1020,2,FALSE)</f>
        <v>SI_SA_EN_GENERATE_BLACKHOLE</v>
      </c>
      <c r="C1225" s="7">
        <v>7</v>
      </c>
      <c r="D1225" s="2" t="str">
        <f>VLOOKUP($C1225,SkillEnum!$D$2:$E$10,2,FALSE)</f>
        <v>ST_SPECIAL_ACTIVE</v>
      </c>
      <c r="E1225" s="7" t="str">
        <f>VLOOKUP($A1225,SkillEnum!$A$2:$C$1020,3,FALSE)</f>
        <v>제네레이터 블랙홀</v>
      </c>
      <c r="F1225" s="7" t="str">
        <f t="shared" si="165"/>
        <v>블랙홀을 생성시켜 적을 끌어들인 후  폭발시켜 마법공격력의 1456 % 데미지를 준다. (각성시 적을 끌어들이고 있는 동안 마법공격력의 87 % 로 연속타격을 가하고, 폭발시킬 때 마법공격력의 605 % 데미지를 준다.)</v>
      </c>
      <c r="G1225" s="2">
        <v>4</v>
      </c>
      <c r="H1225" s="2">
        <v>1.1200000000000001</v>
      </c>
      <c r="I1225" s="2">
        <v>30</v>
      </c>
      <c r="J1225" s="2">
        <v>300</v>
      </c>
      <c r="K1225" s="2">
        <v>0</v>
      </c>
      <c r="L1225" s="2">
        <v>0</v>
      </c>
      <c r="M1225" s="2">
        <v>0</v>
      </c>
      <c r="N1225" s="2">
        <v>0</v>
      </c>
      <c r="O1225" s="2">
        <v>0</v>
      </c>
      <c r="P1225" s="2" t="s">
        <v>443</v>
      </c>
      <c r="Q1225" s="2" t="str">
        <f t="shared" si="161"/>
        <v>SI_SA_EN_GENERATE_BLACKHOLE</v>
      </c>
      <c r="R1225" s="2" t="b">
        <v>0</v>
      </c>
      <c r="S1225" s="2" t="b">
        <v>1</v>
      </c>
      <c r="T1225" s="2">
        <v>1</v>
      </c>
    </row>
    <row r="1226" spans="1:21">
      <c r="A1226" s="4">
        <v>3004</v>
      </c>
      <c r="B1226" s="7" t="str">
        <f>VLOOKUP($A1226,SkillEnum!$A$2:$C$1020,2,FALSE)</f>
        <v>SI_SA_EN_GENERATE_BLACKHOLE</v>
      </c>
      <c r="C1226" s="7">
        <v>7</v>
      </c>
      <c r="D1226" s="2" t="str">
        <f>VLOOKUP($C1226,SkillEnum!$D$2:$E$10,2,FALSE)</f>
        <v>ST_SPECIAL_ACTIVE</v>
      </c>
      <c r="E1226" s="7" t="str">
        <f>VLOOKUP($A1226,SkillEnum!$A$2:$C$1020,3,FALSE)</f>
        <v>제네레이터 블랙홀</v>
      </c>
      <c r="F1226" s="7" t="str">
        <f t="shared" si="165"/>
        <v>블랙홀을 생성시켜 적을 끌어들인 후  폭발시켜 마법공격력의 1729 % 데미지를 준다. (각성시 적을 끌어들이고 있는 동안 마법공격력의 104 % 로 연속타격을 가하고, 폭발시킬 때 마법공격력의 718 % 데미지를 준다.)</v>
      </c>
      <c r="G1226" s="2">
        <v>5</v>
      </c>
      <c r="H1226" s="2">
        <v>1.33</v>
      </c>
      <c r="I1226" s="2">
        <v>30</v>
      </c>
      <c r="J1226" s="2">
        <v>300</v>
      </c>
      <c r="K1226" s="2">
        <v>0</v>
      </c>
      <c r="L1226" s="2">
        <v>0</v>
      </c>
      <c r="M1226" s="2">
        <v>0</v>
      </c>
      <c r="N1226" s="2">
        <v>0</v>
      </c>
      <c r="O1226" s="2">
        <v>0</v>
      </c>
      <c r="P1226" s="2" t="s">
        <v>443</v>
      </c>
      <c r="Q1226" s="2" t="str">
        <f t="shared" si="161"/>
        <v>SI_SA_EN_GENERATE_BLACKHOLE</v>
      </c>
      <c r="R1226" s="2" t="b">
        <v>0</v>
      </c>
      <c r="S1226" s="2" t="b">
        <v>1</v>
      </c>
      <c r="T1226" s="2">
        <v>1</v>
      </c>
    </row>
    <row r="1227" spans="1:21">
      <c r="A1227" s="4">
        <v>3004</v>
      </c>
      <c r="B1227" s="7" t="str">
        <f>VLOOKUP($A1227,SkillEnum!$A$2:$C$1020,2,FALSE)</f>
        <v>SI_SA_EN_GENERATE_BLACKHOLE</v>
      </c>
      <c r="C1227" s="7">
        <v>7</v>
      </c>
      <c r="D1227" s="2" t="str">
        <f>VLOOKUP($C1227,SkillEnum!$D$2:$E$10,2,FALSE)</f>
        <v>ST_SPECIAL_ACTIVE</v>
      </c>
      <c r="E1227" s="7" t="str">
        <f>VLOOKUP($A1227,SkillEnum!$A$2:$C$1020,3,FALSE)</f>
        <v>제네레이터 블랙홀</v>
      </c>
      <c r="F1227" s="7" t="str">
        <f t="shared" si="165"/>
        <v>블랙홀을 생성시켜 적을 끌어들인 후  폭발시켜 마법공격력의 2002 % 데미지를 준다. (각성시 적을 끌어들이고 있는 동안 마법공격력의 120 % 로 연속타격을 가하고, 폭발시킬 때 마법공격력의 832 % 데미지를 준다.)</v>
      </c>
      <c r="G1227" s="2">
        <v>6</v>
      </c>
      <c r="H1227" s="2">
        <v>1.54</v>
      </c>
      <c r="I1227" s="2">
        <v>30</v>
      </c>
      <c r="J1227" s="2">
        <v>300</v>
      </c>
      <c r="K1227" s="2">
        <v>0</v>
      </c>
      <c r="L1227" s="2">
        <v>0</v>
      </c>
      <c r="M1227" s="2">
        <v>0</v>
      </c>
      <c r="N1227" s="2">
        <v>0</v>
      </c>
      <c r="O1227" s="2">
        <v>0</v>
      </c>
      <c r="P1227" s="2" t="s">
        <v>443</v>
      </c>
      <c r="Q1227" s="2" t="str">
        <f t="shared" si="161"/>
        <v>SI_SA_EN_GENERATE_BLACKHOLE</v>
      </c>
      <c r="R1227" s="2" t="b">
        <v>0</v>
      </c>
      <c r="S1227" s="2" t="b">
        <v>1</v>
      </c>
      <c r="T1227" s="2">
        <v>1</v>
      </c>
    </row>
    <row r="1228" spans="1:21">
      <c r="A1228" s="4">
        <v>3004</v>
      </c>
      <c r="B1228" s="7" t="str">
        <f>VLOOKUP($A1228,SkillEnum!$A$2:$C$1020,2,FALSE)</f>
        <v>SI_SA_EN_GENERATE_BLACKHOLE</v>
      </c>
      <c r="C1228" s="7">
        <v>7</v>
      </c>
      <c r="D1228" s="2" t="str">
        <f>VLOOKUP($C1228,SkillEnum!$D$2:$E$10,2,FALSE)</f>
        <v>ST_SPECIAL_ACTIVE</v>
      </c>
      <c r="E1228" s="7" t="str">
        <f>VLOOKUP($A1228,SkillEnum!$A$2:$C$1020,3,FALSE)</f>
        <v>제네레이터 블랙홀</v>
      </c>
      <c r="F1228" s="7" t="str">
        <f t="shared" si="165"/>
        <v>블랙홀을 생성시켜 적을 끌어들인 후  폭발시켜 마법공격력의 2275 % 데미지를 준다. (각성시 적을 끌어들이고 있는 동안 마법공격력의 137 % 로 연속타격을 가하고, 폭발시킬 때 마법공격력의 945 % 데미지를 준다.)</v>
      </c>
      <c r="G1228" s="2">
        <v>7</v>
      </c>
      <c r="H1228" s="2">
        <v>1.75</v>
      </c>
      <c r="I1228" s="2">
        <v>30</v>
      </c>
      <c r="J1228" s="2">
        <v>300</v>
      </c>
      <c r="K1228" s="2">
        <v>0</v>
      </c>
      <c r="L1228" s="2">
        <v>0</v>
      </c>
      <c r="M1228" s="2">
        <v>0</v>
      </c>
      <c r="N1228" s="2">
        <v>0</v>
      </c>
      <c r="O1228" s="2">
        <v>0</v>
      </c>
      <c r="P1228" s="2" t="s">
        <v>443</v>
      </c>
      <c r="Q1228" s="2" t="str">
        <f t="shared" si="161"/>
        <v>SI_SA_EN_GENERATE_BLACKHOLE</v>
      </c>
      <c r="R1228" s="2" t="b">
        <v>0</v>
      </c>
      <c r="S1228" s="2" t="b">
        <v>1</v>
      </c>
      <c r="T1228" s="2">
        <v>1</v>
      </c>
    </row>
    <row r="1229" spans="1:21">
      <c r="A1229" s="4">
        <v>3004</v>
      </c>
      <c r="B1229" s="7" t="str">
        <f>VLOOKUP($A1229,SkillEnum!$A$2:$C$1020,2,FALSE)</f>
        <v>SI_SA_EN_GENERATE_BLACKHOLE</v>
      </c>
      <c r="C1229" s="7">
        <v>7</v>
      </c>
      <c r="D1229" s="2" t="str">
        <f>VLOOKUP($C1229,SkillEnum!$D$2:$E$10,2,FALSE)</f>
        <v>ST_SPECIAL_ACTIVE</v>
      </c>
      <c r="E1229" s="7" t="str">
        <f>VLOOKUP($A1229,SkillEnum!$A$2:$C$1020,3,FALSE)</f>
        <v>제네레이터 블랙홀</v>
      </c>
      <c r="F1229" s="7" t="str">
        <f t="shared" si="165"/>
        <v>블랙홀을 생성시켜 적을 끌어들인 후  폭발시켜 마법공격력의 2548 % 데미지를 준다. (각성시 적을 끌어들이고 있는 동안 마법공격력의 153 % 로 연속타격을 가하고, 폭발시킬 때 마법공격력의 1058 % 데미지를 준다.)</v>
      </c>
      <c r="G1229" s="2">
        <v>8</v>
      </c>
      <c r="H1229" s="2">
        <v>1.96</v>
      </c>
      <c r="I1229" s="2">
        <v>30</v>
      </c>
      <c r="J1229" s="2">
        <v>300</v>
      </c>
      <c r="K1229" s="2">
        <v>0</v>
      </c>
      <c r="L1229" s="2">
        <v>0</v>
      </c>
      <c r="M1229" s="2">
        <v>0</v>
      </c>
      <c r="N1229" s="2">
        <v>0</v>
      </c>
      <c r="O1229" s="2">
        <v>0</v>
      </c>
      <c r="P1229" s="2" t="s">
        <v>443</v>
      </c>
      <c r="Q1229" s="2" t="str">
        <f t="shared" si="161"/>
        <v>SI_SA_EN_GENERATE_BLACKHOLE</v>
      </c>
      <c r="R1229" s="2" t="b">
        <v>0</v>
      </c>
      <c r="S1229" s="2" t="b">
        <v>1</v>
      </c>
      <c r="T1229" s="2">
        <v>1</v>
      </c>
    </row>
    <row r="1230" spans="1:21">
      <c r="A1230" s="4">
        <v>3004</v>
      </c>
      <c r="B1230" s="7" t="str">
        <f>VLOOKUP($A1230,SkillEnum!$A$2:$C$1020,2,FALSE)</f>
        <v>SI_SA_EN_GENERATE_BLACKHOLE</v>
      </c>
      <c r="C1230" s="7">
        <v>7</v>
      </c>
      <c r="D1230" s="2" t="str">
        <f>VLOOKUP($C1230,SkillEnum!$D$2:$E$10,2,FALSE)</f>
        <v>ST_SPECIAL_ACTIVE</v>
      </c>
      <c r="E1230" s="7" t="str">
        <f>VLOOKUP($A1230,SkillEnum!$A$2:$C$1020,3,FALSE)</f>
        <v>제네레이터 블랙홀</v>
      </c>
      <c r="F1230" s="7" t="str">
        <f t="shared" si="165"/>
        <v>블랙홀을 생성시켜 적을 끌어들인 후  폭발시켜 마법공격력의 2912 % 데미지를 준다. (각성시 적을 끌어들이고 있는 동안 마법공격력의 175 % 로 연속타격을 가하고, 폭발시킬 때 마법공격력의 1210 % 데미지를 준다.)</v>
      </c>
      <c r="G1230" s="2">
        <v>9</v>
      </c>
      <c r="H1230" s="2">
        <v>2.2400000000000002</v>
      </c>
      <c r="I1230" s="2">
        <v>30</v>
      </c>
      <c r="J1230" s="2">
        <v>300</v>
      </c>
      <c r="K1230" s="2">
        <v>0</v>
      </c>
      <c r="L1230" s="2">
        <v>0</v>
      </c>
      <c r="M1230" s="2">
        <v>0</v>
      </c>
      <c r="N1230" s="2">
        <v>0</v>
      </c>
      <c r="O1230" s="2">
        <v>0</v>
      </c>
      <c r="P1230" s="2" t="s">
        <v>443</v>
      </c>
      <c r="Q1230" s="2" t="str">
        <f t="shared" si="161"/>
        <v>SI_SA_EN_GENERATE_BLACKHOLE</v>
      </c>
      <c r="R1230" s="2" t="b">
        <v>0</v>
      </c>
      <c r="S1230" s="2" t="b">
        <v>1</v>
      </c>
      <c r="T1230" s="2">
        <v>1</v>
      </c>
    </row>
    <row r="1231" spans="1:21" s="5" customFormat="1">
      <c r="A1231" s="6">
        <v>3004</v>
      </c>
      <c r="B1231" s="8" t="str">
        <f>VLOOKUP($A1231,SkillEnum!$A$2:$C$1020,2,FALSE)</f>
        <v>SI_SA_EN_GENERATE_BLACKHOLE</v>
      </c>
      <c r="C1231" s="8">
        <v>7</v>
      </c>
      <c r="D1231" s="5" t="str">
        <f>VLOOKUP($C1231,SkillEnum!$D$2:$E$10,2,FALSE)</f>
        <v>ST_SPECIAL_ACTIVE</v>
      </c>
      <c r="E1231" s="8" t="str">
        <f>VLOOKUP($A1231,SkillEnum!$A$2:$C$1020,3,FALSE)</f>
        <v>제네레이터 블랙홀</v>
      </c>
      <c r="F1231" s="7" t="str">
        <f t="shared" si="165"/>
        <v>블랙홀을 생성시켜 적을 끌어들인 후  폭발시켜 마법공격력의 3276 % 데미지를 준다. (각성시 적을 끌어들이고 있는 동안 마법공격력의 197 % 로 연속타격을 가하고, 폭발시킬 때 마법공격력의 1361 % 데미지를 준다.)</v>
      </c>
      <c r="G1231" s="5">
        <v>10</v>
      </c>
      <c r="H1231" s="5">
        <v>2.52</v>
      </c>
      <c r="I1231" s="5">
        <v>30</v>
      </c>
      <c r="J1231" s="5">
        <v>300</v>
      </c>
      <c r="K1231" s="5">
        <v>0</v>
      </c>
      <c r="L1231" s="5">
        <v>0</v>
      </c>
      <c r="M1231" s="5">
        <v>0</v>
      </c>
      <c r="N1231" s="5">
        <v>0</v>
      </c>
      <c r="O1231" s="5">
        <v>0</v>
      </c>
      <c r="P1231" s="2" t="s">
        <v>443</v>
      </c>
      <c r="Q1231" s="2" t="str">
        <f t="shared" si="161"/>
        <v>SI_SA_EN_GENERATE_BLACKHOLE</v>
      </c>
      <c r="R1231" s="5" t="b">
        <v>0</v>
      </c>
      <c r="S1231" s="2" t="b">
        <v>1</v>
      </c>
      <c r="T1231" s="2">
        <v>1</v>
      </c>
      <c r="U1231" s="2"/>
    </row>
    <row r="1232" spans="1:21">
      <c r="A1232" s="4">
        <v>3005</v>
      </c>
      <c r="B1232" s="7" t="str">
        <f>VLOOKUP($A1232,SkillEnum!$A$2:$C$1020,2,FALSE)</f>
        <v>SI_SA_EN_DIMENSION_LINK_GUARDIAN</v>
      </c>
      <c r="C1232" s="7">
        <v>7</v>
      </c>
      <c r="D1232" s="2" t="str">
        <f>VLOOKUP($C1232,SkillEnum!$D$2:$E$10,2,FALSE)</f>
        <v>ST_SPECIAL_ACTIVE</v>
      </c>
      <c r="E1232" s="11" t="str">
        <f>VLOOKUP($A1232,SkillEnum!$A$2:$C$1020,3,FALSE)</f>
        <v>디멘션 링크 가디언</v>
      </c>
      <c r="F1232" s="11" t="str">
        <f>"가디언을 소환해 전후방향으로 폭염의 파도를 생성해 마법공격력의 250%로 적에게 연속타격을 준다. (소환수의 마법공격력 : 시전자의 "&amp;ROUND(1.2*H1232*100,0)&amp;" %)"</f>
        <v>가디언을 소환해 전후방향으로 폭염의 파도를 생성해 마법공격력의 250%로 적에게 연속타격을 준다. (소환수의 마법공격력 : 시전자의 84 %)</v>
      </c>
      <c r="G1232" s="10">
        <v>1</v>
      </c>
      <c r="H1232" s="2">
        <v>0.7</v>
      </c>
      <c r="I1232" s="2">
        <v>30</v>
      </c>
      <c r="J1232" s="10">
        <v>300</v>
      </c>
      <c r="K1232" s="2">
        <v>0</v>
      </c>
      <c r="L1232" s="2">
        <v>0</v>
      </c>
      <c r="M1232" s="2">
        <v>0</v>
      </c>
      <c r="N1232" s="2">
        <v>0</v>
      </c>
      <c r="O1232" s="2">
        <v>0</v>
      </c>
      <c r="P1232" s="2" t="s">
        <v>443</v>
      </c>
      <c r="Q1232" s="2" t="str">
        <f t="shared" si="161"/>
        <v>SI_SA_EN_DIMENSION_LINK_GUARDIAN</v>
      </c>
      <c r="R1232" s="2" t="b">
        <v>0</v>
      </c>
      <c r="S1232" s="2" t="b">
        <v>1</v>
      </c>
      <c r="T1232" s="2">
        <v>1</v>
      </c>
    </row>
    <row r="1233" spans="1:21">
      <c r="A1233" s="4">
        <v>3005</v>
      </c>
      <c r="B1233" s="7" t="str">
        <f>VLOOKUP($A1233,SkillEnum!$A$2:$C$1020,2,FALSE)</f>
        <v>SI_SA_EN_DIMENSION_LINK_GUARDIAN</v>
      </c>
      <c r="C1233" s="7">
        <v>7</v>
      </c>
      <c r="D1233" s="2" t="str">
        <f>VLOOKUP($C1233,SkillEnum!$D$2:$E$10,2,FALSE)</f>
        <v>ST_SPECIAL_ACTIVE</v>
      </c>
      <c r="E1233" s="7" t="str">
        <f>VLOOKUP($A1233,SkillEnum!$A$2:$C$1020,3,FALSE)</f>
        <v>디멘션 링크 가디언</v>
      </c>
      <c r="F1233" s="7" t="str">
        <f t="shared" ref="F1233:F1241" si="166">"가디언을 소환해 전후방향으로 폭염의 파도를 생성해 마법공격력의 250%로 적에게 연속타격을 준다. (소환수의 마법공격력 : 시전자의 "&amp;ROUND(1.2*H1233*100,0)&amp;" %)"</f>
        <v>가디언을 소환해 전후방향으로 폭염의 파도를 생성해 마법공격력의 250%로 적에게 연속타격을 준다. (소환수의 마법공격력 : 시전자의 101 %)</v>
      </c>
      <c r="G1233" s="2">
        <v>2</v>
      </c>
      <c r="H1233" s="2">
        <v>0.84</v>
      </c>
      <c r="I1233" s="2">
        <v>30</v>
      </c>
      <c r="J1233" s="2">
        <v>300</v>
      </c>
      <c r="K1233" s="2">
        <v>0</v>
      </c>
      <c r="L1233" s="2">
        <v>0</v>
      </c>
      <c r="M1233" s="2">
        <v>0</v>
      </c>
      <c r="N1233" s="2">
        <v>0</v>
      </c>
      <c r="O1233" s="2">
        <v>0</v>
      </c>
      <c r="P1233" s="2" t="s">
        <v>443</v>
      </c>
      <c r="Q1233" s="2" t="str">
        <f t="shared" si="161"/>
        <v>SI_SA_EN_DIMENSION_LINK_GUARDIAN</v>
      </c>
      <c r="R1233" s="2" t="b">
        <v>0</v>
      </c>
      <c r="S1233" s="2" t="b">
        <v>1</v>
      </c>
      <c r="T1233" s="2">
        <v>1</v>
      </c>
    </row>
    <row r="1234" spans="1:21">
      <c r="A1234" s="4">
        <v>3005</v>
      </c>
      <c r="B1234" s="7" t="str">
        <f>VLOOKUP($A1234,SkillEnum!$A$2:$C$1020,2,FALSE)</f>
        <v>SI_SA_EN_DIMENSION_LINK_GUARDIAN</v>
      </c>
      <c r="C1234" s="7">
        <v>7</v>
      </c>
      <c r="D1234" s="2" t="str">
        <f>VLOOKUP($C1234,SkillEnum!$D$2:$E$10,2,FALSE)</f>
        <v>ST_SPECIAL_ACTIVE</v>
      </c>
      <c r="E1234" s="7" t="str">
        <f>VLOOKUP($A1234,SkillEnum!$A$2:$C$1020,3,FALSE)</f>
        <v>디멘션 링크 가디언</v>
      </c>
      <c r="F1234" s="7" t="str">
        <f t="shared" si="166"/>
        <v>가디언을 소환해 전후방향으로 폭염의 파도를 생성해 마법공격력의 250%로 적에게 연속타격을 준다. (소환수의 마법공격력 : 시전자의 118 %)</v>
      </c>
      <c r="G1234" s="2">
        <v>3</v>
      </c>
      <c r="H1234" s="2">
        <v>0.98</v>
      </c>
      <c r="I1234" s="2">
        <v>30</v>
      </c>
      <c r="J1234" s="2">
        <v>300</v>
      </c>
      <c r="K1234" s="2">
        <v>0</v>
      </c>
      <c r="L1234" s="2">
        <v>0</v>
      </c>
      <c r="M1234" s="2">
        <v>0</v>
      </c>
      <c r="N1234" s="2">
        <v>0</v>
      </c>
      <c r="O1234" s="2">
        <v>0</v>
      </c>
      <c r="P1234" s="2" t="s">
        <v>443</v>
      </c>
      <c r="Q1234" s="2" t="str">
        <f t="shared" si="161"/>
        <v>SI_SA_EN_DIMENSION_LINK_GUARDIAN</v>
      </c>
      <c r="R1234" s="2" t="b">
        <v>0</v>
      </c>
      <c r="S1234" s="2" t="b">
        <v>1</v>
      </c>
      <c r="T1234" s="2">
        <v>1</v>
      </c>
    </row>
    <row r="1235" spans="1:21">
      <c r="A1235" s="4">
        <v>3005</v>
      </c>
      <c r="B1235" s="7" t="str">
        <f>VLOOKUP($A1235,SkillEnum!$A$2:$C$1020,2,FALSE)</f>
        <v>SI_SA_EN_DIMENSION_LINK_GUARDIAN</v>
      </c>
      <c r="C1235" s="7">
        <v>7</v>
      </c>
      <c r="D1235" s="2" t="str">
        <f>VLOOKUP($C1235,SkillEnum!$D$2:$E$10,2,FALSE)</f>
        <v>ST_SPECIAL_ACTIVE</v>
      </c>
      <c r="E1235" s="7" t="str">
        <f>VLOOKUP($A1235,SkillEnum!$A$2:$C$1020,3,FALSE)</f>
        <v>디멘션 링크 가디언</v>
      </c>
      <c r="F1235" s="7" t="str">
        <f t="shared" si="166"/>
        <v>가디언을 소환해 전후방향으로 폭염의 파도를 생성해 마법공격력의 250%로 적에게 연속타격을 준다. (소환수의 마법공격력 : 시전자의 134 %)</v>
      </c>
      <c r="G1235" s="2">
        <v>4</v>
      </c>
      <c r="H1235" s="2">
        <v>1.1200000000000001</v>
      </c>
      <c r="I1235" s="2">
        <v>30</v>
      </c>
      <c r="J1235" s="2">
        <v>300</v>
      </c>
      <c r="K1235" s="2">
        <v>0</v>
      </c>
      <c r="L1235" s="2">
        <v>0</v>
      </c>
      <c r="M1235" s="2">
        <v>0</v>
      </c>
      <c r="N1235" s="2">
        <v>0</v>
      </c>
      <c r="O1235" s="2">
        <v>0</v>
      </c>
      <c r="P1235" s="2" t="s">
        <v>443</v>
      </c>
      <c r="Q1235" s="2" t="str">
        <f t="shared" si="161"/>
        <v>SI_SA_EN_DIMENSION_LINK_GUARDIAN</v>
      </c>
      <c r="R1235" s="2" t="b">
        <v>0</v>
      </c>
      <c r="S1235" s="2" t="b">
        <v>1</v>
      </c>
      <c r="T1235" s="2">
        <v>1</v>
      </c>
    </row>
    <row r="1236" spans="1:21">
      <c r="A1236" s="4">
        <v>3005</v>
      </c>
      <c r="B1236" s="7" t="str">
        <f>VLOOKUP($A1236,SkillEnum!$A$2:$C$1020,2,FALSE)</f>
        <v>SI_SA_EN_DIMENSION_LINK_GUARDIAN</v>
      </c>
      <c r="C1236" s="7">
        <v>7</v>
      </c>
      <c r="D1236" s="2" t="str">
        <f>VLOOKUP($C1236,SkillEnum!$D$2:$E$10,2,FALSE)</f>
        <v>ST_SPECIAL_ACTIVE</v>
      </c>
      <c r="E1236" s="7" t="str">
        <f>VLOOKUP($A1236,SkillEnum!$A$2:$C$1020,3,FALSE)</f>
        <v>디멘션 링크 가디언</v>
      </c>
      <c r="F1236" s="7" t="str">
        <f t="shared" si="166"/>
        <v>가디언을 소환해 전후방향으로 폭염의 파도를 생성해 마법공격력의 250%로 적에게 연속타격을 준다. (소환수의 마법공격력 : 시전자의 160 %)</v>
      </c>
      <c r="G1236" s="2">
        <v>5</v>
      </c>
      <c r="H1236" s="2">
        <v>1.33</v>
      </c>
      <c r="I1236" s="2">
        <v>30</v>
      </c>
      <c r="J1236" s="2">
        <v>300</v>
      </c>
      <c r="K1236" s="2">
        <v>0</v>
      </c>
      <c r="L1236" s="2">
        <v>0</v>
      </c>
      <c r="M1236" s="2">
        <v>0</v>
      </c>
      <c r="N1236" s="2">
        <v>0</v>
      </c>
      <c r="O1236" s="2">
        <v>0</v>
      </c>
      <c r="P1236" s="2" t="s">
        <v>443</v>
      </c>
      <c r="Q1236" s="2" t="str">
        <f t="shared" si="161"/>
        <v>SI_SA_EN_DIMENSION_LINK_GUARDIAN</v>
      </c>
      <c r="R1236" s="2" t="b">
        <v>0</v>
      </c>
      <c r="S1236" s="2" t="b">
        <v>1</v>
      </c>
      <c r="T1236" s="2">
        <v>1</v>
      </c>
    </row>
    <row r="1237" spans="1:21">
      <c r="A1237" s="4">
        <v>3005</v>
      </c>
      <c r="B1237" s="7" t="str">
        <f>VLOOKUP($A1237,SkillEnum!$A$2:$C$1020,2,FALSE)</f>
        <v>SI_SA_EN_DIMENSION_LINK_GUARDIAN</v>
      </c>
      <c r="C1237" s="7">
        <v>7</v>
      </c>
      <c r="D1237" s="2" t="str">
        <f>VLOOKUP($C1237,SkillEnum!$D$2:$E$10,2,FALSE)</f>
        <v>ST_SPECIAL_ACTIVE</v>
      </c>
      <c r="E1237" s="7" t="str">
        <f>VLOOKUP($A1237,SkillEnum!$A$2:$C$1020,3,FALSE)</f>
        <v>디멘션 링크 가디언</v>
      </c>
      <c r="F1237" s="7" t="str">
        <f t="shared" si="166"/>
        <v>가디언을 소환해 전후방향으로 폭염의 파도를 생성해 마법공격력의 250%로 적에게 연속타격을 준다. (소환수의 마법공격력 : 시전자의 185 %)</v>
      </c>
      <c r="G1237" s="2">
        <v>6</v>
      </c>
      <c r="H1237" s="2">
        <v>1.54</v>
      </c>
      <c r="I1237" s="2">
        <v>30</v>
      </c>
      <c r="J1237" s="2">
        <v>300</v>
      </c>
      <c r="K1237" s="2">
        <v>0</v>
      </c>
      <c r="L1237" s="2">
        <v>0</v>
      </c>
      <c r="M1237" s="2">
        <v>0</v>
      </c>
      <c r="N1237" s="2">
        <v>0</v>
      </c>
      <c r="O1237" s="2">
        <v>0</v>
      </c>
      <c r="P1237" s="2" t="s">
        <v>443</v>
      </c>
      <c r="Q1237" s="2" t="str">
        <f t="shared" si="161"/>
        <v>SI_SA_EN_DIMENSION_LINK_GUARDIAN</v>
      </c>
      <c r="R1237" s="2" t="b">
        <v>0</v>
      </c>
      <c r="S1237" s="2" t="b">
        <v>1</v>
      </c>
      <c r="T1237" s="2">
        <v>1</v>
      </c>
    </row>
    <row r="1238" spans="1:21">
      <c r="A1238" s="4">
        <v>3005</v>
      </c>
      <c r="B1238" s="7" t="str">
        <f>VLOOKUP($A1238,SkillEnum!$A$2:$C$1020,2,FALSE)</f>
        <v>SI_SA_EN_DIMENSION_LINK_GUARDIAN</v>
      </c>
      <c r="C1238" s="7">
        <v>7</v>
      </c>
      <c r="D1238" s="2" t="str">
        <f>VLOOKUP($C1238,SkillEnum!$D$2:$E$10,2,FALSE)</f>
        <v>ST_SPECIAL_ACTIVE</v>
      </c>
      <c r="E1238" s="7" t="str">
        <f>VLOOKUP($A1238,SkillEnum!$A$2:$C$1020,3,FALSE)</f>
        <v>디멘션 링크 가디언</v>
      </c>
      <c r="F1238" s="7" t="str">
        <f t="shared" si="166"/>
        <v>가디언을 소환해 전후방향으로 폭염의 파도를 생성해 마법공격력의 250%로 적에게 연속타격을 준다. (소환수의 마법공격력 : 시전자의 210 %)</v>
      </c>
      <c r="G1238" s="2">
        <v>7</v>
      </c>
      <c r="H1238" s="2">
        <v>1.75</v>
      </c>
      <c r="I1238" s="2">
        <v>30</v>
      </c>
      <c r="J1238" s="2">
        <v>300</v>
      </c>
      <c r="K1238" s="2">
        <v>0</v>
      </c>
      <c r="L1238" s="2">
        <v>0</v>
      </c>
      <c r="M1238" s="2">
        <v>0</v>
      </c>
      <c r="N1238" s="2">
        <v>0</v>
      </c>
      <c r="O1238" s="2">
        <v>0</v>
      </c>
      <c r="P1238" s="2" t="s">
        <v>443</v>
      </c>
      <c r="Q1238" s="2" t="str">
        <f t="shared" si="161"/>
        <v>SI_SA_EN_DIMENSION_LINK_GUARDIAN</v>
      </c>
      <c r="R1238" s="2" t="b">
        <v>0</v>
      </c>
      <c r="S1238" s="2" t="b">
        <v>1</v>
      </c>
      <c r="T1238" s="2">
        <v>1</v>
      </c>
    </row>
    <row r="1239" spans="1:21">
      <c r="A1239" s="4">
        <v>3005</v>
      </c>
      <c r="B1239" s="7" t="str">
        <f>VLOOKUP($A1239,SkillEnum!$A$2:$C$1020,2,FALSE)</f>
        <v>SI_SA_EN_DIMENSION_LINK_GUARDIAN</v>
      </c>
      <c r="C1239" s="7">
        <v>7</v>
      </c>
      <c r="D1239" s="2" t="str">
        <f>VLOOKUP($C1239,SkillEnum!$D$2:$E$10,2,FALSE)</f>
        <v>ST_SPECIAL_ACTIVE</v>
      </c>
      <c r="E1239" s="7" t="str">
        <f>VLOOKUP($A1239,SkillEnum!$A$2:$C$1020,3,FALSE)</f>
        <v>디멘션 링크 가디언</v>
      </c>
      <c r="F1239" s="7" t="str">
        <f t="shared" si="166"/>
        <v>가디언을 소환해 전후방향으로 폭염의 파도를 생성해 마법공격력의 250%로 적에게 연속타격을 준다. (소환수의 마법공격력 : 시전자의 235 %)</v>
      </c>
      <c r="G1239" s="2">
        <v>8</v>
      </c>
      <c r="H1239" s="2">
        <v>1.96</v>
      </c>
      <c r="I1239" s="2">
        <v>30</v>
      </c>
      <c r="J1239" s="2">
        <v>300</v>
      </c>
      <c r="K1239" s="2">
        <v>0</v>
      </c>
      <c r="L1239" s="2">
        <v>0</v>
      </c>
      <c r="M1239" s="2">
        <v>0</v>
      </c>
      <c r="N1239" s="2">
        <v>0</v>
      </c>
      <c r="O1239" s="2">
        <v>0</v>
      </c>
      <c r="P1239" s="2" t="s">
        <v>443</v>
      </c>
      <c r="Q1239" s="2" t="str">
        <f t="shared" si="161"/>
        <v>SI_SA_EN_DIMENSION_LINK_GUARDIAN</v>
      </c>
      <c r="R1239" s="2" t="b">
        <v>0</v>
      </c>
      <c r="S1239" s="2" t="b">
        <v>1</v>
      </c>
      <c r="T1239" s="2">
        <v>1</v>
      </c>
    </row>
    <row r="1240" spans="1:21">
      <c r="A1240" s="4">
        <v>3005</v>
      </c>
      <c r="B1240" s="7" t="str">
        <f>VLOOKUP($A1240,SkillEnum!$A$2:$C$1020,2,FALSE)</f>
        <v>SI_SA_EN_DIMENSION_LINK_GUARDIAN</v>
      </c>
      <c r="C1240" s="7">
        <v>7</v>
      </c>
      <c r="D1240" s="2" t="str">
        <f>VLOOKUP($C1240,SkillEnum!$D$2:$E$10,2,FALSE)</f>
        <v>ST_SPECIAL_ACTIVE</v>
      </c>
      <c r="E1240" s="7" t="str">
        <f>VLOOKUP($A1240,SkillEnum!$A$2:$C$1020,3,FALSE)</f>
        <v>디멘션 링크 가디언</v>
      </c>
      <c r="F1240" s="7" t="str">
        <f t="shared" si="166"/>
        <v>가디언을 소환해 전후방향으로 폭염의 파도를 생성해 마법공격력의 250%로 적에게 연속타격을 준다. (소환수의 마법공격력 : 시전자의 269 %)</v>
      </c>
      <c r="G1240" s="2">
        <v>9</v>
      </c>
      <c r="H1240" s="2">
        <v>2.2400000000000002</v>
      </c>
      <c r="I1240" s="2">
        <v>30</v>
      </c>
      <c r="J1240" s="2">
        <v>300</v>
      </c>
      <c r="K1240" s="2">
        <v>0</v>
      </c>
      <c r="L1240" s="2">
        <v>0</v>
      </c>
      <c r="M1240" s="2">
        <v>0</v>
      </c>
      <c r="N1240" s="2">
        <v>0</v>
      </c>
      <c r="O1240" s="2">
        <v>0</v>
      </c>
      <c r="P1240" s="2" t="s">
        <v>443</v>
      </c>
      <c r="Q1240" s="2" t="str">
        <f t="shared" si="161"/>
        <v>SI_SA_EN_DIMENSION_LINK_GUARDIAN</v>
      </c>
      <c r="R1240" s="2" t="b">
        <v>0</v>
      </c>
      <c r="S1240" s="2" t="b">
        <v>1</v>
      </c>
      <c r="T1240" s="2">
        <v>1</v>
      </c>
    </row>
    <row r="1241" spans="1:21" s="5" customFormat="1">
      <c r="A1241" s="6">
        <v>3005</v>
      </c>
      <c r="B1241" s="8" t="str">
        <f>VLOOKUP($A1241,SkillEnum!$A$2:$C$1020,2,FALSE)</f>
        <v>SI_SA_EN_DIMENSION_LINK_GUARDIAN</v>
      </c>
      <c r="C1241" s="8">
        <v>7</v>
      </c>
      <c r="D1241" s="5" t="str">
        <f>VLOOKUP($C1241,SkillEnum!$D$2:$E$10,2,FALSE)</f>
        <v>ST_SPECIAL_ACTIVE</v>
      </c>
      <c r="E1241" s="8" t="str">
        <f>VLOOKUP($A1241,SkillEnum!$A$2:$C$1020,3,FALSE)</f>
        <v>디멘션 링크 가디언</v>
      </c>
      <c r="F1241" s="8" t="str">
        <f t="shared" si="166"/>
        <v>가디언을 소환해 전후방향으로 폭염의 파도를 생성해 마법공격력의 250%로 적에게 연속타격을 준다. (소환수의 마법공격력 : 시전자의 302 %)</v>
      </c>
      <c r="G1241" s="5">
        <v>10</v>
      </c>
      <c r="H1241" s="5">
        <v>2.52</v>
      </c>
      <c r="I1241" s="5">
        <v>30</v>
      </c>
      <c r="J1241" s="5">
        <v>300</v>
      </c>
      <c r="K1241" s="5">
        <v>0</v>
      </c>
      <c r="L1241" s="5">
        <v>0</v>
      </c>
      <c r="M1241" s="5">
        <v>0</v>
      </c>
      <c r="N1241" s="5">
        <v>0</v>
      </c>
      <c r="O1241" s="5">
        <v>0</v>
      </c>
      <c r="P1241" s="2" t="s">
        <v>443</v>
      </c>
      <c r="Q1241" s="2" t="str">
        <f t="shared" si="161"/>
        <v>SI_SA_EN_DIMENSION_LINK_GUARDIAN</v>
      </c>
      <c r="R1241" s="5" t="b">
        <v>0</v>
      </c>
      <c r="S1241" s="2" t="b">
        <v>1</v>
      </c>
      <c r="T1241" s="2">
        <v>1</v>
      </c>
      <c r="U1241" s="2"/>
    </row>
    <row r="1242" spans="1:21">
      <c r="A1242" s="4">
        <v>3006</v>
      </c>
      <c r="B1242" s="7" t="str">
        <f>VLOOKUP($A1242,SkillEnum!$A$2:$C$1020,2,FALSE)</f>
        <v>SI_SA_EEG_HORNET_STING</v>
      </c>
      <c r="C1242" s="7">
        <v>7</v>
      </c>
      <c r="D1242" s="2" t="str">
        <f>VLOOKUP($C1242,SkillEnum!$D$2:$E$10,2,FALSE)</f>
        <v>ST_SPECIAL_ACTIVE</v>
      </c>
      <c r="E1242" s="11" t="str">
        <f>VLOOKUP($A1242,SkillEnum!$A$2:$C$1020,3,FALSE)</f>
        <v>호넷 스팅</v>
      </c>
      <c r="F1242" s="11" t="str">
        <f>"바주카포를 만들어내서 전방으로 발사해 포탄에 맞은 적에게 물리공격력의 "&amp;ROUND(4*H1242*100,0)&amp;" % 데미지를 주고, 포탄이 터지면서 생기는 충격파로 마법공격력의 "&amp;ROUND(4*H1242*100,0)&amp;" % 데미지를 준다."</f>
        <v>바주카포를 만들어내서 전방으로 발사해 포탄에 맞은 적에게 물리공격력의 280 % 데미지를 주고, 포탄이 터지면서 생기는 충격파로 마법공격력의 280 % 데미지를 준다.</v>
      </c>
      <c r="G1242" s="10">
        <v>1</v>
      </c>
      <c r="H1242" s="2">
        <v>0.7</v>
      </c>
      <c r="I1242" s="2">
        <v>3</v>
      </c>
      <c r="J1242" s="10">
        <v>110</v>
      </c>
      <c r="K1242" s="2">
        <v>0</v>
      </c>
      <c r="L1242" s="2">
        <v>0</v>
      </c>
      <c r="M1242" s="2">
        <v>0</v>
      </c>
      <c r="N1242" s="2">
        <v>0</v>
      </c>
      <c r="O1242" s="2">
        <v>0</v>
      </c>
      <c r="P1242" s="2" t="s">
        <v>443</v>
      </c>
      <c r="Q1242" s="2" t="str">
        <f t="shared" si="161"/>
        <v>SI_SA_EEG_HORNET_STING</v>
      </c>
      <c r="R1242" s="2" t="b">
        <v>0</v>
      </c>
      <c r="S1242" s="2" t="b">
        <v>1</v>
      </c>
      <c r="T1242" s="2">
        <v>1</v>
      </c>
    </row>
    <row r="1243" spans="1:21">
      <c r="A1243" s="4">
        <v>3006</v>
      </c>
      <c r="B1243" s="7" t="str">
        <f>VLOOKUP($A1243,SkillEnum!$A$2:$C$1020,2,FALSE)</f>
        <v>SI_SA_EEG_HORNET_STING</v>
      </c>
      <c r="C1243" s="7">
        <v>7</v>
      </c>
      <c r="D1243" s="2" t="str">
        <f>VLOOKUP($C1243,SkillEnum!$D$2:$E$10,2,FALSE)</f>
        <v>ST_SPECIAL_ACTIVE</v>
      </c>
      <c r="E1243" s="7" t="str">
        <f>VLOOKUP($A1243,SkillEnum!$A$2:$C$1020,3,FALSE)</f>
        <v>호넷 스팅</v>
      </c>
      <c r="F1243" s="7" t="str">
        <f t="shared" ref="F1243:F1251" si="167">"바주카포를 만들어내서 전방으로 발사해 포탄에 맞은 적에게 물리공격력의 "&amp;ROUND(4*H1243*100,0)&amp;" % 데미지를 주고, 포탄이 터지면서 생기는 충격파로 마법공격력의 "&amp;ROUND(4*H1243*100,0)&amp;" % 데미지를 준다."</f>
        <v>바주카포를 만들어내서 전방으로 발사해 포탄에 맞은 적에게 물리공격력의 336 % 데미지를 주고, 포탄이 터지면서 생기는 충격파로 마법공격력의 336 % 데미지를 준다.</v>
      </c>
      <c r="G1243" s="2">
        <v>2</v>
      </c>
      <c r="H1243" s="2">
        <v>0.84</v>
      </c>
      <c r="I1243" s="2">
        <v>3</v>
      </c>
      <c r="J1243" s="2">
        <v>110</v>
      </c>
      <c r="K1243" s="2">
        <v>0</v>
      </c>
      <c r="L1243" s="2">
        <v>0</v>
      </c>
      <c r="M1243" s="2">
        <v>0</v>
      </c>
      <c r="N1243" s="2">
        <v>0</v>
      </c>
      <c r="O1243" s="2">
        <v>0</v>
      </c>
      <c r="P1243" s="2" t="s">
        <v>443</v>
      </c>
      <c r="Q1243" s="2" t="str">
        <f t="shared" si="161"/>
        <v>SI_SA_EEG_HORNET_STING</v>
      </c>
      <c r="R1243" s="2" t="b">
        <v>0</v>
      </c>
      <c r="S1243" s="2" t="b">
        <v>1</v>
      </c>
      <c r="T1243" s="2">
        <v>1</v>
      </c>
    </row>
    <row r="1244" spans="1:21">
      <c r="A1244" s="4">
        <v>3006</v>
      </c>
      <c r="B1244" s="7" t="str">
        <f>VLOOKUP($A1244,SkillEnum!$A$2:$C$1020,2,FALSE)</f>
        <v>SI_SA_EEG_HORNET_STING</v>
      </c>
      <c r="C1244" s="7">
        <v>7</v>
      </c>
      <c r="D1244" s="2" t="str">
        <f>VLOOKUP($C1244,SkillEnum!$D$2:$E$10,2,FALSE)</f>
        <v>ST_SPECIAL_ACTIVE</v>
      </c>
      <c r="E1244" s="7" t="str">
        <f>VLOOKUP($A1244,SkillEnum!$A$2:$C$1020,3,FALSE)</f>
        <v>호넷 스팅</v>
      </c>
      <c r="F1244" s="7" t="str">
        <f t="shared" si="167"/>
        <v>바주카포를 만들어내서 전방으로 발사해 포탄에 맞은 적에게 물리공격력의 392 % 데미지를 주고, 포탄이 터지면서 생기는 충격파로 마법공격력의 392 % 데미지를 준다.</v>
      </c>
      <c r="G1244" s="2">
        <v>3</v>
      </c>
      <c r="H1244" s="2">
        <v>0.98</v>
      </c>
      <c r="I1244" s="2">
        <v>3</v>
      </c>
      <c r="J1244" s="2">
        <v>110</v>
      </c>
      <c r="K1244" s="2">
        <v>0</v>
      </c>
      <c r="L1244" s="2">
        <v>0</v>
      </c>
      <c r="M1244" s="2">
        <v>0</v>
      </c>
      <c r="N1244" s="2">
        <v>0</v>
      </c>
      <c r="O1244" s="2">
        <v>0</v>
      </c>
      <c r="P1244" s="2" t="s">
        <v>443</v>
      </c>
      <c r="Q1244" s="2" t="str">
        <f t="shared" si="161"/>
        <v>SI_SA_EEG_HORNET_STING</v>
      </c>
      <c r="R1244" s="2" t="b">
        <v>0</v>
      </c>
      <c r="S1244" s="2" t="b">
        <v>1</v>
      </c>
      <c r="T1244" s="2">
        <v>1</v>
      </c>
    </row>
    <row r="1245" spans="1:21">
      <c r="A1245" s="4">
        <v>3006</v>
      </c>
      <c r="B1245" s="7" t="str">
        <f>VLOOKUP($A1245,SkillEnum!$A$2:$C$1020,2,FALSE)</f>
        <v>SI_SA_EEG_HORNET_STING</v>
      </c>
      <c r="C1245" s="7">
        <v>7</v>
      </c>
      <c r="D1245" s="2" t="str">
        <f>VLOOKUP($C1245,SkillEnum!$D$2:$E$10,2,FALSE)</f>
        <v>ST_SPECIAL_ACTIVE</v>
      </c>
      <c r="E1245" s="7" t="str">
        <f>VLOOKUP($A1245,SkillEnum!$A$2:$C$1020,3,FALSE)</f>
        <v>호넷 스팅</v>
      </c>
      <c r="F1245" s="7" t="str">
        <f t="shared" si="167"/>
        <v>바주카포를 만들어내서 전방으로 발사해 포탄에 맞은 적에게 물리공격력의 448 % 데미지를 주고, 포탄이 터지면서 생기는 충격파로 마법공격력의 448 % 데미지를 준다.</v>
      </c>
      <c r="G1245" s="2">
        <v>4</v>
      </c>
      <c r="H1245" s="2">
        <v>1.1200000000000001</v>
      </c>
      <c r="I1245" s="2">
        <v>3</v>
      </c>
      <c r="J1245" s="2">
        <v>110</v>
      </c>
      <c r="K1245" s="2">
        <v>0</v>
      </c>
      <c r="L1245" s="2">
        <v>0</v>
      </c>
      <c r="M1245" s="2">
        <v>0</v>
      </c>
      <c r="N1245" s="2">
        <v>0</v>
      </c>
      <c r="O1245" s="2">
        <v>0</v>
      </c>
      <c r="P1245" s="2" t="s">
        <v>443</v>
      </c>
      <c r="Q1245" s="2" t="str">
        <f t="shared" si="161"/>
        <v>SI_SA_EEG_HORNET_STING</v>
      </c>
      <c r="R1245" s="2" t="b">
        <v>0</v>
      </c>
      <c r="S1245" s="2" t="b">
        <v>1</v>
      </c>
      <c r="T1245" s="2">
        <v>1</v>
      </c>
    </row>
    <row r="1246" spans="1:21">
      <c r="A1246" s="4">
        <v>3006</v>
      </c>
      <c r="B1246" s="7" t="str">
        <f>VLOOKUP($A1246,SkillEnum!$A$2:$C$1020,2,FALSE)</f>
        <v>SI_SA_EEG_HORNET_STING</v>
      </c>
      <c r="C1246" s="7">
        <v>7</v>
      </c>
      <c r="D1246" s="2" t="str">
        <f>VLOOKUP($C1246,SkillEnum!$D$2:$E$10,2,FALSE)</f>
        <v>ST_SPECIAL_ACTIVE</v>
      </c>
      <c r="E1246" s="7" t="str">
        <f>VLOOKUP($A1246,SkillEnum!$A$2:$C$1020,3,FALSE)</f>
        <v>호넷 스팅</v>
      </c>
      <c r="F1246" s="7" t="str">
        <f t="shared" si="167"/>
        <v>바주카포를 만들어내서 전방으로 발사해 포탄에 맞은 적에게 물리공격력의 532 % 데미지를 주고, 포탄이 터지면서 생기는 충격파로 마법공격력의 532 % 데미지를 준다.</v>
      </c>
      <c r="G1246" s="2">
        <v>5</v>
      </c>
      <c r="H1246" s="2">
        <v>1.33</v>
      </c>
      <c r="I1246" s="2">
        <v>3</v>
      </c>
      <c r="J1246" s="2">
        <v>110</v>
      </c>
      <c r="K1246" s="2">
        <v>0</v>
      </c>
      <c r="L1246" s="2">
        <v>0</v>
      </c>
      <c r="M1246" s="2">
        <v>0</v>
      </c>
      <c r="N1246" s="2">
        <v>0</v>
      </c>
      <c r="O1246" s="2">
        <v>0</v>
      </c>
      <c r="P1246" s="2" t="s">
        <v>443</v>
      </c>
      <c r="Q1246" s="2" t="str">
        <f t="shared" si="161"/>
        <v>SI_SA_EEG_HORNET_STING</v>
      </c>
      <c r="R1246" s="2" t="b">
        <v>0</v>
      </c>
      <c r="S1246" s="2" t="b">
        <v>1</v>
      </c>
      <c r="T1246" s="2">
        <v>1</v>
      </c>
    </row>
    <row r="1247" spans="1:21">
      <c r="A1247" s="4">
        <v>3006</v>
      </c>
      <c r="B1247" s="7" t="str">
        <f>VLOOKUP($A1247,SkillEnum!$A$2:$C$1020,2,FALSE)</f>
        <v>SI_SA_EEG_HORNET_STING</v>
      </c>
      <c r="C1247" s="7">
        <v>7</v>
      </c>
      <c r="D1247" s="2" t="str">
        <f>VLOOKUP($C1247,SkillEnum!$D$2:$E$10,2,FALSE)</f>
        <v>ST_SPECIAL_ACTIVE</v>
      </c>
      <c r="E1247" s="7" t="str">
        <f>VLOOKUP($A1247,SkillEnum!$A$2:$C$1020,3,FALSE)</f>
        <v>호넷 스팅</v>
      </c>
      <c r="F1247" s="7" t="str">
        <f t="shared" si="167"/>
        <v>바주카포를 만들어내서 전방으로 발사해 포탄에 맞은 적에게 물리공격력의 616 % 데미지를 주고, 포탄이 터지면서 생기는 충격파로 마법공격력의 616 % 데미지를 준다.</v>
      </c>
      <c r="G1247" s="2">
        <v>6</v>
      </c>
      <c r="H1247" s="2">
        <v>1.54</v>
      </c>
      <c r="I1247" s="2">
        <v>3</v>
      </c>
      <c r="J1247" s="2">
        <v>110</v>
      </c>
      <c r="K1247" s="2">
        <v>0</v>
      </c>
      <c r="L1247" s="2">
        <v>0</v>
      </c>
      <c r="M1247" s="2">
        <v>0</v>
      </c>
      <c r="N1247" s="2">
        <v>0</v>
      </c>
      <c r="O1247" s="2">
        <v>0</v>
      </c>
      <c r="P1247" s="2" t="s">
        <v>443</v>
      </c>
      <c r="Q1247" s="2" t="str">
        <f t="shared" si="161"/>
        <v>SI_SA_EEG_HORNET_STING</v>
      </c>
      <c r="R1247" s="2" t="b">
        <v>0</v>
      </c>
      <c r="S1247" s="2" t="b">
        <v>1</v>
      </c>
      <c r="T1247" s="2">
        <v>1</v>
      </c>
    </row>
    <row r="1248" spans="1:21">
      <c r="A1248" s="4">
        <v>3006</v>
      </c>
      <c r="B1248" s="7" t="str">
        <f>VLOOKUP($A1248,SkillEnum!$A$2:$C$1020,2,FALSE)</f>
        <v>SI_SA_EEG_HORNET_STING</v>
      </c>
      <c r="C1248" s="7">
        <v>7</v>
      </c>
      <c r="D1248" s="2" t="str">
        <f>VLOOKUP($C1248,SkillEnum!$D$2:$E$10,2,FALSE)</f>
        <v>ST_SPECIAL_ACTIVE</v>
      </c>
      <c r="E1248" s="7" t="str">
        <f>VLOOKUP($A1248,SkillEnum!$A$2:$C$1020,3,FALSE)</f>
        <v>호넷 스팅</v>
      </c>
      <c r="F1248" s="7" t="str">
        <f t="shared" si="167"/>
        <v>바주카포를 만들어내서 전방으로 발사해 포탄에 맞은 적에게 물리공격력의 700 % 데미지를 주고, 포탄이 터지면서 생기는 충격파로 마법공격력의 700 % 데미지를 준다.</v>
      </c>
      <c r="G1248" s="2">
        <v>7</v>
      </c>
      <c r="H1248" s="2">
        <v>1.75</v>
      </c>
      <c r="I1248" s="2">
        <v>3</v>
      </c>
      <c r="J1248" s="2">
        <v>110</v>
      </c>
      <c r="K1248" s="2">
        <v>0</v>
      </c>
      <c r="L1248" s="2">
        <v>0</v>
      </c>
      <c r="M1248" s="2">
        <v>0</v>
      </c>
      <c r="N1248" s="2">
        <v>0</v>
      </c>
      <c r="O1248" s="2">
        <v>0</v>
      </c>
      <c r="P1248" s="2" t="s">
        <v>443</v>
      </c>
      <c r="Q1248" s="2" t="str">
        <f t="shared" si="161"/>
        <v>SI_SA_EEG_HORNET_STING</v>
      </c>
      <c r="R1248" s="2" t="b">
        <v>0</v>
      </c>
      <c r="S1248" s="2" t="b">
        <v>1</v>
      </c>
      <c r="T1248" s="2">
        <v>1</v>
      </c>
    </row>
    <row r="1249" spans="1:21">
      <c r="A1249" s="4">
        <v>3006</v>
      </c>
      <c r="B1249" s="7" t="str">
        <f>VLOOKUP($A1249,SkillEnum!$A$2:$C$1020,2,FALSE)</f>
        <v>SI_SA_EEG_HORNET_STING</v>
      </c>
      <c r="C1249" s="7">
        <v>7</v>
      </c>
      <c r="D1249" s="2" t="str">
        <f>VLOOKUP($C1249,SkillEnum!$D$2:$E$10,2,FALSE)</f>
        <v>ST_SPECIAL_ACTIVE</v>
      </c>
      <c r="E1249" s="7" t="str">
        <f>VLOOKUP($A1249,SkillEnum!$A$2:$C$1020,3,FALSE)</f>
        <v>호넷 스팅</v>
      </c>
      <c r="F1249" s="7" t="str">
        <f t="shared" si="167"/>
        <v>바주카포를 만들어내서 전방으로 발사해 포탄에 맞은 적에게 물리공격력의 784 % 데미지를 주고, 포탄이 터지면서 생기는 충격파로 마법공격력의 784 % 데미지를 준다.</v>
      </c>
      <c r="G1249" s="2">
        <v>8</v>
      </c>
      <c r="H1249" s="2">
        <v>1.96</v>
      </c>
      <c r="I1249" s="2">
        <v>3</v>
      </c>
      <c r="J1249" s="2">
        <v>110</v>
      </c>
      <c r="K1249" s="2">
        <v>0</v>
      </c>
      <c r="L1249" s="2">
        <v>0</v>
      </c>
      <c r="M1249" s="2">
        <v>0</v>
      </c>
      <c r="N1249" s="2">
        <v>0</v>
      </c>
      <c r="O1249" s="2">
        <v>0</v>
      </c>
      <c r="P1249" s="2" t="s">
        <v>443</v>
      </c>
      <c r="Q1249" s="2" t="str">
        <f t="shared" si="161"/>
        <v>SI_SA_EEG_HORNET_STING</v>
      </c>
      <c r="R1249" s="2" t="b">
        <v>0</v>
      </c>
      <c r="S1249" s="2" t="b">
        <v>1</v>
      </c>
      <c r="T1249" s="2">
        <v>1</v>
      </c>
    </row>
    <row r="1250" spans="1:21">
      <c r="A1250" s="4">
        <v>3006</v>
      </c>
      <c r="B1250" s="7" t="str">
        <f>VLOOKUP($A1250,SkillEnum!$A$2:$C$1020,2,FALSE)</f>
        <v>SI_SA_EEG_HORNET_STING</v>
      </c>
      <c r="C1250" s="7">
        <v>7</v>
      </c>
      <c r="D1250" s="2" t="str">
        <f>VLOOKUP($C1250,SkillEnum!$D$2:$E$10,2,FALSE)</f>
        <v>ST_SPECIAL_ACTIVE</v>
      </c>
      <c r="E1250" s="7" t="str">
        <f>VLOOKUP($A1250,SkillEnum!$A$2:$C$1020,3,FALSE)</f>
        <v>호넷 스팅</v>
      </c>
      <c r="F1250" s="7" t="str">
        <f t="shared" si="167"/>
        <v>바주카포를 만들어내서 전방으로 발사해 포탄에 맞은 적에게 물리공격력의 896 % 데미지를 주고, 포탄이 터지면서 생기는 충격파로 마법공격력의 896 % 데미지를 준다.</v>
      </c>
      <c r="G1250" s="2">
        <v>9</v>
      </c>
      <c r="H1250" s="2">
        <v>2.2400000000000002</v>
      </c>
      <c r="I1250" s="2">
        <v>3</v>
      </c>
      <c r="J1250" s="2">
        <v>110</v>
      </c>
      <c r="K1250" s="2">
        <v>0</v>
      </c>
      <c r="L1250" s="2">
        <v>0</v>
      </c>
      <c r="M1250" s="2">
        <v>0</v>
      </c>
      <c r="N1250" s="2">
        <v>0</v>
      </c>
      <c r="O1250" s="2">
        <v>0</v>
      </c>
      <c r="P1250" s="2" t="s">
        <v>443</v>
      </c>
      <c r="Q1250" s="2" t="str">
        <f t="shared" si="161"/>
        <v>SI_SA_EEG_HORNET_STING</v>
      </c>
      <c r="R1250" s="2" t="b">
        <v>0</v>
      </c>
      <c r="S1250" s="2" t="b">
        <v>1</v>
      </c>
      <c r="T1250" s="2">
        <v>1</v>
      </c>
    </row>
    <row r="1251" spans="1:21" s="5" customFormat="1">
      <c r="A1251" s="6">
        <v>3006</v>
      </c>
      <c r="B1251" s="8" t="str">
        <f>VLOOKUP($A1251,SkillEnum!$A$2:$C$1020,2,FALSE)</f>
        <v>SI_SA_EEG_HORNET_STING</v>
      </c>
      <c r="C1251" s="8">
        <v>7</v>
      </c>
      <c r="D1251" s="5" t="str">
        <f>VLOOKUP($C1251,SkillEnum!$D$2:$E$10,2,FALSE)</f>
        <v>ST_SPECIAL_ACTIVE</v>
      </c>
      <c r="E1251" s="8" t="str">
        <f>VLOOKUP($A1251,SkillEnum!$A$2:$C$1020,3,FALSE)</f>
        <v>호넷 스팅</v>
      </c>
      <c r="F1251" s="8" t="str">
        <f t="shared" si="167"/>
        <v>바주카포를 만들어내서 전방으로 발사해 포탄에 맞은 적에게 물리공격력의 1008 % 데미지를 주고, 포탄이 터지면서 생기는 충격파로 마법공격력의 1008 % 데미지를 준다.</v>
      </c>
      <c r="G1251" s="5">
        <v>10</v>
      </c>
      <c r="H1251" s="5">
        <v>2.52</v>
      </c>
      <c r="I1251" s="5">
        <v>3</v>
      </c>
      <c r="J1251" s="5">
        <v>110</v>
      </c>
      <c r="K1251" s="5">
        <v>0</v>
      </c>
      <c r="L1251" s="5">
        <v>0</v>
      </c>
      <c r="M1251" s="5">
        <v>0</v>
      </c>
      <c r="N1251" s="5">
        <v>0</v>
      </c>
      <c r="O1251" s="5">
        <v>0</v>
      </c>
      <c r="P1251" s="2" t="s">
        <v>443</v>
      </c>
      <c r="Q1251" s="2" t="str">
        <f t="shared" ref="Q1251:Q1334" si="168">B1251</f>
        <v>SI_SA_EEG_HORNET_STING</v>
      </c>
      <c r="R1251" s="5" t="b">
        <v>0</v>
      </c>
      <c r="S1251" s="2" t="b">
        <v>1</v>
      </c>
      <c r="T1251" s="2">
        <v>1</v>
      </c>
      <c r="U1251" s="2"/>
    </row>
    <row r="1252" spans="1:21">
      <c r="A1252" s="4">
        <v>3007</v>
      </c>
      <c r="B1252" s="7" t="str">
        <f>VLOOKUP($A1252,SkillEnum!$A$2:$C$1020,2,FALSE)</f>
        <v>SI_SA_EEG_EXPLOSION_IMPACT</v>
      </c>
      <c r="C1252" s="7">
        <v>7</v>
      </c>
      <c r="D1252" s="2" t="str">
        <f>VLOOKUP($C1252,SkillEnum!$D$2:$E$10,2,FALSE)</f>
        <v>ST_SPECIAL_ACTIVE</v>
      </c>
      <c r="E1252" s="11" t="str">
        <f>VLOOKUP($A1252,SkillEnum!$A$2:$C$1020,3,FALSE)</f>
        <v>익스플로전 임팩트</v>
      </c>
      <c r="F1252" s="11" t="str">
        <f>"채찍을 만들어내서 휘둘러 타격당한 대상에게 물리공격력의 "&amp;ROUND(2*H1252*100,0)&amp;" % 데미지를 주고, 채찍을 연쇄적으로 폭발시켜 폭발 마다 마법공격력의 "&amp;ROUND(1.4*1.5*H1252*100,0)&amp;" % 데미지를 준다."</f>
        <v>채찍을 만들어내서 휘둘러 타격당한 대상에게 물리공격력의 140 % 데미지를 주고, 채찍을 연쇄적으로 폭발시켜 폭발 마다 마법공격력의 147 % 데미지를 준다.</v>
      </c>
      <c r="G1252" s="10">
        <v>1</v>
      </c>
      <c r="H1252" s="2">
        <v>0.7</v>
      </c>
      <c r="I1252" s="2">
        <v>10</v>
      </c>
      <c r="J1252" s="10">
        <v>200</v>
      </c>
      <c r="K1252" s="2">
        <v>0</v>
      </c>
      <c r="L1252" s="2">
        <v>0</v>
      </c>
      <c r="M1252" s="2">
        <v>0</v>
      </c>
      <c r="N1252" s="2">
        <v>0</v>
      </c>
      <c r="O1252" s="2">
        <v>0</v>
      </c>
      <c r="P1252" s="2" t="s">
        <v>443</v>
      </c>
      <c r="Q1252" s="2" t="str">
        <f t="shared" si="168"/>
        <v>SI_SA_EEG_EXPLOSION_IMPACT</v>
      </c>
      <c r="R1252" s="2" t="b">
        <v>0</v>
      </c>
      <c r="S1252" s="2" t="b">
        <v>1</v>
      </c>
      <c r="T1252" s="2">
        <v>1</v>
      </c>
    </row>
    <row r="1253" spans="1:21">
      <c r="A1253" s="4">
        <v>3007</v>
      </c>
      <c r="B1253" s="7" t="str">
        <f>VLOOKUP($A1253,SkillEnum!$A$2:$C$1020,2,FALSE)</f>
        <v>SI_SA_EEG_EXPLOSION_IMPACT</v>
      </c>
      <c r="C1253" s="7">
        <v>7</v>
      </c>
      <c r="D1253" s="2" t="str">
        <f>VLOOKUP($C1253,SkillEnum!$D$2:$E$10,2,FALSE)</f>
        <v>ST_SPECIAL_ACTIVE</v>
      </c>
      <c r="E1253" s="7" t="str">
        <f>VLOOKUP($A1253,SkillEnum!$A$2:$C$1020,3,FALSE)</f>
        <v>익스플로전 임팩트</v>
      </c>
      <c r="F1253" s="7" t="str">
        <f t="shared" ref="F1253:F1261" si="169">"채찍을 만들어내서 휘둘러 타격당한 대상에게 물리공격력의 "&amp;ROUND(2*H1253*100,0)&amp;" % 데미지를 주고, 채찍을 연쇄적으로 폭발시켜 폭발 마다 마법공격력의 "&amp;ROUND(1.4*1.5*H1253*100,0)&amp;" % 데미지를 준다."</f>
        <v>채찍을 만들어내서 휘둘러 타격당한 대상에게 물리공격력의 168 % 데미지를 주고, 채찍을 연쇄적으로 폭발시켜 폭발 마다 마법공격력의 176 % 데미지를 준다.</v>
      </c>
      <c r="G1253" s="2">
        <v>2</v>
      </c>
      <c r="H1253" s="2">
        <v>0.84</v>
      </c>
      <c r="I1253" s="2">
        <v>10</v>
      </c>
      <c r="J1253" s="2">
        <v>200</v>
      </c>
      <c r="K1253" s="2">
        <v>0</v>
      </c>
      <c r="L1253" s="2">
        <v>0</v>
      </c>
      <c r="M1253" s="2">
        <v>0</v>
      </c>
      <c r="N1253" s="2">
        <v>0</v>
      </c>
      <c r="O1253" s="2">
        <v>0</v>
      </c>
      <c r="P1253" s="2" t="s">
        <v>443</v>
      </c>
      <c r="Q1253" s="2" t="str">
        <f t="shared" si="168"/>
        <v>SI_SA_EEG_EXPLOSION_IMPACT</v>
      </c>
      <c r="R1253" s="2" t="b">
        <v>0</v>
      </c>
      <c r="S1253" s="2" t="b">
        <v>1</v>
      </c>
      <c r="T1253" s="2">
        <v>1</v>
      </c>
    </row>
    <row r="1254" spans="1:21">
      <c r="A1254" s="4">
        <v>3007</v>
      </c>
      <c r="B1254" s="7" t="str">
        <f>VLOOKUP($A1254,SkillEnum!$A$2:$C$1020,2,FALSE)</f>
        <v>SI_SA_EEG_EXPLOSION_IMPACT</v>
      </c>
      <c r="C1254" s="7">
        <v>7</v>
      </c>
      <c r="D1254" s="2" t="str">
        <f>VLOOKUP($C1254,SkillEnum!$D$2:$E$10,2,FALSE)</f>
        <v>ST_SPECIAL_ACTIVE</v>
      </c>
      <c r="E1254" s="7" t="str">
        <f>VLOOKUP($A1254,SkillEnum!$A$2:$C$1020,3,FALSE)</f>
        <v>익스플로전 임팩트</v>
      </c>
      <c r="F1254" s="7" t="str">
        <f t="shared" si="169"/>
        <v>채찍을 만들어내서 휘둘러 타격당한 대상에게 물리공격력의 196 % 데미지를 주고, 채찍을 연쇄적으로 폭발시켜 폭발 마다 마법공격력의 206 % 데미지를 준다.</v>
      </c>
      <c r="G1254" s="2">
        <v>3</v>
      </c>
      <c r="H1254" s="2">
        <v>0.98</v>
      </c>
      <c r="I1254" s="2">
        <v>10</v>
      </c>
      <c r="J1254" s="2">
        <v>200</v>
      </c>
      <c r="K1254" s="2">
        <v>0</v>
      </c>
      <c r="L1254" s="2">
        <v>0</v>
      </c>
      <c r="M1254" s="2">
        <v>0</v>
      </c>
      <c r="N1254" s="2">
        <v>0</v>
      </c>
      <c r="O1254" s="2">
        <v>0</v>
      </c>
      <c r="P1254" s="2" t="s">
        <v>443</v>
      </c>
      <c r="Q1254" s="2" t="str">
        <f t="shared" si="168"/>
        <v>SI_SA_EEG_EXPLOSION_IMPACT</v>
      </c>
      <c r="R1254" s="2" t="b">
        <v>0</v>
      </c>
      <c r="S1254" s="2" t="b">
        <v>1</v>
      </c>
      <c r="T1254" s="2">
        <v>1</v>
      </c>
    </row>
    <row r="1255" spans="1:21">
      <c r="A1255" s="4">
        <v>3007</v>
      </c>
      <c r="B1255" s="7" t="str">
        <f>VLOOKUP($A1255,SkillEnum!$A$2:$C$1020,2,FALSE)</f>
        <v>SI_SA_EEG_EXPLOSION_IMPACT</v>
      </c>
      <c r="C1255" s="7">
        <v>7</v>
      </c>
      <c r="D1255" s="2" t="str">
        <f>VLOOKUP($C1255,SkillEnum!$D$2:$E$10,2,FALSE)</f>
        <v>ST_SPECIAL_ACTIVE</v>
      </c>
      <c r="E1255" s="7" t="str">
        <f>VLOOKUP($A1255,SkillEnum!$A$2:$C$1020,3,FALSE)</f>
        <v>익스플로전 임팩트</v>
      </c>
      <c r="F1255" s="7" t="str">
        <f t="shared" si="169"/>
        <v>채찍을 만들어내서 휘둘러 타격당한 대상에게 물리공격력의 224 % 데미지를 주고, 채찍을 연쇄적으로 폭발시켜 폭발 마다 마법공격력의 235 % 데미지를 준다.</v>
      </c>
      <c r="G1255" s="2">
        <v>4</v>
      </c>
      <c r="H1255" s="2">
        <v>1.1200000000000001</v>
      </c>
      <c r="I1255" s="2">
        <v>10</v>
      </c>
      <c r="J1255" s="2">
        <v>200</v>
      </c>
      <c r="K1255" s="2">
        <v>0</v>
      </c>
      <c r="L1255" s="2">
        <v>0</v>
      </c>
      <c r="M1255" s="2">
        <v>0</v>
      </c>
      <c r="N1255" s="2">
        <v>0</v>
      </c>
      <c r="O1255" s="2">
        <v>0</v>
      </c>
      <c r="P1255" s="2" t="s">
        <v>443</v>
      </c>
      <c r="Q1255" s="2" t="str">
        <f t="shared" si="168"/>
        <v>SI_SA_EEG_EXPLOSION_IMPACT</v>
      </c>
      <c r="R1255" s="2" t="b">
        <v>0</v>
      </c>
      <c r="S1255" s="2" t="b">
        <v>1</v>
      </c>
      <c r="T1255" s="2">
        <v>1</v>
      </c>
    </row>
    <row r="1256" spans="1:21">
      <c r="A1256" s="4">
        <v>3007</v>
      </c>
      <c r="B1256" s="7" t="str">
        <f>VLOOKUP($A1256,SkillEnum!$A$2:$C$1020,2,FALSE)</f>
        <v>SI_SA_EEG_EXPLOSION_IMPACT</v>
      </c>
      <c r="C1256" s="7">
        <v>7</v>
      </c>
      <c r="D1256" s="2" t="str">
        <f>VLOOKUP($C1256,SkillEnum!$D$2:$E$10,2,FALSE)</f>
        <v>ST_SPECIAL_ACTIVE</v>
      </c>
      <c r="E1256" s="7" t="str">
        <f>VLOOKUP($A1256,SkillEnum!$A$2:$C$1020,3,FALSE)</f>
        <v>익스플로전 임팩트</v>
      </c>
      <c r="F1256" s="7" t="str">
        <f t="shared" si="169"/>
        <v>채찍을 만들어내서 휘둘러 타격당한 대상에게 물리공격력의 266 % 데미지를 주고, 채찍을 연쇄적으로 폭발시켜 폭발 마다 마법공격력의 279 % 데미지를 준다.</v>
      </c>
      <c r="G1256" s="2">
        <v>5</v>
      </c>
      <c r="H1256" s="2">
        <v>1.33</v>
      </c>
      <c r="I1256" s="2">
        <v>10</v>
      </c>
      <c r="J1256" s="2">
        <v>200</v>
      </c>
      <c r="K1256" s="2">
        <v>0</v>
      </c>
      <c r="L1256" s="2">
        <v>0</v>
      </c>
      <c r="M1256" s="2">
        <v>0</v>
      </c>
      <c r="N1256" s="2">
        <v>0</v>
      </c>
      <c r="O1256" s="2">
        <v>0</v>
      </c>
      <c r="P1256" s="2" t="s">
        <v>443</v>
      </c>
      <c r="Q1256" s="2" t="str">
        <f t="shared" si="168"/>
        <v>SI_SA_EEG_EXPLOSION_IMPACT</v>
      </c>
      <c r="R1256" s="2" t="b">
        <v>0</v>
      </c>
      <c r="S1256" s="2" t="b">
        <v>1</v>
      </c>
      <c r="T1256" s="2">
        <v>1</v>
      </c>
    </row>
    <row r="1257" spans="1:21">
      <c r="A1257" s="4">
        <v>3007</v>
      </c>
      <c r="B1257" s="7" t="str">
        <f>VLOOKUP($A1257,SkillEnum!$A$2:$C$1020,2,FALSE)</f>
        <v>SI_SA_EEG_EXPLOSION_IMPACT</v>
      </c>
      <c r="C1257" s="7">
        <v>7</v>
      </c>
      <c r="D1257" s="2" t="str">
        <f>VLOOKUP($C1257,SkillEnum!$D$2:$E$10,2,FALSE)</f>
        <v>ST_SPECIAL_ACTIVE</v>
      </c>
      <c r="E1257" s="7" t="str">
        <f>VLOOKUP($A1257,SkillEnum!$A$2:$C$1020,3,FALSE)</f>
        <v>익스플로전 임팩트</v>
      </c>
      <c r="F1257" s="7" t="str">
        <f t="shared" si="169"/>
        <v>채찍을 만들어내서 휘둘러 타격당한 대상에게 물리공격력의 308 % 데미지를 주고, 채찍을 연쇄적으로 폭발시켜 폭발 마다 마법공격력의 323 % 데미지를 준다.</v>
      </c>
      <c r="G1257" s="2">
        <v>6</v>
      </c>
      <c r="H1257" s="2">
        <v>1.54</v>
      </c>
      <c r="I1257" s="2">
        <v>10</v>
      </c>
      <c r="J1257" s="2">
        <v>200</v>
      </c>
      <c r="K1257" s="2">
        <v>0</v>
      </c>
      <c r="L1257" s="2">
        <v>0</v>
      </c>
      <c r="M1257" s="2">
        <v>0</v>
      </c>
      <c r="N1257" s="2">
        <v>0</v>
      </c>
      <c r="O1257" s="2">
        <v>0</v>
      </c>
      <c r="P1257" s="2" t="s">
        <v>443</v>
      </c>
      <c r="Q1257" s="2" t="str">
        <f t="shared" si="168"/>
        <v>SI_SA_EEG_EXPLOSION_IMPACT</v>
      </c>
      <c r="R1257" s="2" t="b">
        <v>0</v>
      </c>
      <c r="S1257" s="2" t="b">
        <v>1</v>
      </c>
      <c r="T1257" s="2">
        <v>1</v>
      </c>
    </row>
    <row r="1258" spans="1:21">
      <c r="A1258" s="4">
        <v>3007</v>
      </c>
      <c r="B1258" s="7" t="str">
        <f>VLOOKUP($A1258,SkillEnum!$A$2:$C$1020,2,FALSE)</f>
        <v>SI_SA_EEG_EXPLOSION_IMPACT</v>
      </c>
      <c r="C1258" s="7">
        <v>7</v>
      </c>
      <c r="D1258" s="2" t="str">
        <f>VLOOKUP($C1258,SkillEnum!$D$2:$E$10,2,FALSE)</f>
        <v>ST_SPECIAL_ACTIVE</v>
      </c>
      <c r="E1258" s="7" t="str">
        <f>VLOOKUP($A1258,SkillEnum!$A$2:$C$1020,3,FALSE)</f>
        <v>익스플로전 임팩트</v>
      </c>
      <c r="F1258" s="7" t="str">
        <f t="shared" si="169"/>
        <v>채찍을 만들어내서 휘둘러 타격당한 대상에게 물리공격력의 350 % 데미지를 주고, 채찍을 연쇄적으로 폭발시켜 폭발 마다 마법공격력의 368 % 데미지를 준다.</v>
      </c>
      <c r="G1258" s="2">
        <v>7</v>
      </c>
      <c r="H1258" s="2">
        <v>1.75</v>
      </c>
      <c r="I1258" s="2">
        <v>10</v>
      </c>
      <c r="J1258" s="2">
        <v>200</v>
      </c>
      <c r="K1258" s="2">
        <v>0</v>
      </c>
      <c r="L1258" s="2">
        <v>0</v>
      </c>
      <c r="M1258" s="2">
        <v>0</v>
      </c>
      <c r="N1258" s="2">
        <v>0</v>
      </c>
      <c r="O1258" s="2">
        <v>0</v>
      </c>
      <c r="P1258" s="2" t="s">
        <v>443</v>
      </c>
      <c r="Q1258" s="2" t="str">
        <f t="shared" si="168"/>
        <v>SI_SA_EEG_EXPLOSION_IMPACT</v>
      </c>
      <c r="R1258" s="2" t="b">
        <v>0</v>
      </c>
      <c r="S1258" s="2" t="b">
        <v>1</v>
      </c>
      <c r="T1258" s="2">
        <v>1</v>
      </c>
    </row>
    <row r="1259" spans="1:21">
      <c r="A1259" s="4">
        <v>3007</v>
      </c>
      <c r="B1259" s="7" t="str">
        <f>VLOOKUP($A1259,SkillEnum!$A$2:$C$1020,2,FALSE)</f>
        <v>SI_SA_EEG_EXPLOSION_IMPACT</v>
      </c>
      <c r="C1259" s="7">
        <v>7</v>
      </c>
      <c r="D1259" s="2" t="str">
        <f>VLOOKUP($C1259,SkillEnum!$D$2:$E$10,2,FALSE)</f>
        <v>ST_SPECIAL_ACTIVE</v>
      </c>
      <c r="E1259" s="7" t="str">
        <f>VLOOKUP($A1259,SkillEnum!$A$2:$C$1020,3,FALSE)</f>
        <v>익스플로전 임팩트</v>
      </c>
      <c r="F1259" s="7" t="str">
        <f t="shared" si="169"/>
        <v>채찍을 만들어내서 휘둘러 타격당한 대상에게 물리공격력의 392 % 데미지를 주고, 채찍을 연쇄적으로 폭발시켜 폭발 마다 마법공격력의 412 % 데미지를 준다.</v>
      </c>
      <c r="G1259" s="2">
        <v>8</v>
      </c>
      <c r="H1259" s="2">
        <v>1.96</v>
      </c>
      <c r="I1259" s="2">
        <v>10</v>
      </c>
      <c r="J1259" s="2">
        <v>200</v>
      </c>
      <c r="K1259" s="2">
        <v>0</v>
      </c>
      <c r="L1259" s="2">
        <v>0</v>
      </c>
      <c r="M1259" s="2">
        <v>0</v>
      </c>
      <c r="N1259" s="2">
        <v>0</v>
      </c>
      <c r="O1259" s="2">
        <v>0</v>
      </c>
      <c r="P1259" s="2" t="s">
        <v>443</v>
      </c>
      <c r="Q1259" s="2" t="str">
        <f t="shared" si="168"/>
        <v>SI_SA_EEG_EXPLOSION_IMPACT</v>
      </c>
      <c r="R1259" s="2" t="b">
        <v>0</v>
      </c>
      <c r="S1259" s="2" t="b">
        <v>1</v>
      </c>
      <c r="T1259" s="2">
        <v>1</v>
      </c>
    </row>
    <row r="1260" spans="1:21">
      <c r="A1260" s="4">
        <v>3007</v>
      </c>
      <c r="B1260" s="7" t="str">
        <f>VLOOKUP($A1260,SkillEnum!$A$2:$C$1020,2,FALSE)</f>
        <v>SI_SA_EEG_EXPLOSION_IMPACT</v>
      </c>
      <c r="C1260" s="7">
        <v>7</v>
      </c>
      <c r="D1260" s="2" t="str">
        <f>VLOOKUP($C1260,SkillEnum!$D$2:$E$10,2,FALSE)</f>
        <v>ST_SPECIAL_ACTIVE</v>
      </c>
      <c r="E1260" s="7" t="str">
        <f>VLOOKUP($A1260,SkillEnum!$A$2:$C$1020,3,FALSE)</f>
        <v>익스플로전 임팩트</v>
      </c>
      <c r="F1260" s="7" t="str">
        <f t="shared" si="169"/>
        <v>채찍을 만들어내서 휘둘러 타격당한 대상에게 물리공격력의 448 % 데미지를 주고, 채찍을 연쇄적으로 폭발시켜 폭발 마다 마법공격력의 470 % 데미지를 준다.</v>
      </c>
      <c r="G1260" s="2">
        <v>9</v>
      </c>
      <c r="H1260" s="2">
        <v>2.2400000000000002</v>
      </c>
      <c r="I1260" s="2">
        <v>10</v>
      </c>
      <c r="J1260" s="2">
        <v>200</v>
      </c>
      <c r="K1260" s="2">
        <v>0</v>
      </c>
      <c r="L1260" s="2">
        <v>0</v>
      </c>
      <c r="M1260" s="2">
        <v>0</v>
      </c>
      <c r="N1260" s="2">
        <v>0</v>
      </c>
      <c r="O1260" s="2">
        <v>0</v>
      </c>
      <c r="P1260" s="2" t="s">
        <v>443</v>
      </c>
      <c r="Q1260" s="2" t="str">
        <f t="shared" si="168"/>
        <v>SI_SA_EEG_EXPLOSION_IMPACT</v>
      </c>
      <c r="R1260" s="2" t="b">
        <v>0</v>
      </c>
      <c r="S1260" s="2" t="b">
        <v>1</v>
      </c>
      <c r="T1260" s="2">
        <v>1</v>
      </c>
    </row>
    <row r="1261" spans="1:21" s="5" customFormat="1">
      <c r="A1261" s="6">
        <v>3007</v>
      </c>
      <c r="B1261" s="8" t="str">
        <f>VLOOKUP($A1261,SkillEnum!$A$2:$C$1020,2,FALSE)</f>
        <v>SI_SA_EEG_EXPLOSION_IMPACT</v>
      </c>
      <c r="C1261" s="8">
        <v>7</v>
      </c>
      <c r="D1261" s="5" t="str">
        <f>VLOOKUP($C1261,SkillEnum!$D$2:$E$10,2,FALSE)</f>
        <v>ST_SPECIAL_ACTIVE</v>
      </c>
      <c r="E1261" s="8" t="str">
        <f>VLOOKUP($A1261,SkillEnum!$A$2:$C$1020,3,FALSE)</f>
        <v>익스플로전 임팩트</v>
      </c>
      <c r="F1261" s="8" t="str">
        <f t="shared" si="169"/>
        <v>채찍을 만들어내서 휘둘러 타격당한 대상에게 물리공격력의 504 % 데미지를 주고, 채찍을 연쇄적으로 폭발시켜 폭발 마다 마법공격력의 529 % 데미지를 준다.</v>
      </c>
      <c r="G1261" s="5">
        <v>10</v>
      </c>
      <c r="H1261" s="5">
        <v>2.52</v>
      </c>
      <c r="I1261" s="5">
        <v>10</v>
      </c>
      <c r="J1261" s="5">
        <v>200</v>
      </c>
      <c r="K1261" s="5">
        <v>0</v>
      </c>
      <c r="L1261" s="5">
        <v>0</v>
      </c>
      <c r="M1261" s="5">
        <v>0</v>
      </c>
      <c r="N1261" s="5">
        <v>0</v>
      </c>
      <c r="O1261" s="5">
        <v>0</v>
      </c>
      <c r="P1261" s="2" t="s">
        <v>443</v>
      </c>
      <c r="Q1261" s="2" t="str">
        <f t="shared" si="168"/>
        <v>SI_SA_EEG_EXPLOSION_IMPACT</v>
      </c>
      <c r="R1261" s="5" t="b">
        <v>0</v>
      </c>
      <c r="S1261" s="2" t="b">
        <v>1</v>
      </c>
      <c r="T1261" s="2">
        <v>1</v>
      </c>
      <c r="U1261" s="2"/>
    </row>
    <row r="1262" spans="1:21">
      <c r="A1262" s="4">
        <v>3008</v>
      </c>
      <c r="B1262" s="7" t="str">
        <f>VLOOKUP($A1262,SkillEnum!$A$2:$C$1020,2,FALSE)</f>
        <v>SI_SA_EEG_QUEENS_THRONE</v>
      </c>
      <c r="C1262" s="7">
        <v>7</v>
      </c>
      <c r="D1262" s="2" t="str">
        <f>VLOOKUP($C1262,SkillEnum!$D$2:$E$10,2,FALSE)</f>
        <v>ST_SPECIAL_ACTIVE</v>
      </c>
      <c r="E1262" s="11" t="str">
        <f>VLOOKUP($A1262,SkillEnum!$A$2:$C$1020,3,FALSE)</f>
        <v>퀸스 쓰론</v>
      </c>
      <c r="F1262" s="11" t="str">
        <f>"시전 즉시 범위내에 적들에게 마법공격력의 "&amp;ROUND(4*H1262*100,0)&amp;" % 데미지를 주고, 기어로 이루어진 날개를 생성하여 30초 동안 스스로를 더욱 강화한다. (일반 공격 시 마법공격력의 "&amp;ROUND(1.2*H1262*100,0)&amp;" % 로 추가타격을 하며 마나회복량이 감소한다.)"</f>
        <v>시전 즉시 범위내에 적들에게 마법공격력의 280 % 데미지를 주고, 기어로 이루어진 날개를 생성하여 30초 동안 스스로를 더욱 강화한다. (일반 공격 시 마법공격력의 84 % 로 추가타격을 하며 마나회복량이 감소한다.)</v>
      </c>
      <c r="G1262" s="10">
        <v>1</v>
      </c>
      <c r="H1262" s="2">
        <v>0.7</v>
      </c>
      <c r="I1262" s="2">
        <v>30</v>
      </c>
      <c r="J1262" s="10">
        <v>300</v>
      </c>
      <c r="K1262" s="2">
        <v>0</v>
      </c>
      <c r="L1262" s="2">
        <v>0</v>
      </c>
      <c r="M1262" s="2">
        <v>0</v>
      </c>
      <c r="N1262" s="2">
        <v>0</v>
      </c>
      <c r="O1262" s="2">
        <v>0</v>
      </c>
      <c r="P1262" s="2" t="s">
        <v>443</v>
      </c>
      <c r="Q1262" s="2" t="str">
        <f t="shared" si="168"/>
        <v>SI_SA_EEG_QUEENS_THRONE</v>
      </c>
      <c r="R1262" s="2" t="b">
        <v>0</v>
      </c>
      <c r="S1262" s="2" t="b">
        <v>1</v>
      </c>
      <c r="T1262" s="2">
        <v>1</v>
      </c>
    </row>
    <row r="1263" spans="1:21">
      <c r="A1263" s="4">
        <v>3008</v>
      </c>
      <c r="B1263" s="7" t="str">
        <f>VLOOKUP($A1263,SkillEnum!$A$2:$C$1020,2,FALSE)</f>
        <v>SI_SA_EEG_QUEENS_THRONE</v>
      </c>
      <c r="C1263" s="7">
        <v>7</v>
      </c>
      <c r="D1263" s="2" t="str">
        <f>VLOOKUP($C1263,SkillEnum!$D$2:$E$10,2,FALSE)</f>
        <v>ST_SPECIAL_ACTIVE</v>
      </c>
      <c r="E1263" s="7" t="str">
        <f>VLOOKUP($A1263,SkillEnum!$A$2:$C$1020,3,FALSE)</f>
        <v>퀸스 쓰론</v>
      </c>
      <c r="F1263" s="7" t="str">
        <f t="shared" ref="F1263:F1271" si="170">"시전 즉시 범위내에 적들에게 마법공격력의 "&amp;ROUND(4*H1263*100,0)&amp;" % 데미지를 주고, 기어로 이루어진 날개를 생성하여 30초 동안 스스로를 더욱 강화한다. (일반 공격 시 마법공격력의 "&amp;ROUND(1.2*H1263*100,0)&amp;" % 로 추가타격을 하며 마나회복량이 감소한다.)"</f>
        <v>시전 즉시 범위내에 적들에게 마법공격력의 336 % 데미지를 주고, 기어로 이루어진 날개를 생성하여 30초 동안 스스로를 더욱 강화한다. (일반 공격 시 마법공격력의 101 % 로 추가타격을 하며 마나회복량이 감소한다.)</v>
      </c>
      <c r="G1263" s="2">
        <v>2</v>
      </c>
      <c r="H1263" s="2">
        <v>0.84</v>
      </c>
      <c r="I1263" s="2">
        <v>30</v>
      </c>
      <c r="J1263" s="2">
        <v>300</v>
      </c>
      <c r="K1263" s="2">
        <v>0</v>
      </c>
      <c r="L1263" s="2">
        <v>0</v>
      </c>
      <c r="M1263" s="2">
        <v>0</v>
      </c>
      <c r="N1263" s="2">
        <v>0</v>
      </c>
      <c r="O1263" s="2">
        <v>0</v>
      </c>
      <c r="P1263" s="2" t="s">
        <v>443</v>
      </c>
      <c r="Q1263" s="2" t="str">
        <f t="shared" si="168"/>
        <v>SI_SA_EEG_QUEENS_THRONE</v>
      </c>
      <c r="R1263" s="2" t="b">
        <v>0</v>
      </c>
      <c r="S1263" s="2" t="b">
        <v>1</v>
      </c>
      <c r="T1263" s="2">
        <v>1</v>
      </c>
    </row>
    <row r="1264" spans="1:21">
      <c r="A1264" s="4">
        <v>3008</v>
      </c>
      <c r="B1264" s="7" t="str">
        <f>VLOOKUP($A1264,SkillEnum!$A$2:$C$1020,2,FALSE)</f>
        <v>SI_SA_EEG_QUEENS_THRONE</v>
      </c>
      <c r="C1264" s="7">
        <v>7</v>
      </c>
      <c r="D1264" s="2" t="str">
        <f>VLOOKUP($C1264,SkillEnum!$D$2:$E$10,2,FALSE)</f>
        <v>ST_SPECIAL_ACTIVE</v>
      </c>
      <c r="E1264" s="7" t="str">
        <f>VLOOKUP($A1264,SkillEnum!$A$2:$C$1020,3,FALSE)</f>
        <v>퀸스 쓰론</v>
      </c>
      <c r="F1264" s="7" t="str">
        <f t="shared" si="170"/>
        <v>시전 즉시 범위내에 적들에게 마법공격력의 392 % 데미지를 주고, 기어로 이루어진 날개를 생성하여 30초 동안 스스로를 더욱 강화한다. (일반 공격 시 마법공격력의 118 % 로 추가타격을 하며 마나회복량이 감소한다.)</v>
      </c>
      <c r="G1264" s="2">
        <v>3</v>
      </c>
      <c r="H1264" s="2">
        <v>0.98</v>
      </c>
      <c r="I1264" s="2">
        <v>30</v>
      </c>
      <c r="J1264" s="2">
        <v>300</v>
      </c>
      <c r="K1264" s="2">
        <v>0</v>
      </c>
      <c r="L1264" s="2">
        <v>0</v>
      </c>
      <c r="M1264" s="2">
        <v>0</v>
      </c>
      <c r="N1264" s="2">
        <v>0</v>
      </c>
      <c r="O1264" s="2">
        <v>0</v>
      </c>
      <c r="P1264" s="2" t="s">
        <v>443</v>
      </c>
      <c r="Q1264" s="2" t="str">
        <f t="shared" si="168"/>
        <v>SI_SA_EEG_QUEENS_THRONE</v>
      </c>
      <c r="R1264" s="2" t="b">
        <v>0</v>
      </c>
      <c r="S1264" s="2" t="b">
        <v>1</v>
      </c>
      <c r="T1264" s="2">
        <v>1</v>
      </c>
    </row>
    <row r="1265" spans="1:21">
      <c r="A1265" s="4">
        <v>3008</v>
      </c>
      <c r="B1265" s="7" t="str">
        <f>VLOOKUP($A1265,SkillEnum!$A$2:$C$1020,2,FALSE)</f>
        <v>SI_SA_EEG_QUEENS_THRONE</v>
      </c>
      <c r="C1265" s="7">
        <v>7</v>
      </c>
      <c r="D1265" s="2" t="str">
        <f>VLOOKUP($C1265,SkillEnum!$D$2:$E$10,2,FALSE)</f>
        <v>ST_SPECIAL_ACTIVE</v>
      </c>
      <c r="E1265" s="7" t="str">
        <f>VLOOKUP($A1265,SkillEnum!$A$2:$C$1020,3,FALSE)</f>
        <v>퀸스 쓰론</v>
      </c>
      <c r="F1265" s="7" t="str">
        <f t="shared" si="170"/>
        <v>시전 즉시 범위내에 적들에게 마법공격력의 448 % 데미지를 주고, 기어로 이루어진 날개를 생성하여 30초 동안 스스로를 더욱 강화한다. (일반 공격 시 마법공격력의 134 % 로 추가타격을 하며 마나회복량이 감소한다.)</v>
      </c>
      <c r="G1265" s="2">
        <v>4</v>
      </c>
      <c r="H1265" s="2">
        <v>1.1200000000000001</v>
      </c>
      <c r="I1265" s="2">
        <v>30</v>
      </c>
      <c r="J1265" s="2">
        <v>300</v>
      </c>
      <c r="K1265" s="2">
        <v>0</v>
      </c>
      <c r="L1265" s="2">
        <v>0</v>
      </c>
      <c r="M1265" s="2">
        <v>0</v>
      </c>
      <c r="N1265" s="2">
        <v>0</v>
      </c>
      <c r="O1265" s="2">
        <v>0</v>
      </c>
      <c r="P1265" s="2" t="s">
        <v>443</v>
      </c>
      <c r="Q1265" s="2" t="str">
        <f t="shared" si="168"/>
        <v>SI_SA_EEG_QUEENS_THRONE</v>
      </c>
      <c r="R1265" s="2" t="b">
        <v>0</v>
      </c>
      <c r="S1265" s="2" t="b">
        <v>1</v>
      </c>
      <c r="T1265" s="2">
        <v>1</v>
      </c>
    </row>
    <row r="1266" spans="1:21">
      <c r="A1266" s="4">
        <v>3008</v>
      </c>
      <c r="B1266" s="7" t="str">
        <f>VLOOKUP($A1266,SkillEnum!$A$2:$C$1020,2,FALSE)</f>
        <v>SI_SA_EEG_QUEENS_THRONE</v>
      </c>
      <c r="C1266" s="7">
        <v>7</v>
      </c>
      <c r="D1266" s="2" t="str">
        <f>VLOOKUP($C1266,SkillEnum!$D$2:$E$10,2,FALSE)</f>
        <v>ST_SPECIAL_ACTIVE</v>
      </c>
      <c r="E1266" s="7" t="str">
        <f>VLOOKUP($A1266,SkillEnum!$A$2:$C$1020,3,FALSE)</f>
        <v>퀸스 쓰론</v>
      </c>
      <c r="F1266" s="7" t="str">
        <f t="shared" si="170"/>
        <v>시전 즉시 범위내에 적들에게 마법공격력의 532 % 데미지를 주고, 기어로 이루어진 날개를 생성하여 30초 동안 스스로를 더욱 강화한다. (일반 공격 시 마법공격력의 160 % 로 추가타격을 하며 마나회복량이 감소한다.)</v>
      </c>
      <c r="G1266" s="2">
        <v>5</v>
      </c>
      <c r="H1266" s="2">
        <v>1.33</v>
      </c>
      <c r="I1266" s="2">
        <v>30</v>
      </c>
      <c r="J1266" s="2">
        <v>300</v>
      </c>
      <c r="K1266" s="2">
        <v>0</v>
      </c>
      <c r="L1266" s="2">
        <v>0</v>
      </c>
      <c r="M1266" s="2">
        <v>0</v>
      </c>
      <c r="N1266" s="2">
        <v>0</v>
      </c>
      <c r="O1266" s="2">
        <v>0</v>
      </c>
      <c r="P1266" s="2" t="s">
        <v>443</v>
      </c>
      <c r="Q1266" s="2" t="str">
        <f t="shared" si="168"/>
        <v>SI_SA_EEG_QUEENS_THRONE</v>
      </c>
      <c r="R1266" s="2" t="b">
        <v>0</v>
      </c>
      <c r="S1266" s="2" t="b">
        <v>1</v>
      </c>
      <c r="T1266" s="2">
        <v>1</v>
      </c>
    </row>
    <row r="1267" spans="1:21">
      <c r="A1267" s="4">
        <v>3008</v>
      </c>
      <c r="B1267" s="7" t="str">
        <f>VLOOKUP($A1267,SkillEnum!$A$2:$C$1020,2,FALSE)</f>
        <v>SI_SA_EEG_QUEENS_THRONE</v>
      </c>
      <c r="C1267" s="7">
        <v>7</v>
      </c>
      <c r="D1267" s="2" t="str">
        <f>VLOOKUP($C1267,SkillEnum!$D$2:$E$10,2,FALSE)</f>
        <v>ST_SPECIAL_ACTIVE</v>
      </c>
      <c r="E1267" s="7" t="str">
        <f>VLOOKUP($A1267,SkillEnum!$A$2:$C$1020,3,FALSE)</f>
        <v>퀸스 쓰론</v>
      </c>
      <c r="F1267" s="7" t="str">
        <f t="shared" si="170"/>
        <v>시전 즉시 범위내에 적들에게 마법공격력의 616 % 데미지를 주고, 기어로 이루어진 날개를 생성하여 30초 동안 스스로를 더욱 강화한다. (일반 공격 시 마법공격력의 185 % 로 추가타격을 하며 마나회복량이 감소한다.)</v>
      </c>
      <c r="G1267" s="2">
        <v>6</v>
      </c>
      <c r="H1267" s="2">
        <v>1.54</v>
      </c>
      <c r="I1267" s="2">
        <v>30</v>
      </c>
      <c r="J1267" s="2">
        <v>300</v>
      </c>
      <c r="K1267" s="2">
        <v>0</v>
      </c>
      <c r="L1267" s="2">
        <v>0</v>
      </c>
      <c r="M1267" s="2">
        <v>0</v>
      </c>
      <c r="N1267" s="2">
        <v>0</v>
      </c>
      <c r="O1267" s="2">
        <v>0</v>
      </c>
      <c r="P1267" s="2" t="s">
        <v>443</v>
      </c>
      <c r="Q1267" s="2" t="str">
        <f t="shared" si="168"/>
        <v>SI_SA_EEG_QUEENS_THRONE</v>
      </c>
      <c r="R1267" s="2" t="b">
        <v>0</v>
      </c>
      <c r="S1267" s="2" t="b">
        <v>1</v>
      </c>
      <c r="T1267" s="2">
        <v>1</v>
      </c>
    </row>
    <row r="1268" spans="1:21">
      <c r="A1268" s="4">
        <v>3008</v>
      </c>
      <c r="B1268" s="7" t="str">
        <f>VLOOKUP($A1268,SkillEnum!$A$2:$C$1020,2,FALSE)</f>
        <v>SI_SA_EEG_QUEENS_THRONE</v>
      </c>
      <c r="C1268" s="7">
        <v>7</v>
      </c>
      <c r="D1268" s="2" t="str">
        <f>VLOOKUP($C1268,SkillEnum!$D$2:$E$10,2,FALSE)</f>
        <v>ST_SPECIAL_ACTIVE</v>
      </c>
      <c r="E1268" s="7" t="str">
        <f>VLOOKUP($A1268,SkillEnum!$A$2:$C$1020,3,FALSE)</f>
        <v>퀸스 쓰론</v>
      </c>
      <c r="F1268" s="7" t="str">
        <f t="shared" si="170"/>
        <v>시전 즉시 범위내에 적들에게 마법공격력의 700 % 데미지를 주고, 기어로 이루어진 날개를 생성하여 30초 동안 스스로를 더욱 강화한다. (일반 공격 시 마법공격력의 210 % 로 추가타격을 하며 마나회복량이 감소한다.)</v>
      </c>
      <c r="G1268" s="2">
        <v>7</v>
      </c>
      <c r="H1268" s="2">
        <v>1.75</v>
      </c>
      <c r="I1268" s="2">
        <v>30</v>
      </c>
      <c r="J1268" s="2">
        <v>300</v>
      </c>
      <c r="K1268" s="2">
        <v>0</v>
      </c>
      <c r="L1268" s="2">
        <v>0</v>
      </c>
      <c r="M1268" s="2">
        <v>0</v>
      </c>
      <c r="N1268" s="2">
        <v>0</v>
      </c>
      <c r="O1268" s="2">
        <v>0</v>
      </c>
      <c r="P1268" s="2" t="s">
        <v>443</v>
      </c>
      <c r="Q1268" s="2" t="str">
        <f t="shared" si="168"/>
        <v>SI_SA_EEG_QUEENS_THRONE</v>
      </c>
      <c r="R1268" s="2" t="b">
        <v>0</v>
      </c>
      <c r="S1268" s="2" t="b">
        <v>1</v>
      </c>
      <c r="T1268" s="2">
        <v>1</v>
      </c>
    </row>
    <row r="1269" spans="1:21">
      <c r="A1269" s="4">
        <v>3008</v>
      </c>
      <c r="B1269" s="7" t="str">
        <f>VLOOKUP($A1269,SkillEnum!$A$2:$C$1020,2,FALSE)</f>
        <v>SI_SA_EEG_QUEENS_THRONE</v>
      </c>
      <c r="C1269" s="7">
        <v>7</v>
      </c>
      <c r="D1269" s="2" t="str">
        <f>VLOOKUP($C1269,SkillEnum!$D$2:$E$10,2,FALSE)</f>
        <v>ST_SPECIAL_ACTIVE</v>
      </c>
      <c r="E1269" s="7" t="str">
        <f>VLOOKUP($A1269,SkillEnum!$A$2:$C$1020,3,FALSE)</f>
        <v>퀸스 쓰론</v>
      </c>
      <c r="F1269" s="7" t="str">
        <f t="shared" si="170"/>
        <v>시전 즉시 범위내에 적들에게 마법공격력의 784 % 데미지를 주고, 기어로 이루어진 날개를 생성하여 30초 동안 스스로를 더욱 강화한다. (일반 공격 시 마법공격력의 235 % 로 추가타격을 하며 마나회복량이 감소한다.)</v>
      </c>
      <c r="G1269" s="2">
        <v>8</v>
      </c>
      <c r="H1269" s="2">
        <v>1.96</v>
      </c>
      <c r="I1269" s="2">
        <v>30</v>
      </c>
      <c r="J1269" s="2">
        <v>300</v>
      </c>
      <c r="K1269" s="2">
        <v>0</v>
      </c>
      <c r="L1269" s="2">
        <v>0</v>
      </c>
      <c r="M1269" s="2">
        <v>0</v>
      </c>
      <c r="N1269" s="2">
        <v>0</v>
      </c>
      <c r="O1269" s="2">
        <v>0</v>
      </c>
      <c r="P1269" s="2" t="s">
        <v>443</v>
      </c>
      <c r="Q1269" s="2" t="str">
        <f t="shared" si="168"/>
        <v>SI_SA_EEG_QUEENS_THRONE</v>
      </c>
      <c r="R1269" s="2" t="b">
        <v>0</v>
      </c>
      <c r="S1269" s="2" t="b">
        <v>1</v>
      </c>
      <c r="T1269" s="2">
        <v>1</v>
      </c>
    </row>
    <row r="1270" spans="1:21">
      <c r="A1270" s="4">
        <v>3008</v>
      </c>
      <c r="B1270" s="7" t="str">
        <f>VLOOKUP($A1270,SkillEnum!$A$2:$C$1020,2,FALSE)</f>
        <v>SI_SA_EEG_QUEENS_THRONE</v>
      </c>
      <c r="C1270" s="7">
        <v>7</v>
      </c>
      <c r="D1270" s="2" t="str">
        <f>VLOOKUP($C1270,SkillEnum!$D$2:$E$10,2,FALSE)</f>
        <v>ST_SPECIAL_ACTIVE</v>
      </c>
      <c r="E1270" s="7" t="str">
        <f>VLOOKUP($A1270,SkillEnum!$A$2:$C$1020,3,FALSE)</f>
        <v>퀸스 쓰론</v>
      </c>
      <c r="F1270" s="7" t="str">
        <f t="shared" si="170"/>
        <v>시전 즉시 범위내에 적들에게 마법공격력의 896 % 데미지를 주고, 기어로 이루어진 날개를 생성하여 30초 동안 스스로를 더욱 강화한다. (일반 공격 시 마법공격력의 269 % 로 추가타격을 하며 마나회복량이 감소한다.)</v>
      </c>
      <c r="G1270" s="2">
        <v>9</v>
      </c>
      <c r="H1270" s="2">
        <v>2.2400000000000002</v>
      </c>
      <c r="I1270" s="2">
        <v>30</v>
      </c>
      <c r="J1270" s="2">
        <v>300</v>
      </c>
      <c r="K1270" s="2">
        <v>0</v>
      </c>
      <c r="L1270" s="2">
        <v>0</v>
      </c>
      <c r="M1270" s="2">
        <v>0</v>
      </c>
      <c r="N1270" s="2">
        <v>0</v>
      </c>
      <c r="O1270" s="2">
        <v>0</v>
      </c>
      <c r="P1270" s="2" t="s">
        <v>443</v>
      </c>
      <c r="Q1270" s="2" t="str">
        <f t="shared" si="168"/>
        <v>SI_SA_EEG_QUEENS_THRONE</v>
      </c>
      <c r="R1270" s="2" t="b">
        <v>0</v>
      </c>
      <c r="S1270" s="2" t="b">
        <v>1</v>
      </c>
      <c r="T1270" s="2">
        <v>1</v>
      </c>
    </row>
    <row r="1271" spans="1:21" s="5" customFormat="1">
      <c r="A1271" s="6">
        <v>3008</v>
      </c>
      <c r="B1271" s="8" t="str">
        <f>VLOOKUP($A1271,SkillEnum!$A$2:$C$1020,2,FALSE)</f>
        <v>SI_SA_EEG_QUEENS_THRONE</v>
      </c>
      <c r="C1271" s="8">
        <v>7</v>
      </c>
      <c r="D1271" s="5" t="str">
        <f>VLOOKUP($C1271,SkillEnum!$D$2:$E$10,2,FALSE)</f>
        <v>ST_SPECIAL_ACTIVE</v>
      </c>
      <c r="E1271" s="8" t="str">
        <f>VLOOKUP($A1271,SkillEnum!$A$2:$C$1020,3,FALSE)</f>
        <v>퀸스 쓰론</v>
      </c>
      <c r="F1271" s="8" t="str">
        <f t="shared" si="170"/>
        <v>시전 즉시 범위내에 적들에게 마법공격력의 1008 % 데미지를 주고, 기어로 이루어진 날개를 생성하여 30초 동안 스스로를 더욱 강화한다. (일반 공격 시 마법공격력의 302 % 로 추가타격을 하며 마나회복량이 감소한다.)</v>
      </c>
      <c r="G1271" s="5">
        <v>10</v>
      </c>
      <c r="H1271" s="5">
        <v>2.52</v>
      </c>
      <c r="I1271" s="5">
        <v>30</v>
      </c>
      <c r="J1271" s="5">
        <v>300</v>
      </c>
      <c r="K1271" s="5">
        <v>0</v>
      </c>
      <c r="L1271" s="5">
        <v>0</v>
      </c>
      <c r="M1271" s="5">
        <v>0</v>
      </c>
      <c r="N1271" s="5">
        <v>0</v>
      </c>
      <c r="O1271" s="5">
        <v>0</v>
      </c>
      <c r="P1271" s="2" t="s">
        <v>443</v>
      </c>
      <c r="Q1271" s="2" t="str">
        <f t="shared" si="168"/>
        <v>SI_SA_EEG_QUEENS_THRONE</v>
      </c>
      <c r="R1271" s="5" t="b">
        <v>0</v>
      </c>
      <c r="S1271" s="2" t="b">
        <v>1</v>
      </c>
      <c r="T1271" s="2">
        <v>1</v>
      </c>
      <c r="U1271" s="2"/>
    </row>
    <row r="1272" spans="1:21">
      <c r="A1272" s="4">
        <v>3009</v>
      </c>
      <c r="B1272" s="7" t="str">
        <f>VLOOKUP($A1272,SkillEnum!$A$2:$C$1020,2,FALSE)</f>
        <v>SI_SA_EAT_SURFACE_CUTING</v>
      </c>
      <c r="C1272" s="7">
        <v>7</v>
      </c>
      <c r="D1272" s="2" t="str">
        <f>VLOOKUP($C1272,SkillEnum!$D$2:$E$10,2,FALSE)</f>
        <v>ST_SPECIAL_ACTIVE</v>
      </c>
      <c r="E1272" s="11" t="str">
        <f>VLOOKUP($A1272,SkillEnum!$A$2:$C$1020,3,FALSE)</f>
        <v>서피스 커팅</v>
      </c>
      <c r="F1272" s="11" t="str">
        <f>"오베론을 소환해 연속으로 타격하여 타격당 물리공격력의 140 % 데미지를 주고 공중으로 띄워 추가 공격이 가능한 상태로 만든다. (소환수 물리공격력 : 시전자의 "&amp;ROUND(1.2*H1272*100,0)&amp;" %)"</f>
        <v>오베론을 소환해 연속으로 타격하여 타격당 물리공격력의 140 % 데미지를 주고 공중으로 띄워 추가 공격이 가능한 상태로 만든다. (소환수 물리공격력 : 시전자의 84 %)</v>
      </c>
      <c r="G1272" s="10">
        <v>1</v>
      </c>
      <c r="H1272" s="2">
        <v>0.7</v>
      </c>
      <c r="I1272" s="2">
        <v>3</v>
      </c>
      <c r="J1272" s="10">
        <v>100</v>
      </c>
      <c r="K1272" s="2">
        <v>0</v>
      </c>
      <c r="L1272" s="2">
        <v>0</v>
      </c>
      <c r="M1272" s="2">
        <v>0</v>
      </c>
      <c r="N1272" s="2">
        <v>0</v>
      </c>
      <c r="O1272" s="2">
        <v>0</v>
      </c>
      <c r="P1272" s="2" t="s">
        <v>443</v>
      </c>
      <c r="Q1272" s="2" t="str">
        <f t="shared" si="168"/>
        <v>SI_SA_EAT_SURFACE_CUTING</v>
      </c>
      <c r="R1272" s="2" t="b">
        <v>0</v>
      </c>
      <c r="S1272" s="2" t="b">
        <v>1</v>
      </c>
      <c r="T1272" s="2">
        <v>1</v>
      </c>
    </row>
    <row r="1273" spans="1:21">
      <c r="A1273" s="4">
        <v>3009</v>
      </c>
      <c r="B1273" s="7" t="str">
        <f>VLOOKUP($A1273,SkillEnum!$A$2:$C$1020,2,FALSE)</f>
        <v>SI_SA_EAT_SURFACE_CUTING</v>
      </c>
      <c r="C1273" s="7">
        <v>7</v>
      </c>
      <c r="D1273" s="2" t="str">
        <f>VLOOKUP($C1273,SkillEnum!$D$2:$E$10,2,FALSE)</f>
        <v>ST_SPECIAL_ACTIVE</v>
      </c>
      <c r="E1273" s="7" t="str">
        <f>VLOOKUP($A1273,SkillEnum!$A$2:$C$1020,3,FALSE)</f>
        <v>서피스 커팅</v>
      </c>
      <c r="F1273" s="7" t="str">
        <f t="shared" ref="F1273:F1281" si="171">"오베론을 소환해 연속으로 타격하여 타격당 물리공격력의 140 % 데미지를 주고 공중으로 띄워 추가 공격이 가능한 상태로 만든다. (소환수 물리공격력 : 시전자의 "&amp;ROUND(1.2*H1273*100,0)&amp;" %)"</f>
        <v>오베론을 소환해 연속으로 타격하여 타격당 물리공격력의 140 % 데미지를 주고 공중으로 띄워 추가 공격이 가능한 상태로 만든다. (소환수 물리공격력 : 시전자의 101 %)</v>
      </c>
      <c r="G1273" s="2">
        <v>2</v>
      </c>
      <c r="H1273" s="2">
        <v>0.84</v>
      </c>
      <c r="I1273" s="2">
        <v>3</v>
      </c>
      <c r="J1273" s="2">
        <v>100</v>
      </c>
      <c r="K1273" s="2">
        <v>0</v>
      </c>
      <c r="L1273" s="2">
        <v>0</v>
      </c>
      <c r="M1273" s="2">
        <v>0</v>
      </c>
      <c r="N1273" s="2">
        <v>0</v>
      </c>
      <c r="O1273" s="2">
        <v>0</v>
      </c>
      <c r="P1273" s="2" t="s">
        <v>443</v>
      </c>
      <c r="Q1273" s="2" t="str">
        <f t="shared" si="168"/>
        <v>SI_SA_EAT_SURFACE_CUTING</v>
      </c>
      <c r="R1273" s="2" t="b">
        <v>0</v>
      </c>
      <c r="S1273" s="2" t="b">
        <v>1</v>
      </c>
      <c r="T1273" s="2">
        <v>1</v>
      </c>
    </row>
    <row r="1274" spans="1:21">
      <c r="A1274" s="4">
        <v>3009</v>
      </c>
      <c r="B1274" s="7" t="str">
        <f>VLOOKUP($A1274,SkillEnum!$A$2:$C$1020,2,FALSE)</f>
        <v>SI_SA_EAT_SURFACE_CUTING</v>
      </c>
      <c r="C1274" s="7">
        <v>7</v>
      </c>
      <c r="D1274" s="2" t="str">
        <f>VLOOKUP($C1274,SkillEnum!$D$2:$E$10,2,FALSE)</f>
        <v>ST_SPECIAL_ACTIVE</v>
      </c>
      <c r="E1274" s="7" t="str">
        <f>VLOOKUP($A1274,SkillEnum!$A$2:$C$1020,3,FALSE)</f>
        <v>서피스 커팅</v>
      </c>
      <c r="F1274" s="7" t="str">
        <f t="shared" si="171"/>
        <v>오베론을 소환해 연속으로 타격하여 타격당 물리공격력의 140 % 데미지를 주고 공중으로 띄워 추가 공격이 가능한 상태로 만든다. (소환수 물리공격력 : 시전자의 118 %)</v>
      </c>
      <c r="G1274" s="2">
        <v>3</v>
      </c>
      <c r="H1274" s="2">
        <v>0.98</v>
      </c>
      <c r="I1274" s="2">
        <v>3</v>
      </c>
      <c r="J1274" s="2">
        <v>100</v>
      </c>
      <c r="K1274" s="2">
        <v>0</v>
      </c>
      <c r="L1274" s="2">
        <v>0</v>
      </c>
      <c r="M1274" s="2">
        <v>0</v>
      </c>
      <c r="N1274" s="2">
        <v>0</v>
      </c>
      <c r="O1274" s="2">
        <v>0</v>
      </c>
      <c r="P1274" s="2" t="s">
        <v>443</v>
      </c>
      <c r="Q1274" s="2" t="str">
        <f t="shared" si="168"/>
        <v>SI_SA_EAT_SURFACE_CUTING</v>
      </c>
      <c r="R1274" s="2" t="b">
        <v>0</v>
      </c>
      <c r="S1274" s="2" t="b">
        <v>1</v>
      </c>
      <c r="T1274" s="2">
        <v>1</v>
      </c>
    </row>
    <row r="1275" spans="1:21">
      <c r="A1275" s="4">
        <v>3009</v>
      </c>
      <c r="B1275" s="7" t="str">
        <f>VLOOKUP($A1275,SkillEnum!$A$2:$C$1020,2,FALSE)</f>
        <v>SI_SA_EAT_SURFACE_CUTING</v>
      </c>
      <c r="C1275" s="7">
        <v>7</v>
      </c>
      <c r="D1275" s="2" t="str">
        <f>VLOOKUP($C1275,SkillEnum!$D$2:$E$10,2,FALSE)</f>
        <v>ST_SPECIAL_ACTIVE</v>
      </c>
      <c r="E1275" s="7" t="str">
        <f>VLOOKUP($A1275,SkillEnum!$A$2:$C$1020,3,FALSE)</f>
        <v>서피스 커팅</v>
      </c>
      <c r="F1275" s="7" t="str">
        <f t="shared" si="171"/>
        <v>오베론을 소환해 연속으로 타격하여 타격당 물리공격력의 140 % 데미지를 주고 공중으로 띄워 추가 공격이 가능한 상태로 만든다. (소환수 물리공격력 : 시전자의 134 %)</v>
      </c>
      <c r="G1275" s="2">
        <v>4</v>
      </c>
      <c r="H1275" s="2">
        <v>1.1200000000000001</v>
      </c>
      <c r="I1275" s="2">
        <v>3</v>
      </c>
      <c r="J1275" s="2">
        <v>100</v>
      </c>
      <c r="K1275" s="2">
        <v>0</v>
      </c>
      <c r="L1275" s="2">
        <v>0</v>
      </c>
      <c r="M1275" s="2">
        <v>0</v>
      </c>
      <c r="N1275" s="2">
        <v>0</v>
      </c>
      <c r="O1275" s="2">
        <v>0</v>
      </c>
      <c r="P1275" s="2" t="s">
        <v>443</v>
      </c>
      <c r="Q1275" s="2" t="str">
        <f t="shared" si="168"/>
        <v>SI_SA_EAT_SURFACE_CUTING</v>
      </c>
      <c r="R1275" s="2" t="b">
        <v>0</v>
      </c>
      <c r="S1275" s="2" t="b">
        <v>1</v>
      </c>
      <c r="T1275" s="2">
        <v>1</v>
      </c>
    </row>
    <row r="1276" spans="1:21">
      <c r="A1276" s="4">
        <v>3009</v>
      </c>
      <c r="B1276" s="7" t="str">
        <f>VLOOKUP($A1276,SkillEnum!$A$2:$C$1020,2,FALSE)</f>
        <v>SI_SA_EAT_SURFACE_CUTING</v>
      </c>
      <c r="C1276" s="7">
        <v>7</v>
      </c>
      <c r="D1276" s="2" t="str">
        <f>VLOOKUP($C1276,SkillEnum!$D$2:$E$10,2,FALSE)</f>
        <v>ST_SPECIAL_ACTIVE</v>
      </c>
      <c r="E1276" s="7" t="str">
        <f>VLOOKUP($A1276,SkillEnum!$A$2:$C$1020,3,FALSE)</f>
        <v>서피스 커팅</v>
      </c>
      <c r="F1276" s="7" t="str">
        <f t="shared" si="171"/>
        <v>오베론을 소환해 연속으로 타격하여 타격당 물리공격력의 140 % 데미지를 주고 공중으로 띄워 추가 공격이 가능한 상태로 만든다. (소환수 물리공격력 : 시전자의 160 %)</v>
      </c>
      <c r="G1276" s="2">
        <v>5</v>
      </c>
      <c r="H1276" s="2">
        <v>1.33</v>
      </c>
      <c r="I1276" s="2">
        <v>3</v>
      </c>
      <c r="J1276" s="2">
        <v>100</v>
      </c>
      <c r="K1276" s="2">
        <v>0</v>
      </c>
      <c r="L1276" s="2">
        <v>0</v>
      </c>
      <c r="M1276" s="2">
        <v>0</v>
      </c>
      <c r="N1276" s="2">
        <v>0</v>
      </c>
      <c r="O1276" s="2">
        <v>0</v>
      </c>
      <c r="P1276" s="2" t="s">
        <v>443</v>
      </c>
      <c r="Q1276" s="2" t="str">
        <f t="shared" si="168"/>
        <v>SI_SA_EAT_SURFACE_CUTING</v>
      </c>
      <c r="R1276" s="2" t="b">
        <v>0</v>
      </c>
      <c r="S1276" s="2" t="b">
        <v>1</v>
      </c>
      <c r="T1276" s="2">
        <v>1</v>
      </c>
    </row>
    <row r="1277" spans="1:21">
      <c r="A1277" s="4">
        <v>3009</v>
      </c>
      <c r="B1277" s="7" t="str">
        <f>VLOOKUP($A1277,SkillEnum!$A$2:$C$1020,2,FALSE)</f>
        <v>SI_SA_EAT_SURFACE_CUTING</v>
      </c>
      <c r="C1277" s="7">
        <v>7</v>
      </c>
      <c r="D1277" s="2" t="str">
        <f>VLOOKUP($C1277,SkillEnum!$D$2:$E$10,2,FALSE)</f>
        <v>ST_SPECIAL_ACTIVE</v>
      </c>
      <c r="E1277" s="7" t="str">
        <f>VLOOKUP($A1277,SkillEnum!$A$2:$C$1020,3,FALSE)</f>
        <v>서피스 커팅</v>
      </c>
      <c r="F1277" s="7" t="str">
        <f t="shared" si="171"/>
        <v>오베론을 소환해 연속으로 타격하여 타격당 물리공격력의 140 % 데미지를 주고 공중으로 띄워 추가 공격이 가능한 상태로 만든다. (소환수 물리공격력 : 시전자의 185 %)</v>
      </c>
      <c r="G1277" s="2">
        <v>6</v>
      </c>
      <c r="H1277" s="2">
        <v>1.54</v>
      </c>
      <c r="I1277" s="2">
        <v>3</v>
      </c>
      <c r="J1277" s="2">
        <v>100</v>
      </c>
      <c r="K1277" s="2">
        <v>0</v>
      </c>
      <c r="L1277" s="2">
        <v>0</v>
      </c>
      <c r="M1277" s="2">
        <v>0</v>
      </c>
      <c r="N1277" s="2">
        <v>0</v>
      </c>
      <c r="O1277" s="2">
        <v>0</v>
      </c>
      <c r="P1277" s="2" t="s">
        <v>443</v>
      </c>
      <c r="Q1277" s="2" t="str">
        <f t="shared" si="168"/>
        <v>SI_SA_EAT_SURFACE_CUTING</v>
      </c>
      <c r="R1277" s="2" t="b">
        <v>0</v>
      </c>
      <c r="S1277" s="2" t="b">
        <v>1</v>
      </c>
      <c r="T1277" s="2">
        <v>1</v>
      </c>
    </row>
    <row r="1278" spans="1:21">
      <c r="A1278" s="4">
        <v>3009</v>
      </c>
      <c r="B1278" s="7" t="str">
        <f>VLOOKUP($A1278,SkillEnum!$A$2:$C$1020,2,FALSE)</f>
        <v>SI_SA_EAT_SURFACE_CUTING</v>
      </c>
      <c r="C1278" s="7">
        <v>7</v>
      </c>
      <c r="D1278" s="2" t="str">
        <f>VLOOKUP($C1278,SkillEnum!$D$2:$E$10,2,FALSE)</f>
        <v>ST_SPECIAL_ACTIVE</v>
      </c>
      <c r="E1278" s="7" t="str">
        <f>VLOOKUP($A1278,SkillEnum!$A$2:$C$1020,3,FALSE)</f>
        <v>서피스 커팅</v>
      </c>
      <c r="F1278" s="7" t="str">
        <f t="shared" si="171"/>
        <v>오베론을 소환해 연속으로 타격하여 타격당 물리공격력의 140 % 데미지를 주고 공중으로 띄워 추가 공격이 가능한 상태로 만든다. (소환수 물리공격력 : 시전자의 210 %)</v>
      </c>
      <c r="G1278" s="2">
        <v>7</v>
      </c>
      <c r="H1278" s="2">
        <v>1.75</v>
      </c>
      <c r="I1278" s="2">
        <v>3</v>
      </c>
      <c r="J1278" s="2">
        <v>100</v>
      </c>
      <c r="K1278" s="2">
        <v>0</v>
      </c>
      <c r="L1278" s="2">
        <v>0</v>
      </c>
      <c r="M1278" s="2">
        <v>0</v>
      </c>
      <c r="N1278" s="2">
        <v>0</v>
      </c>
      <c r="O1278" s="2">
        <v>0</v>
      </c>
      <c r="P1278" s="2" t="s">
        <v>443</v>
      </c>
      <c r="Q1278" s="2" t="str">
        <f t="shared" si="168"/>
        <v>SI_SA_EAT_SURFACE_CUTING</v>
      </c>
      <c r="R1278" s="2" t="b">
        <v>0</v>
      </c>
      <c r="S1278" s="2" t="b">
        <v>1</v>
      </c>
      <c r="T1278" s="2">
        <v>1</v>
      </c>
    </row>
    <row r="1279" spans="1:21">
      <c r="A1279" s="4">
        <v>3009</v>
      </c>
      <c r="B1279" s="7" t="str">
        <f>VLOOKUP($A1279,SkillEnum!$A$2:$C$1020,2,FALSE)</f>
        <v>SI_SA_EAT_SURFACE_CUTING</v>
      </c>
      <c r="C1279" s="7">
        <v>7</v>
      </c>
      <c r="D1279" s="2" t="str">
        <f>VLOOKUP($C1279,SkillEnum!$D$2:$E$10,2,FALSE)</f>
        <v>ST_SPECIAL_ACTIVE</v>
      </c>
      <c r="E1279" s="7" t="str">
        <f>VLOOKUP($A1279,SkillEnum!$A$2:$C$1020,3,FALSE)</f>
        <v>서피스 커팅</v>
      </c>
      <c r="F1279" s="7" t="str">
        <f t="shared" si="171"/>
        <v>오베론을 소환해 연속으로 타격하여 타격당 물리공격력의 140 % 데미지를 주고 공중으로 띄워 추가 공격이 가능한 상태로 만든다. (소환수 물리공격력 : 시전자의 235 %)</v>
      </c>
      <c r="G1279" s="2">
        <v>8</v>
      </c>
      <c r="H1279" s="2">
        <v>1.96</v>
      </c>
      <c r="I1279" s="2">
        <v>3</v>
      </c>
      <c r="J1279" s="2">
        <v>100</v>
      </c>
      <c r="K1279" s="2">
        <v>0</v>
      </c>
      <c r="L1279" s="2">
        <v>0</v>
      </c>
      <c r="M1279" s="2">
        <v>0</v>
      </c>
      <c r="N1279" s="2">
        <v>0</v>
      </c>
      <c r="O1279" s="2">
        <v>0</v>
      </c>
      <c r="P1279" s="2" t="s">
        <v>443</v>
      </c>
      <c r="Q1279" s="2" t="str">
        <f t="shared" si="168"/>
        <v>SI_SA_EAT_SURFACE_CUTING</v>
      </c>
      <c r="R1279" s="2" t="b">
        <v>0</v>
      </c>
      <c r="S1279" s="2" t="b">
        <v>1</v>
      </c>
      <c r="T1279" s="2">
        <v>1</v>
      </c>
    </row>
    <row r="1280" spans="1:21">
      <c r="A1280" s="4">
        <v>3009</v>
      </c>
      <c r="B1280" s="7" t="str">
        <f>VLOOKUP($A1280,SkillEnum!$A$2:$C$1020,2,FALSE)</f>
        <v>SI_SA_EAT_SURFACE_CUTING</v>
      </c>
      <c r="C1280" s="7">
        <v>7</v>
      </c>
      <c r="D1280" s="2" t="str">
        <f>VLOOKUP($C1280,SkillEnum!$D$2:$E$10,2,FALSE)</f>
        <v>ST_SPECIAL_ACTIVE</v>
      </c>
      <c r="E1280" s="7" t="str">
        <f>VLOOKUP($A1280,SkillEnum!$A$2:$C$1020,3,FALSE)</f>
        <v>서피스 커팅</v>
      </c>
      <c r="F1280" s="7" t="str">
        <f t="shared" si="171"/>
        <v>오베론을 소환해 연속으로 타격하여 타격당 물리공격력의 140 % 데미지를 주고 공중으로 띄워 추가 공격이 가능한 상태로 만든다. (소환수 물리공격력 : 시전자의 269 %)</v>
      </c>
      <c r="G1280" s="2">
        <v>9</v>
      </c>
      <c r="H1280" s="2">
        <v>2.2400000000000002</v>
      </c>
      <c r="I1280" s="2">
        <v>3</v>
      </c>
      <c r="J1280" s="2">
        <v>100</v>
      </c>
      <c r="K1280" s="2">
        <v>0</v>
      </c>
      <c r="L1280" s="2">
        <v>0</v>
      </c>
      <c r="M1280" s="2">
        <v>0</v>
      </c>
      <c r="N1280" s="2">
        <v>0</v>
      </c>
      <c r="O1280" s="2">
        <v>0</v>
      </c>
      <c r="P1280" s="2" t="s">
        <v>443</v>
      </c>
      <c r="Q1280" s="2" t="str">
        <f t="shared" si="168"/>
        <v>SI_SA_EAT_SURFACE_CUTING</v>
      </c>
      <c r="R1280" s="2" t="b">
        <v>0</v>
      </c>
      <c r="S1280" s="2" t="b">
        <v>1</v>
      </c>
      <c r="T1280" s="2">
        <v>1</v>
      </c>
    </row>
    <row r="1281" spans="1:21" s="5" customFormat="1">
      <c r="A1281" s="6">
        <v>3009</v>
      </c>
      <c r="B1281" s="8" t="str">
        <f>VLOOKUP($A1281,SkillEnum!$A$2:$C$1020,2,FALSE)</f>
        <v>SI_SA_EAT_SURFACE_CUTING</v>
      </c>
      <c r="C1281" s="8">
        <v>7</v>
      </c>
      <c r="D1281" s="5" t="str">
        <f>VLOOKUP($C1281,SkillEnum!$D$2:$E$10,2,FALSE)</f>
        <v>ST_SPECIAL_ACTIVE</v>
      </c>
      <c r="E1281" s="8" t="str">
        <f>VLOOKUP($A1281,SkillEnum!$A$2:$C$1020,3,FALSE)</f>
        <v>서피스 커팅</v>
      </c>
      <c r="F1281" s="8" t="str">
        <f t="shared" si="171"/>
        <v>오베론을 소환해 연속으로 타격하여 타격당 물리공격력의 140 % 데미지를 주고 공중으로 띄워 추가 공격이 가능한 상태로 만든다. (소환수 물리공격력 : 시전자의 302 %)</v>
      </c>
      <c r="G1281" s="5">
        <v>10</v>
      </c>
      <c r="H1281" s="5">
        <v>2.52</v>
      </c>
      <c r="I1281" s="5">
        <v>3</v>
      </c>
      <c r="J1281" s="5">
        <v>100</v>
      </c>
      <c r="K1281" s="5">
        <v>0</v>
      </c>
      <c r="L1281" s="5">
        <v>0</v>
      </c>
      <c r="M1281" s="5">
        <v>0</v>
      </c>
      <c r="N1281" s="5">
        <v>0</v>
      </c>
      <c r="O1281" s="5">
        <v>0</v>
      </c>
      <c r="P1281" s="2" t="s">
        <v>443</v>
      </c>
      <c r="Q1281" s="2" t="str">
        <f t="shared" si="168"/>
        <v>SI_SA_EAT_SURFACE_CUTING</v>
      </c>
      <c r="R1281" s="5" t="b">
        <v>0</v>
      </c>
      <c r="S1281" s="2" t="b">
        <v>1</v>
      </c>
      <c r="T1281" s="2">
        <v>1</v>
      </c>
      <c r="U1281" s="2"/>
    </row>
    <row r="1282" spans="1:21">
      <c r="A1282" s="4">
        <v>3010</v>
      </c>
      <c r="B1282" s="7" t="str">
        <f>VLOOKUP($A1282,SkillEnum!$A$2:$C$1020,2,FALSE)</f>
        <v>SI_SA_EAT_SONIC_WAVE</v>
      </c>
      <c r="C1282" s="7">
        <v>7</v>
      </c>
      <c r="D1282" s="2" t="str">
        <f>VLOOKUP($C1282,SkillEnum!$D$2:$E$10,2,FALSE)</f>
        <v>ST_SPECIAL_ACTIVE</v>
      </c>
      <c r="E1282" s="11" t="str">
        <f>VLOOKUP($A1282,SkillEnum!$A$2:$C$1020,3,FALSE)</f>
        <v>소닉 웨이브</v>
      </c>
      <c r="F1282" s="11" t="str">
        <f>"오베론을 전방 발밑에서 소환해 적을 공중에 띄우고, 회전베기를 사용하여 물리공격력의 170 % 로 연속타격을 한다. (소환수 물리공격력 : 시전자의 "&amp;ROUND(1.2*H1282*100,0)&amp;" %)"</f>
        <v>오베론을 전방 발밑에서 소환해 적을 공중에 띄우고, 회전베기를 사용하여 물리공격력의 170 % 로 연속타격을 한다. (소환수 물리공격력 : 시전자의 84 %)</v>
      </c>
      <c r="G1282" s="10">
        <v>1</v>
      </c>
      <c r="H1282" s="2">
        <v>0.7</v>
      </c>
      <c r="I1282" s="2">
        <v>10</v>
      </c>
      <c r="J1282" s="10">
        <v>200</v>
      </c>
      <c r="K1282" s="2">
        <v>0</v>
      </c>
      <c r="L1282" s="2">
        <v>0</v>
      </c>
      <c r="M1282" s="2">
        <v>0</v>
      </c>
      <c r="N1282" s="2">
        <v>0</v>
      </c>
      <c r="O1282" s="2">
        <v>0</v>
      </c>
      <c r="P1282" s="2" t="s">
        <v>443</v>
      </c>
      <c r="Q1282" s="2" t="str">
        <f t="shared" si="168"/>
        <v>SI_SA_EAT_SONIC_WAVE</v>
      </c>
      <c r="R1282" s="2" t="b">
        <v>0</v>
      </c>
      <c r="S1282" s="2" t="b">
        <v>1</v>
      </c>
      <c r="T1282" s="2">
        <v>1</v>
      </c>
    </row>
    <row r="1283" spans="1:21">
      <c r="A1283" s="4">
        <v>3010</v>
      </c>
      <c r="B1283" s="7" t="str">
        <f>VLOOKUP($A1283,SkillEnum!$A$2:$C$1020,2,FALSE)</f>
        <v>SI_SA_EAT_SONIC_WAVE</v>
      </c>
      <c r="C1283" s="7">
        <v>7</v>
      </c>
      <c r="D1283" s="2" t="str">
        <f>VLOOKUP($C1283,SkillEnum!$D$2:$E$10,2,FALSE)</f>
        <v>ST_SPECIAL_ACTIVE</v>
      </c>
      <c r="E1283" s="7" t="str">
        <f>VLOOKUP($A1283,SkillEnum!$A$2:$C$1020,3,FALSE)</f>
        <v>소닉 웨이브</v>
      </c>
      <c r="F1283" s="7" t="str">
        <f t="shared" ref="F1283:F1291" si="172">"오베론을 전방 발밑에서 소환해 적을 공중에 띄우고, 회전베기를 사용하여 물리공격력의 170 % 로 연속타격을 한다. (소환수 물리공격력 : 시전자의 "&amp;ROUND(1.2*H1283*100,0)&amp;" %)"</f>
        <v>오베론을 전방 발밑에서 소환해 적을 공중에 띄우고, 회전베기를 사용하여 물리공격력의 170 % 로 연속타격을 한다. (소환수 물리공격력 : 시전자의 101 %)</v>
      </c>
      <c r="G1283" s="2">
        <v>2</v>
      </c>
      <c r="H1283" s="2">
        <v>0.84</v>
      </c>
      <c r="I1283" s="2">
        <v>10</v>
      </c>
      <c r="J1283" s="2">
        <v>200</v>
      </c>
      <c r="K1283" s="2">
        <v>0</v>
      </c>
      <c r="L1283" s="2">
        <v>0</v>
      </c>
      <c r="M1283" s="2">
        <v>0</v>
      </c>
      <c r="N1283" s="2">
        <v>0</v>
      </c>
      <c r="O1283" s="2">
        <v>0</v>
      </c>
      <c r="P1283" s="2" t="s">
        <v>443</v>
      </c>
      <c r="Q1283" s="2" t="str">
        <f t="shared" si="168"/>
        <v>SI_SA_EAT_SONIC_WAVE</v>
      </c>
      <c r="R1283" s="2" t="b">
        <v>0</v>
      </c>
      <c r="S1283" s="2" t="b">
        <v>1</v>
      </c>
      <c r="T1283" s="2">
        <v>1</v>
      </c>
    </row>
    <row r="1284" spans="1:21">
      <c r="A1284" s="4">
        <v>3010</v>
      </c>
      <c r="B1284" s="7" t="str">
        <f>VLOOKUP($A1284,SkillEnum!$A$2:$C$1020,2,FALSE)</f>
        <v>SI_SA_EAT_SONIC_WAVE</v>
      </c>
      <c r="C1284" s="7">
        <v>7</v>
      </c>
      <c r="D1284" s="2" t="str">
        <f>VLOOKUP($C1284,SkillEnum!$D$2:$E$10,2,FALSE)</f>
        <v>ST_SPECIAL_ACTIVE</v>
      </c>
      <c r="E1284" s="7" t="str">
        <f>VLOOKUP($A1284,SkillEnum!$A$2:$C$1020,3,FALSE)</f>
        <v>소닉 웨이브</v>
      </c>
      <c r="F1284" s="7" t="str">
        <f t="shared" si="172"/>
        <v>오베론을 전방 발밑에서 소환해 적을 공중에 띄우고, 회전베기를 사용하여 물리공격력의 170 % 로 연속타격을 한다. (소환수 물리공격력 : 시전자의 118 %)</v>
      </c>
      <c r="G1284" s="2">
        <v>3</v>
      </c>
      <c r="H1284" s="2">
        <v>0.98</v>
      </c>
      <c r="I1284" s="2">
        <v>10</v>
      </c>
      <c r="J1284" s="2">
        <v>200</v>
      </c>
      <c r="K1284" s="2">
        <v>0</v>
      </c>
      <c r="L1284" s="2">
        <v>0</v>
      </c>
      <c r="M1284" s="2">
        <v>0</v>
      </c>
      <c r="N1284" s="2">
        <v>0</v>
      </c>
      <c r="O1284" s="2">
        <v>0</v>
      </c>
      <c r="P1284" s="2" t="s">
        <v>443</v>
      </c>
      <c r="Q1284" s="2" t="str">
        <f t="shared" si="168"/>
        <v>SI_SA_EAT_SONIC_WAVE</v>
      </c>
      <c r="R1284" s="2" t="b">
        <v>0</v>
      </c>
      <c r="S1284" s="2" t="b">
        <v>1</v>
      </c>
      <c r="T1284" s="2">
        <v>1</v>
      </c>
    </row>
    <row r="1285" spans="1:21">
      <c r="A1285" s="4">
        <v>3010</v>
      </c>
      <c r="B1285" s="7" t="str">
        <f>VLOOKUP($A1285,SkillEnum!$A$2:$C$1020,2,FALSE)</f>
        <v>SI_SA_EAT_SONIC_WAVE</v>
      </c>
      <c r="C1285" s="7">
        <v>7</v>
      </c>
      <c r="D1285" s="2" t="str">
        <f>VLOOKUP($C1285,SkillEnum!$D$2:$E$10,2,FALSE)</f>
        <v>ST_SPECIAL_ACTIVE</v>
      </c>
      <c r="E1285" s="7" t="str">
        <f>VLOOKUP($A1285,SkillEnum!$A$2:$C$1020,3,FALSE)</f>
        <v>소닉 웨이브</v>
      </c>
      <c r="F1285" s="7" t="str">
        <f t="shared" si="172"/>
        <v>오베론을 전방 발밑에서 소환해 적을 공중에 띄우고, 회전베기를 사용하여 물리공격력의 170 % 로 연속타격을 한다. (소환수 물리공격력 : 시전자의 134 %)</v>
      </c>
      <c r="G1285" s="2">
        <v>4</v>
      </c>
      <c r="H1285" s="2">
        <v>1.1200000000000001</v>
      </c>
      <c r="I1285" s="2">
        <v>10</v>
      </c>
      <c r="J1285" s="2">
        <v>200</v>
      </c>
      <c r="K1285" s="2">
        <v>0</v>
      </c>
      <c r="L1285" s="2">
        <v>0</v>
      </c>
      <c r="M1285" s="2">
        <v>0</v>
      </c>
      <c r="N1285" s="2">
        <v>0</v>
      </c>
      <c r="O1285" s="2">
        <v>0</v>
      </c>
      <c r="P1285" s="2" t="s">
        <v>443</v>
      </c>
      <c r="Q1285" s="2" t="str">
        <f t="shared" si="168"/>
        <v>SI_SA_EAT_SONIC_WAVE</v>
      </c>
      <c r="R1285" s="2" t="b">
        <v>0</v>
      </c>
      <c r="S1285" s="2" t="b">
        <v>1</v>
      </c>
      <c r="T1285" s="2">
        <v>1</v>
      </c>
    </row>
    <row r="1286" spans="1:21">
      <c r="A1286" s="4">
        <v>3010</v>
      </c>
      <c r="B1286" s="7" t="str">
        <f>VLOOKUP($A1286,SkillEnum!$A$2:$C$1020,2,FALSE)</f>
        <v>SI_SA_EAT_SONIC_WAVE</v>
      </c>
      <c r="C1286" s="7">
        <v>7</v>
      </c>
      <c r="D1286" s="2" t="str">
        <f>VLOOKUP($C1286,SkillEnum!$D$2:$E$10,2,FALSE)</f>
        <v>ST_SPECIAL_ACTIVE</v>
      </c>
      <c r="E1286" s="7" t="str">
        <f>VLOOKUP($A1286,SkillEnum!$A$2:$C$1020,3,FALSE)</f>
        <v>소닉 웨이브</v>
      </c>
      <c r="F1286" s="7" t="str">
        <f t="shared" si="172"/>
        <v>오베론을 전방 발밑에서 소환해 적을 공중에 띄우고, 회전베기를 사용하여 물리공격력의 170 % 로 연속타격을 한다. (소환수 물리공격력 : 시전자의 160 %)</v>
      </c>
      <c r="G1286" s="2">
        <v>5</v>
      </c>
      <c r="H1286" s="2">
        <v>1.33</v>
      </c>
      <c r="I1286" s="2">
        <v>10</v>
      </c>
      <c r="J1286" s="2">
        <v>200</v>
      </c>
      <c r="K1286" s="2">
        <v>0</v>
      </c>
      <c r="L1286" s="2">
        <v>0</v>
      </c>
      <c r="M1286" s="2">
        <v>0</v>
      </c>
      <c r="N1286" s="2">
        <v>0</v>
      </c>
      <c r="O1286" s="2">
        <v>0</v>
      </c>
      <c r="P1286" s="2" t="s">
        <v>443</v>
      </c>
      <c r="Q1286" s="2" t="str">
        <f t="shared" si="168"/>
        <v>SI_SA_EAT_SONIC_WAVE</v>
      </c>
      <c r="R1286" s="2" t="b">
        <v>0</v>
      </c>
      <c r="S1286" s="2" t="b">
        <v>1</v>
      </c>
      <c r="T1286" s="2">
        <v>1</v>
      </c>
    </row>
    <row r="1287" spans="1:21">
      <c r="A1287" s="4">
        <v>3010</v>
      </c>
      <c r="B1287" s="7" t="str">
        <f>VLOOKUP($A1287,SkillEnum!$A$2:$C$1020,2,FALSE)</f>
        <v>SI_SA_EAT_SONIC_WAVE</v>
      </c>
      <c r="C1287" s="7">
        <v>7</v>
      </c>
      <c r="D1287" s="2" t="str">
        <f>VLOOKUP($C1287,SkillEnum!$D$2:$E$10,2,FALSE)</f>
        <v>ST_SPECIAL_ACTIVE</v>
      </c>
      <c r="E1287" s="7" t="str">
        <f>VLOOKUP($A1287,SkillEnum!$A$2:$C$1020,3,FALSE)</f>
        <v>소닉 웨이브</v>
      </c>
      <c r="F1287" s="7" t="str">
        <f t="shared" si="172"/>
        <v>오베론을 전방 발밑에서 소환해 적을 공중에 띄우고, 회전베기를 사용하여 물리공격력의 170 % 로 연속타격을 한다. (소환수 물리공격력 : 시전자의 185 %)</v>
      </c>
      <c r="G1287" s="2">
        <v>6</v>
      </c>
      <c r="H1287" s="2">
        <v>1.54</v>
      </c>
      <c r="I1287" s="2">
        <v>10</v>
      </c>
      <c r="J1287" s="2">
        <v>200</v>
      </c>
      <c r="K1287" s="2">
        <v>0</v>
      </c>
      <c r="L1287" s="2">
        <v>0</v>
      </c>
      <c r="M1287" s="2">
        <v>0</v>
      </c>
      <c r="N1287" s="2">
        <v>0</v>
      </c>
      <c r="O1287" s="2">
        <v>0</v>
      </c>
      <c r="P1287" s="2" t="s">
        <v>443</v>
      </c>
      <c r="Q1287" s="2" t="str">
        <f t="shared" si="168"/>
        <v>SI_SA_EAT_SONIC_WAVE</v>
      </c>
      <c r="R1287" s="2" t="b">
        <v>0</v>
      </c>
      <c r="S1287" s="2" t="b">
        <v>1</v>
      </c>
      <c r="T1287" s="2">
        <v>1</v>
      </c>
    </row>
    <row r="1288" spans="1:21">
      <c r="A1288" s="4">
        <v>3010</v>
      </c>
      <c r="B1288" s="7" t="str">
        <f>VLOOKUP($A1288,SkillEnum!$A$2:$C$1020,2,FALSE)</f>
        <v>SI_SA_EAT_SONIC_WAVE</v>
      </c>
      <c r="C1288" s="7">
        <v>7</v>
      </c>
      <c r="D1288" s="2" t="str">
        <f>VLOOKUP($C1288,SkillEnum!$D$2:$E$10,2,FALSE)</f>
        <v>ST_SPECIAL_ACTIVE</v>
      </c>
      <c r="E1288" s="7" t="str">
        <f>VLOOKUP($A1288,SkillEnum!$A$2:$C$1020,3,FALSE)</f>
        <v>소닉 웨이브</v>
      </c>
      <c r="F1288" s="7" t="str">
        <f t="shared" si="172"/>
        <v>오베론을 전방 발밑에서 소환해 적을 공중에 띄우고, 회전베기를 사용하여 물리공격력의 170 % 로 연속타격을 한다. (소환수 물리공격력 : 시전자의 210 %)</v>
      </c>
      <c r="G1288" s="2">
        <v>7</v>
      </c>
      <c r="H1288" s="2">
        <v>1.75</v>
      </c>
      <c r="I1288" s="2">
        <v>10</v>
      </c>
      <c r="J1288" s="2">
        <v>200</v>
      </c>
      <c r="K1288" s="2">
        <v>0</v>
      </c>
      <c r="L1288" s="2">
        <v>0</v>
      </c>
      <c r="M1288" s="2">
        <v>0</v>
      </c>
      <c r="N1288" s="2">
        <v>0</v>
      </c>
      <c r="O1288" s="2">
        <v>0</v>
      </c>
      <c r="P1288" s="2" t="s">
        <v>443</v>
      </c>
      <c r="Q1288" s="2" t="str">
        <f t="shared" si="168"/>
        <v>SI_SA_EAT_SONIC_WAVE</v>
      </c>
      <c r="R1288" s="2" t="b">
        <v>0</v>
      </c>
      <c r="S1288" s="2" t="b">
        <v>1</v>
      </c>
      <c r="T1288" s="2">
        <v>1</v>
      </c>
    </row>
    <row r="1289" spans="1:21">
      <c r="A1289" s="4">
        <v>3010</v>
      </c>
      <c r="B1289" s="7" t="str">
        <f>VLOOKUP($A1289,SkillEnum!$A$2:$C$1020,2,FALSE)</f>
        <v>SI_SA_EAT_SONIC_WAVE</v>
      </c>
      <c r="C1289" s="7">
        <v>7</v>
      </c>
      <c r="D1289" s="2" t="str">
        <f>VLOOKUP($C1289,SkillEnum!$D$2:$E$10,2,FALSE)</f>
        <v>ST_SPECIAL_ACTIVE</v>
      </c>
      <c r="E1289" s="7" t="str">
        <f>VLOOKUP($A1289,SkillEnum!$A$2:$C$1020,3,FALSE)</f>
        <v>소닉 웨이브</v>
      </c>
      <c r="F1289" s="7" t="str">
        <f t="shared" si="172"/>
        <v>오베론을 전방 발밑에서 소환해 적을 공중에 띄우고, 회전베기를 사용하여 물리공격력의 170 % 로 연속타격을 한다. (소환수 물리공격력 : 시전자의 235 %)</v>
      </c>
      <c r="G1289" s="2">
        <v>8</v>
      </c>
      <c r="H1289" s="2">
        <v>1.96</v>
      </c>
      <c r="I1289" s="2">
        <v>10</v>
      </c>
      <c r="J1289" s="2">
        <v>200</v>
      </c>
      <c r="K1289" s="2">
        <v>0</v>
      </c>
      <c r="L1289" s="2">
        <v>0</v>
      </c>
      <c r="M1289" s="2">
        <v>0</v>
      </c>
      <c r="N1289" s="2">
        <v>0</v>
      </c>
      <c r="O1289" s="2">
        <v>0</v>
      </c>
      <c r="P1289" s="2" t="s">
        <v>443</v>
      </c>
      <c r="Q1289" s="2" t="str">
        <f t="shared" si="168"/>
        <v>SI_SA_EAT_SONIC_WAVE</v>
      </c>
      <c r="R1289" s="2" t="b">
        <v>0</v>
      </c>
      <c r="S1289" s="2" t="b">
        <v>1</v>
      </c>
      <c r="T1289" s="2">
        <v>1</v>
      </c>
    </row>
    <row r="1290" spans="1:21">
      <c r="A1290" s="4">
        <v>3010</v>
      </c>
      <c r="B1290" s="7" t="str">
        <f>VLOOKUP($A1290,SkillEnum!$A$2:$C$1020,2,FALSE)</f>
        <v>SI_SA_EAT_SONIC_WAVE</v>
      </c>
      <c r="C1290" s="7">
        <v>7</v>
      </c>
      <c r="D1290" s="2" t="str">
        <f>VLOOKUP($C1290,SkillEnum!$D$2:$E$10,2,FALSE)</f>
        <v>ST_SPECIAL_ACTIVE</v>
      </c>
      <c r="E1290" s="7" t="str">
        <f>VLOOKUP($A1290,SkillEnum!$A$2:$C$1020,3,FALSE)</f>
        <v>소닉 웨이브</v>
      </c>
      <c r="F1290" s="7" t="str">
        <f t="shared" si="172"/>
        <v>오베론을 전방 발밑에서 소환해 적을 공중에 띄우고, 회전베기를 사용하여 물리공격력의 170 % 로 연속타격을 한다. (소환수 물리공격력 : 시전자의 269 %)</v>
      </c>
      <c r="G1290" s="2">
        <v>9</v>
      </c>
      <c r="H1290" s="2">
        <v>2.2400000000000002</v>
      </c>
      <c r="I1290" s="2">
        <v>10</v>
      </c>
      <c r="J1290" s="2">
        <v>200</v>
      </c>
      <c r="K1290" s="2">
        <v>0</v>
      </c>
      <c r="L1290" s="2">
        <v>0</v>
      </c>
      <c r="M1290" s="2">
        <v>0</v>
      </c>
      <c r="N1290" s="2">
        <v>0</v>
      </c>
      <c r="O1290" s="2">
        <v>0</v>
      </c>
      <c r="P1290" s="2" t="s">
        <v>443</v>
      </c>
      <c r="Q1290" s="2" t="str">
        <f t="shared" si="168"/>
        <v>SI_SA_EAT_SONIC_WAVE</v>
      </c>
      <c r="R1290" s="2" t="b">
        <v>0</v>
      </c>
      <c r="S1290" s="2" t="b">
        <v>1</v>
      </c>
      <c r="T1290" s="2">
        <v>1</v>
      </c>
    </row>
    <row r="1291" spans="1:21" s="5" customFormat="1">
      <c r="A1291" s="6">
        <v>3010</v>
      </c>
      <c r="B1291" s="8" t="str">
        <f>VLOOKUP($A1291,SkillEnum!$A$2:$C$1020,2,FALSE)</f>
        <v>SI_SA_EAT_SONIC_WAVE</v>
      </c>
      <c r="C1291" s="8">
        <v>7</v>
      </c>
      <c r="D1291" s="5" t="str">
        <f>VLOOKUP($C1291,SkillEnum!$D$2:$E$10,2,FALSE)</f>
        <v>ST_SPECIAL_ACTIVE</v>
      </c>
      <c r="E1291" s="8" t="str">
        <f>VLOOKUP($A1291,SkillEnum!$A$2:$C$1020,3,FALSE)</f>
        <v>소닉 웨이브</v>
      </c>
      <c r="F1291" s="8" t="str">
        <f t="shared" si="172"/>
        <v>오베론을 전방 발밑에서 소환해 적을 공중에 띄우고, 회전베기를 사용하여 물리공격력의 170 % 로 연속타격을 한다. (소환수 물리공격력 : 시전자의 302 %)</v>
      </c>
      <c r="G1291" s="5">
        <v>10</v>
      </c>
      <c r="H1291" s="5">
        <v>2.52</v>
      </c>
      <c r="I1291" s="5">
        <v>10</v>
      </c>
      <c r="J1291" s="5">
        <v>200</v>
      </c>
      <c r="K1291" s="5">
        <v>0</v>
      </c>
      <c r="L1291" s="5">
        <v>0</v>
      </c>
      <c r="M1291" s="5">
        <v>0</v>
      </c>
      <c r="N1291" s="5">
        <v>0</v>
      </c>
      <c r="O1291" s="5">
        <v>0</v>
      </c>
      <c r="P1291" s="2" t="s">
        <v>443</v>
      </c>
      <c r="Q1291" s="2" t="str">
        <f t="shared" si="168"/>
        <v>SI_SA_EAT_SONIC_WAVE</v>
      </c>
      <c r="R1291" s="5" t="b">
        <v>0</v>
      </c>
      <c r="S1291" s="2" t="b">
        <v>1</v>
      </c>
      <c r="T1291" s="2">
        <v>1</v>
      </c>
      <c r="U1291" s="2"/>
    </row>
    <row r="1292" spans="1:21">
      <c r="A1292" s="4">
        <v>3011</v>
      </c>
      <c r="B1292" s="7" t="str">
        <f>VLOOKUP($A1292,SkillEnum!$A$2:$C$1020,2,FALSE)</f>
        <v>SI_SA_EAT_GENOCIDE_RIPPER</v>
      </c>
      <c r="C1292" s="7">
        <v>7</v>
      </c>
      <c r="D1292" s="2" t="str">
        <f>VLOOKUP($C1292,SkillEnum!$D$2:$E$10,2,FALSE)</f>
        <v>ST_SPECIAL_ACTIVE</v>
      </c>
      <c r="E1292" s="11" t="str">
        <f>VLOOKUP($A1292,SkillEnum!$A$2:$C$1020,3,FALSE)</f>
        <v>제노사이드 리퍼</v>
      </c>
      <c r="F1292" s="11" t="str">
        <f>"오베론이 적의 주위를 순간적으로 이동하며 물리공격력의 500 % 데미지로 연속적으로 베는 공격을 한다. (각성시 공격력은 250 % 로 줄어들지만 연속타격 횟수가 크게 증가 한다.)(소환수 물리공격력 : 시전자의 "&amp;ROUND(1.2*H1292*100,0)&amp;" %)"</f>
        <v>오베론이 적의 주위를 순간적으로 이동하며 물리공격력의 500 % 데미지로 연속적으로 베는 공격을 한다. (각성시 공격력은 250 % 로 줄어들지만 연속타격 횟수가 크게 증가 한다.)(소환수 물리공격력 : 시전자의 84 %)</v>
      </c>
      <c r="G1292" s="10">
        <v>1</v>
      </c>
      <c r="H1292" s="2">
        <v>0.7</v>
      </c>
      <c r="I1292" s="2">
        <v>30</v>
      </c>
      <c r="J1292" s="10">
        <v>300</v>
      </c>
      <c r="K1292" s="2">
        <v>0</v>
      </c>
      <c r="L1292" s="2">
        <v>0</v>
      </c>
      <c r="M1292" s="2">
        <v>0</v>
      </c>
      <c r="N1292" s="2">
        <v>0</v>
      </c>
      <c r="O1292" s="2">
        <v>0</v>
      </c>
      <c r="P1292" s="2" t="s">
        <v>443</v>
      </c>
      <c r="Q1292" s="2" t="str">
        <f t="shared" si="168"/>
        <v>SI_SA_EAT_GENOCIDE_RIPPER</v>
      </c>
      <c r="R1292" s="2" t="b">
        <v>0</v>
      </c>
      <c r="S1292" s="2" t="b">
        <v>1</v>
      </c>
      <c r="T1292" s="2">
        <v>1</v>
      </c>
    </row>
    <row r="1293" spans="1:21">
      <c r="A1293" s="4">
        <v>3011</v>
      </c>
      <c r="B1293" s="7" t="str">
        <f>VLOOKUP($A1293,SkillEnum!$A$2:$C$1020,2,FALSE)</f>
        <v>SI_SA_EAT_GENOCIDE_RIPPER</v>
      </c>
      <c r="C1293" s="7">
        <v>7</v>
      </c>
      <c r="D1293" s="2" t="str">
        <f>VLOOKUP($C1293,SkillEnum!$D$2:$E$10,2,FALSE)</f>
        <v>ST_SPECIAL_ACTIVE</v>
      </c>
      <c r="E1293" s="7" t="str">
        <f>VLOOKUP($A1293,SkillEnum!$A$2:$C$1020,3,FALSE)</f>
        <v>제노사이드 리퍼</v>
      </c>
      <c r="F1293" s="7" t="str">
        <f t="shared" ref="F1293:F1301" si="173">"오베론이 적의 주위를 순간적으로 이동하며 물리공격력의 500 % 데미지로 연속적으로 베는 공격을 한다. (각성시 공격력은 250 % 로 줄어들지만 연속타격 횟수가 크게 증가 한다.)(소환수 물리공격력 : 시전자의 "&amp;ROUND(1.2*H1293*100,0)&amp;" %)"</f>
        <v>오베론이 적의 주위를 순간적으로 이동하며 물리공격력의 500 % 데미지로 연속적으로 베는 공격을 한다. (각성시 공격력은 250 % 로 줄어들지만 연속타격 횟수가 크게 증가 한다.)(소환수 물리공격력 : 시전자의 101 %)</v>
      </c>
      <c r="G1293" s="2">
        <v>2</v>
      </c>
      <c r="H1293" s="2">
        <v>0.84</v>
      </c>
      <c r="I1293" s="2">
        <v>30</v>
      </c>
      <c r="J1293" s="2">
        <v>300</v>
      </c>
      <c r="K1293" s="2">
        <v>0</v>
      </c>
      <c r="L1293" s="2">
        <v>0</v>
      </c>
      <c r="M1293" s="2">
        <v>0</v>
      </c>
      <c r="N1293" s="2">
        <v>0</v>
      </c>
      <c r="O1293" s="2">
        <v>0</v>
      </c>
      <c r="P1293" s="2" t="s">
        <v>443</v>
      </c>
      <c r="Q1293" s="2" t="str">
        <f t="shared" si="168"/>
        <v>SI_SA_EAT_GENOCIDE_RIPPER</v>
      </c>
      <c r="R1293" s="2" t="b">
        <v>0</v>
      </c>
      <c r="S1293" s="2" t="b">
        <v>1</v>
      </c>
      <c r="T1293" s="2">
        <v>1</v>
      </c>
    </row>
    <row r="1294" spans="1:21">
      <c r="A1294" s="4">
        <v>3011</v>
      </c>
      <c r="B1294" s="7" t="str">
        <f>VLOOKUP($A1294,SkillEnum!$A$2:$C$1020,2,FALSE)</f>
        <v>SI_SA_EAT_GENOCIDE_RIPPER</v>
      </c>
      <c r="C1294" s="7">
        <v>7</v>
      </c>
      <c r="D1294" s="2" t="str">
        <f>VLOOKUP($C1294,SkillEnum!$D$2:$E$10,2,FALSE)</f>
        <v>ST_SPECIAL_ACTIVE</v>
      </c>
      <c r="E1294" s="7" t="str">
        <f>VLOOKUP($A1294,SkillEnum!$A$2:$C$1020,3,FALSE)</f>
        <v>제노사이드 리퍼</v>
      </c>
      <c r="F1294" s="7" t="str">
        <f t="shared" si="173"/>
        <v>오베론이 적의 주위를 순간적으로 이동하며 물리공격력의 500 % 데미지로 연속적으로 베는 공격을 한다. (각성시 공격력은 250 % 로 줄어들지만 연속타격 횟수가 크게 증가 한다.)(소환수 물리공격력 : 시전자의 118 %)</v>
      </c>
      <c r="G1294" s="2">
        <v>3</v>
      </c>
      <c r="H1294" s="2">
        <v>0.98</v>
      </c>
      <c r="I1294" s="2">
        <v>30</v>
      </c>
      <c r="J1294" s="2">
        <v>300</v>
      </c>
      <c r="K1294" s="2">
        <v>0</v>
      </c>
      <c r="L1294" s="2">
        <v>0</v>
      </c>
      <c r="M1294" s="2">
        <v>0</v>
      </c>
      <c r="N1294" s="2">
        <v>0</v>
      </c>
      <c r="O1294" s="2">
        <v>0</v>
      </c>
      <c r="P1294" s="2" t="s">
        <v>443</v>
      </c>
      <c r="Q1294" s="2" t="str">
        <f t="shared" si="168"/>
        <v>SI_SA_EAT_GENOCIDE_RIPPER</v>
      </c>
      <c r="R1294" s="2" t="b">
        <v>0</v>
      </c>
      <c r="S1294" s="2" t="b">
        <v>1</v>
      </c>
      <c r="T1294" s="2">
        <v>1</v>
      </c>
    </row>
    <row r="1295" spans="1:21">
      <c r="A1295" s="4">
        <v>3011</v>
      </c>
      <c r="B1295" s="7" t="str">
        <f>VLOOKUP($A1295,SkillEnum!$A$2:$C$1020,2,FALSE)</f>
        <v>SI_SA_EAT_GENOCIDE_RIPPER</v>
      </c>
      <c r="C1295" s="7">
        <v>7</v>
      </c>
      <c r="D1295" s="2" t="str">
        <f>VLOOKUP($C1295,SkillEnum!$D$2:$E$10,2,FALSE)</f>
        <v>ST_SPECIAL_ACTIVE</v>
      </c>
      <c r="E1295" s="7" t="str">
        <f>VLOOKUP($A1295,SkillEnum!$A$2:$C$1020,3,FALSE)</f>
        <v>제노사이드 리퍼</v>
      </c>
      <c r="F1295" s="7" t="str">
        <f t="shared" si="173"/>
        <v>오베론이 적의 주위를 순간적으로 이동하며 물리공격력의 500 % 데미지로 연속적으로 베는 공격을 한다. (각성시 공격력은 250 % 로 줄어들지만 연속타격 횟수가 크게 증가 한다.)(소환수 물리공격력 : 시전자의 134 %)</v>
      </c>
      <c r="G1295" s="2">
        <v>4</v>
      </c>
      <c r="H1295" s="2">
        <v>1.1200000000000001</v>
      </c>
      <c r="I1295" s="2">
        <v>30</v>
      </c>
      <c r="J1295" s="2">
        <v>300</v>
      </c>
      <c r="K1295" s="2">
        <v>0</v>
      </c>
      <c r="L1295" s="2">
        <v>0</v>
      </c>
      <c r="M1295" s="2">
        <v>0</v>
      </c>
      <c r="N1295" s="2">
        <v>0</v>
      </c>
      <c r="O1295" s="2">
        <v>0</v>
      </c>
      <c r="P1295" s="2" t="s">
        <v>443</v>
      </c>
      <c r="Q1295" s="2" t="str">
        <f t="shared" si="168"/>
        <v>SI_SA_EAT_GENOCIDE_RIPPER</v>
      </c>
      <c r="R1295" s="2" t="b">
        <v>0</v>
      </c>
      <c r="S1295" s="2" t="b">
        <v>1</v>
      </c>
      <c r="T1295" s="2">
        <v>1</v>
      </c>
    </row>
    <row r="1296" spans="1:21">
      <c r="A1296" s="4">
        <v>3011</v>
      </c>
      <c r="B1296" s="7" t="str">
        <f>VLOOKUP($A1296,SkillEnum!$A$2:$C$1020,2,FALSE)</f>
        <v>SI_SA_EAT_GENOCIDE_RIPPER</v>
      </c>
      <c r="C1296" s="7">
        <v>7</v>
      </c>
      <c r="D1296" s="2" t="str">
        <f>VLOOKUP($C1296,SkillEnum!$D$2:$E$10,2,FALSE)</f>
        <v>ST_SPECIAL_ACTIVE</v>
      </c>
      <c r="E1296" s="7" t="str">
        <f>VLOOKUP($A1296,SkillEnum!$A$2:$C$1020,3,FALSE)</f>
        <v>제노사이드 리퍼</v>
      </c>
      <c r="F1296" s="7" t="str">
        <f t="shared" si="173"/>
        <v>오베론이 적의 주위를 순간적으로 이동하며 물리공격력의 500 % 데미지로 연속적으로 베는 공격을 한다. (각성시 공격력은 250 % 로 줄어들지만 연속타격 횟수가 크게 증가 한다.)(소환수 물리공격력 : 시전자의 160 %)</v>
      </c>
      <c r="G1296" s="2">
        <v>5</v>
      </c>
      <c r="H1296" s="2">
        <v>1.33</v>
      </c>
      <c r="I1296" s="2">
        <v>30</v>
      </c>
      <c r="J1296" s="2">
        <v>300</v>
      </c>
      <c r="K1296" s="2">
        <v>0</v>
      </c>
      <c r="L1296" s="2">
        <v>0</v>
      </c>
      <c r="M1296" s="2">
        <v>0</v>
      </c>
      <c r="N1296" s="2">
        <v>0</v>
      </c>
      <c r="O1296" s="2">
        <v>0</v>
      </c>
      <c r="P1296" s="2" t="s">
        <v>443</v>
      </c>
      <c r="Q1296" s="2" t="str">
        <f t="shared" si="168"/>
        <v>SI_SA_EAT_GENOCIDE_RIPPER</v>
      </c>
      <c r="R1296" s="2" t="b">
        <v>0</v>
      </c>
      <c r="S1296" s="2" t="b">
        <v>1</v>
      </c>
      <c r="T1296" s="2">
        <v>1</v>
      </c>
    </row>
    <row r="1297" spans="1:31">
      <c r="A1297" s="4">
        <v>3011</v>
      </c>
      <c r="B1297" s="7" t="str">
        <f>VLOOKUP($A1297,SkillEnum!$A$2:$C$1020,2,FALSE)</f>
        <v>SI_SA_EAT_GENOCIDE_RIPPER</v>
      </c>
      <c r="C1297" s="7">
        <v>7</v>
      </c>
      <c r="D1297" s="2" t="str">
        <f>VLOOKUP($C1297,SkillEnum!$D$2:$E$10,2,FALSE)</f>
        <v>ST_SPECIAL_ACTIVE</v>
      </c>
      <c r="E1297" s="7" t="str">
        <f>VLOOKUP($A1297,SkillEnum!$A$2:$C$1020,3,FALSE)</f>
        <v>제노사이드 리퍼</v>
      </c>
      <c r="F1297" s="7" t="str">
        <f t="shared" si="173"/>
        <v>오베론이 적의 주위를 순간적으로 이동하며 물리공격력의 500 % 데미지로 연속적으로 베는 공격을 한다. (각성시 공격력은 250 % 로 줄어들지만 연속타격 횟수가 크게 증가 한다.)(소환수 물리공격력 : 시전자의 185 %)</v>
      </c>
      <c r="G1297" s="2">
        <v>6</v>
      </c>
      <c r="H1297" s="2">
        <v>1.54</v>
      </c>
      <c r="I1297" s="2">
        <v>30</v>
      </c>
      <c r="J1297" s="2">
        <v>300</v>
      </c>
      <c r="K1297" s="2">
        <v>0</v>
      </c>
      <c r="L1297" s="2">
        <v>0</v>
      </c>
      <c r="M1297" s="2">
        <v>0</v>
      </c>
      <c r="N1297" s="2">
        <v>0</v>
      </c>
      <c r="O1297" s="2">
        <v>0</v>
      </c>
      <c r="P1297" s="2" t="s">
        <v>443</v>
      </c>
      <c r="Q1297" s="2" t="str">
        <f t="shared" si="168"/>
        <v>SI_SA_EAT_GENOCIDE_RIPPER</v>
      </c>
      <c r="R1297" s="2" t="b">
        <v>0</v>
      </c>
      <c r="S1297" s="2" t="b">
        <v>1</v>
      </c>
      <c r="T1297" s="2">
        <v>1</v>
      </c>
    </row>
    <row r="1298" spans="1:31">
      <c r="A1298" s="4">
        <v>3011</v>
      </c>
      <c r="B1298" s="7" t="str">
        <f>VLOOKUP($A1298,SkillEnum!$A$2:$C$1020,2,FALSE)</f>
        <v>SI_SA_EAT_GENOCIDE_RIPPER</v>
      </c>
      <c r="C1298" s="7">
        <v>7</v>
      </c>
      <c r="D1298" s="2" t="str">
        <f>VLOOKUP($C1298,SkillEnum!$D$2:$E$10,2,FALSE)</f>
        <v>ST_SPECIAL_ACTIVE</v>
      </c>
      <c r="E1298" s="7" t="str">
        <f>VLOOKUP($A1298,SkillEnum!$A$2:$C$1020,3,FALSE)</f>
        <v>제노사이드 리퍼</v>
      </c>
      <c r="F1298" s="7" t="str">
        <f t="shared" si="173"/>
        <v>오베론이 적의 주위를 순간적으로 이동하며 물리공격력의 500 % 데미지로 연속적으로 베는 공격을 한다. (각성시 공격력은 250 % 로 줄어들지만 연속타격 횟수가 크게 증가 한다.)(소환수 물리공격력 : 시전자의 210 %)</v>
      </c>
      <c r="G1298" s="2">
        <v>7</v>
      </c>
      <c r="H1298" s="2">
        <v>1.75</v>
      </c>
      <c r="I1298" s="2">
        <v>30</v>
      </c>
      <c r="J1298" s="2">
        <v>300</v>
      </c>
      <c r="K1298" s="2">
        <v>0</v>
      </c>
      <c r="L1298" s="2">
        <v>0</v>
      </c>
      <c r="M1298" s="2">
        <v>0</v>
      </c>
      <c r="N1298" s="2">
        <v>0</v>
      </c>
      <c r="O1298" s="2">
        <v>0</v>
      </c>
      <c r="P1298" s="2" t="s">
        <v>443</v>
      </c>
      <c r="Q1298" s="2" t="str">
        <f t="shared" si="168"/>
        <v>SI_SA_EAT_GENOCIDE_RIPPER</v>
      </c>
      <c r="R1298" s="2" t="b">
        <v>0</v>
      </c>
      <c r="S1298" s="2" t="b">
        <v>1</v>
      </c>
      <c r="T1298" s="2">
        <v>1</v>
      </c>
    </row>
    <row r="1299" spans="1:31">
      <c r="A1299" s="4">
        <v>3011</v>
      </c>
      <c r="B1299" s="7" t="str">
        <f>VLOOKUP($A1299,SkillEnum!$A$2:$C$1020,2,FALSE)</f>
        <v>SI_SA_EAT_GENOCIDE_RIPPER</v>
      </c>
      <c r="C1299" s="7">
        <v>7</v>
      </c>
      <c r="D1299" s="2" t="str">
        <f>VLOOKUP($C1299,SkillEnum!$D$2:$E$10,2,FALSE)</f>
        <v>ST_SPECIAL_ACTIVE</v>
      </c>
      <c r="E1299" s="7" t="str">
        <f>VLOOKUP($A1299,SkillEnum!$A$2:$C$1020,3,FALSE)</f>
        <v>제노사이드 리퍼</v>
      </c>
      <c r="F1299" s="7" t="str">
        <f t="shared" si="173"/>
        <v>오베론이 적의 주위를 순간적으로 이동하며 물리공격력의 500 % 데미지로 연속적으로 베는 공격을 한다. (각성시 공격력은 250 % 로 줄어들지만 연속타격 횟수가 크게 증가 한다.)(소환수 물리공격력 : 시전자의 235 %)</v>
      </c>
      <c r="G1299" s="2">
        <v>8</v>
      </c>
      <c r="H1299" s="2">
        <v>1.96</v>
      </c>
      <c r="I1299" s="2">
        <v>30</v>
      </c>
      <c r="J1299" s="2">
        <v>300</v>
      </c>
      <c r="K1299" s="2">
        <v>0</v>
      </c>
      <c r="L1299" s="2">
        <v>0</v>
      </c>
      <c r="M1299" s="2">
        <v>0</v>
      </c>
      <c r="N1299" s="2">
        <v>0</v>
      </c>
      <c r="O1299" s="2">
        <v>0</v>
      </c>
      <c r="P1299" s="2" t="s">
        <v>443</v>
      </c>
      <c r="Q1299" s="2" t="str">
        <f t="shared" si="168"/>
        <v>SI_SA_EAT_GENOCIDE_RIPPER</v>
      </c>
      <c r="R1299" s="2" t="b">
        <v>0</v>
      </c>
      <c r="S1299" s="2" t="b">
        <v>1</v>
      </c>
      <c r="T1299" s="2">
        <v>1</v>
      </c>
    </row>
    <row r="1300" spans="1:31">
      <c r="A1300" s="4">
        <v>3011</v>
      </c>
      <c r="B1300" s="7" t="str">
        <f>VLOOKUP($A1300,SkillEnum!$A$2:$C$1020,2,FALSE)</f>
        <v>SI_SA_EAT_GENOCIDE_RIPPER</v>
      </c>
      <c r="C1300" s="7">
        <v>7</v>
      </c>
      <c r="D1300" s="2" t="str">
        <f>VLOOKUP($C1300,SkillEnum!$D$2:$E$10,2,FALSE)</f>
        <v>ST_SPECIAL_ACTIVE</v>
      </c>
      <c r="E1300" s="7" t="str">
        <f>VLOOKUP($A1300,SkillEnum!$A$2:$C$1020,3,FALSE)</f>
        <v>제노사이드 리퍼</v>
      </c>
      <c r="F1300" s="7" t="str">
        <f t="shared" si="173"/>
        <v>오베론이 적의 주위를 순간적으로 이동하며 물리공격력의 500 % 데미지로 연속적으로 베는 공격을 한다. (각성시 공격력은 250 % 로 줄어들지만 연속타격 횟수가 크게 증가 한다.)(소환수 물리공격력 : 시전자의 269 %)</v>
      </c>
      <c r="G1300" s="2">
        <v>9</v>
      </c>
      <c r="H1300" s="2">
        <v>2.2400000000000002</v>
      </c>
      <c r="I1300" s="2">
        <v>30</v>
      </c>
      <c r="J1300" s="2">
        <v>300</v>
      </c>
      <c r="K1300" s="2">
        <v>0</v>
      </c>
      <c r="L1300" s="2">
        <v>0</v>
      </c>
      <c r="M1300" s="2">
        <v>0</v>
      </c>
      <c r="N1300" s="2">
        <v>0</v>
      </c>
      <c r="O1300" s="2">
        <v>0</v>
      </c>
      <c r="P1300" s="2" t="s">
        <v>443</v>
      </c>
      <c r="Q1300" s="2" t="str">
        <f t="shared" si="168"/>
        <v>SI_SA_EAT_GENOCIDE_RIPPER</v>
      </c>
      <c r="R1300" s="2" t="b">
        <v>0</v>
      </c>
      <c r="S1300" s="2" t="b">
        <v>1</v>
      </c>
      <c r="T1300" s="2">
        <v>1</v>
      </c>
    </row>
    <row r="1301" spans="1:31" s="5" customFormat="1">
      <c r="A1301" s="6">
        <v>3011</v>
      </c>
      <c r="B1301" s="8" t="str">
        <f>VLOOKUP($A1301,SkillEnum!$A$2:$C$1020,2,FALSE)</f>
        <v>SI_SA_EAT_GENOCIDE_RIPPER</v>
      </c>
      <c r="C1301" s="8">
        <v>7</v>
      </c>
      <c r="D1301" s="5" t="str">
        <f>VLOOKUP($C1301,SkillEnum!$D$2:$E$10,2,FALSE)</f>
        <v>ST_SPECIAL_ACTIVE</v>
      </c>
      <c r="E1301" s="8" t="str">
        <f>VLOOKUP($A1301,SkillEnum!$A$2:$C$1020,3,FALSE)</f>
        <v>제노사이드 리퍼</v>
      </c>
      <c r="F1301" s="8" t="str">
        <f t="shared" si="173"/>
        <v>오베론이 적의 주위를 순간적으로 이동하며 물리공격력의 500 % 데미지로 연속적으로 베는 공격을 한다. (각성시 공격력은 250 % 로 줄어들지만 연속타격 횟수가 크게 증가 한다.)(소환수 물리공격력 : 시전자의 302 %)</v>
      </c>
      <c r="G1301" s="5">
        <v>10</v>
      </c>
      <c r="H1301" s="5">
        <v>2.52</v>
      </c>
      <c r="I1301" s="5">
        <v>30</v>
      </c>
      <c r="J1301" s="5">
        <v>300</v>
      </c>
      <c r="K1301" s="5">
        <v>0</v>
      </c>
      <c r="L1301" s="5">
        <v>0</v>
      </c>
      <c r="M1301" s="5">
        <v>0</v>
      </c>
      <c r="N1301" s="5">
        <v>0</v>
      </c>
      <c r="O1301" s="5">
        <v>0</v>
      </c>
      <c r="P1301" s="2" t="s">
        <v>443</v>
      </c>
      <c r="Q1301" s="2" t="str">
        <f t="shared" si="168"/>
        <v>SI_SA_EAT_GENOCIDE_RIPPER</v>
      </c>
      <c r="R1301" s="5" t="b">
        <v>0</v>
      </c>
      <c r="S1301" s="2" t="b">
        <v>1</v>
      </c>
      <c r="T1301" s="2">
        <v>1</v>
      </c>
      <c r="U1301" s="2"/>
    </row>
    <row r="1302" spans="1:31">
      <c r="A1302" s="4">
        <v>3012</v>
      </c>
      <c r="B1302" s="7" t="str">
        <f>VLOOKUP($A1302,SkillEnum!$A$2:$C$1020,2,FALSE)</f>
        <v>SI_SA_EEG_IRONSCRAPS</v>
      </c>
      <c r="C1302" s="7">
        <v>7</v>
      </c>
      <c r="D1302" s="2" t="str">
        <f>VLOOKUP($C1302,SkillEnum!$D$2:$E$10,2,FALSE)</f>
        <v>ST_SPECIAL_ACTIVE</v>
      </c>
      <c r="E1302" s="11" t="str">
        <f>VLOOKUP($A1302,SkillEnum!$A$2:$C$1020,3,FALSE)</f>
        <v>아이언 스크랩스</v>
      </c>
      <c r="F1302" s="11" t="str">
        <f>"몸 안에서 "&amp;W1302&amp;"개의 금속 파편을 반경 4M 구형태로 순간적으로 뿜어 내어 타격당한 유저에게 파편 1개 당 마법공격력의 "&amp;ROUND(3*H1302*100,0)&amp;" % 데미지를 준다."</f>
        <v>몸 안에서 16개의 금속 파편을 반경 4M 구형태로 순간적으로 뿜어 내어 타격당한 유저에게 파편 1개 당 마법공격력의 210 % 데미지를 준다.</v>
      </c>
      <c r="G1302" s="10">
        <v>1</v>
      </c>
      <c r="H1302" s="2">
        <v>0.7</v>
      </c>
      <c r="I1302" s="2">
        <v>10</v>
      </c>
      <c r="J1302" s="10">
        <v>200</v>
      </c>
      <c r="K1302" s="2">
        <v>0</v>
      </c>
      <c r="L1302" s="2">
        <v>0</v>
      </c>
      <c r="M1302" s="2">
        <v>0</v>
      </c>
      <c r="N1302" s="2">
        <v>0</v>
      </c>
      <c r="O1302" s="2">
        <v>0</v>
      </c>
      <c r="P1302" s="2" t="s">
        <v>443</v>
      </c>
      <c r="Q1302" s="2" t="str">
        <f t="shared" ref="Q1302:Q1311" si="174">B1302</f>
        <v>SI_SA_EEG_IRONSCRAPS</v>
      </c>
      <c r="R1302" s="2" t="b">
        <v>0</v>
      </c>
      <c r="S1302" s="2" t="b">
        <v>1</v>
      </c>
      <c r="T1302" s="2">
        <v>2</v>
      </c>
      <c r="U1302" s="2" t="b">
        <v>1</v>
      </c>
      <c r="V1302" s="2" t="s">
        <v>252</v>
      </c>
      <c r="W1302" s="2">
        <v>16</v>
      </c>
      <c r="AE1302" s="10"/>
    </row>
    <row r="1303" spans="1:31">
      <c r="A1303" s="4">
        <v>3012</v>
      </c>
      <c r="B1303" s="7" t="str">
        <f>VLOOKUP($A1303,SkillEnum!$A$2:$C$1020,2,FALSE)</f>
        <v>SI_SA_EEG_IRONSCRAPS</v>
      </c>
      <c r="C1303" s="7">
        <v>7</v>
      </c>
      <c r="D1303" s="2" t="str">
        <f>VLOOKUP($C1303,SkillEnum!$D$2:$E$10,2,FALSE)</f>
        <v>ST_SPECIAL_ACTIVE</v>
      </c>
      <c r="E1303" s="7" t="str">
        <f>VLOOKUP($A1303,SkillEnum!$A$2:$C$1020,3,FALSE)</f>
        <v>아이언 스크랩스</v>
      </c>
      <c r="F1303" s="7" t="str">
        <f t="shared" ref="F1303:F1311" si="175">"몸 안에서 "&amp;W1303&amp;"개의 금속 파편을 반경 4M 구형태로 순간적으로 뿜어 내어 타격당한 유저에게 파편 1개 당 마법공격력의 "&amp;ROUND(3*H1303*100,0)&amp;" % 데미지를 준다."</f>
        <v>몸 안에서 18개의 금속 파편을 반경 4M 구형태로 순간적으로 뿜어 내어 타격당한 유저에게 파편 1개 당 마법공격력의 252 % 데미지를 준다.</v>
      </c>
      <c r="G1303" s="2">
        <v>2</v>
      </c>
      <c r="H1303" s="2">
        <v>0.84</v>
      </c>
      <c r="I1303" s="2">
        <v>10</v>
      </c>
      <c r="J1303" s="2">
        <v>200</v>
      </c>
      <c r="K1303" s="2">
        <v>0</v>
      </c>
      <c r="L1303" s="2">
        <v>0</v>
      </c>
      <c r="M1303" s="2">
        <v>0</v>
      </c>
      <c r="N1303" s="2">
        <v>0</v>
      </c>
      <c r="O1303" s="2">
        <v>0</v>
      </c>
      <c r="P1303" s="2" t="s">
        <v>443</v>
      </c>
      <c r="Q1303" s="2" t="str">
        <f t="shared" si="174"/>
        <v>SI_SA_EEG_IRONSCRAPS</v>
      </c>
      <c r="R1303" s="2" t="b">
        <v>0</v>
      </c>
      <c r="S1303" s="2" t="b">
        <v>1</v>
      </c>
      <c r="T1303" s="2">
        <v>2</v>
      </c>
      <c r="U1303" s="2" t="b">
        <v>1</v>
      </c>
      <c r="V1303" s="2" t="s">
        <v>252</v>
      </c>
      <c r="W1303" s="2">
        <v>18</v>
      </c>
    </row>
    <row r="1304" spans="1:31">
      <c r="A1304" s="4">
        <v>3012</v>
      </c>
      <c r="B1304" s="7" t="str">
        <f>VLOOKUP($A1304,SkillEnum!$A$2:$C$1020,2,FALSE)</f>
        <v>SI_SA_EEG_IRONSCRAPS</v>
      </c>
      <c r="C1304" s="7">
        <v>7</v>
      </c>
      <c r="D1304" s="2" t="str">
        <f>VLOOKUP($C1304,SkillEnum!$D$2:$E$10,2,FALSE)</f>
        <v>ST_SPECIAL_ACTIVE</v>
      </c>
      <c r="E1304" s="7" t="str">
        <f>VLOOKUP($A1304,SkillEnum!$A$2:$C$1020,3,FALSE)</f>
        <v>아이언 스크랩스</v>
      </c>
      <c r="F1304" s="7" t="str">
        <f t="shared" si="175"/>
        <v>몸 안에서 20개의 금속 파편을 반경 4M 구형태로 순간적으로 뿜어 내어 타격당한 유저에게 파편 1개 당 마법공격력의 294 % 데미지를 준다.</v>
      </c>
      <c r="G1304" s="2">
        <v>3</v>
      </c>
      <c r="H1304" s="2">
        <v>0.98</v>
      </c>
      <c r="I1304" s="2">
        <v>10</v>
      </c>
      <c r="J1304" s="2">
        <v>200</v>
      </c>
      <c r="K1304" s="2">
        <v>0</v>
      </c>
      <c r="L1304" s="2">
        <v>0</v>
      </c>
      <c r="M1304" s="2">
        <v>0</v>
      </c>
      <c r="N1304" s="2">
        <v>0</v>
      </c>
      <c r="O1304" s="2">
        <v>0</v>
      </c>
      <c r="P1304" s="2" t="s">
        <v>443</v>
      </c>
      <c r="Q1304" s="2" t="str">
        <f t="shared" si="174"/>
        <v>SI_SA_EEG_IRONSCRAPS</v>
      </c>
      <c r="R1304" s="2" t="b">
        <v>0</v>
      </c>
      <c r="S1304" s="2" t="b">
        <v>1</v>
      </c>
      <c r="T1304" s="2">
        <v>2</v>
      </c>
      <c r="U1304" s="2" t="b">
        <v>1</v>
      </c>
      <c r="V1304" s="2" t="s">
        <v>252</v>
      </c>
      <c r="W1304" s="2">
        <v>20</v>
      </c>
    </row>
    <row r="1305" spans="1:31">
      <c r="A1305" s="4">
        <v>3012</v>
      </c>
      <c r="B1305" s="7" t="str">
        <f>VLOOKUP($A1305,SkillEnum!$A$2:$C$1020,2,FALSE)</f>
        <v>SI_SA_EEG_IRONSCRAPS</v>
      </c>
      <c r="C1305" s="7">
        <v>7</v>
      </c>
      <c r="D1305" s="2" t="str">
        <f>VLOOKUP($C1305,SkillEnum!$D$2:$E$10,2,FALSE)</f>
        <v>ST_SPECIAL_ACTIVE</v>
      </c>
      <c r="E1305" s="7" t="str">
        <f>VLOOKUP($A1305,SkillEnum!$A$2:$C$1020,3,FALSE)</f>
        <v>아이언 스크랩스</v>
      </c>
      <c r="F1305" s="7" t="str">
        <f t="shared" si="175"/>
        <v>몸 안에서 22개의 금속 파편을 반경 4M 구형태로 순간적으로 뿜어 내어 타격당한 유저에게 파편 1개 당 마법공격력의 336 % 데미지를 준다.</v>
      </c>
      <c r="G1305" s="2">
        <v>4</v>
      </c>
      <c r="H1305" s="2">
        <v>1.1200000000000001</v>
      </c>
      <c r="I1305" s="2">
        <v>10</v>
      </c>
      <c r="J1305" s="2">
        <v>200</v>
      </c>
      <c r="K1305" s="2">
        <v>0</v>
      </c>
      <c r="L1305" s="2">
        <v>0</v>
      </c>
      <c r="M1305" s="2">
        <v>0</v>
      </c>
      <c r="N1305" s="2">
        <v>0</v>
      </c>
      <c r="O1305" s="2">
        <v>0</v>
      </c>
      <c r="P1305" s="2" t="s">
        <v>443</v>
      </c>
      <c r="Q1305" s="2" t="str">
        <f t="shared" si="174"/>
        <v>SI_SA_EEG_IRONSCRAPS</v>
      </c>
      <c r="R1305" s="2" t="b">
        <v>0</v>
      </c>
      <c r="S1305" s="2" t="b">
        <v>1</v>
      </c>
      <c r="T1305" s="2">
        <v>2</v>
      </c>
      <c r="U1305" s="2" t="b">
        <v>1</v>
      </c>
      <c r="V1305" s="2" t="s">
        <v>252</v>
      </c>
      <c r="W1305" s="2">
        <v>22</v>
      </c>
    </row>
    <row r="1306" spans="1:31">
      <c r="A1306" s="4">
        <v>3012</v>
      </c>
      <c r="B1306" s="7" t="str">
        <f>VLOOKUP($A1306,SkillEnum!$A$2:$C$1020,2,FALSE)</f>
        <v>SI_SA_EEG_IRONSCRAPS</v>
      </c>
      <c r="C1306" s="7">
        <v>7</v>
      </c>
      <c r="D1306" s="2" t="str">
        <f>VLOOKUP($C1306,SkillEnum!$D$2:$E$10,2,FALSE)</f>
        <v>ST_SPECIAL_ACTIVE</v>
      </c>
      <c r="E1306" s="7" t="str">
        <f>VLOOKUP($A1306,SkillEnum!$A$2:$C$1020,3,FALSE)</f>
        <v>아이언 스크랩스</v>
      </c>
      <c r="F1306" s="7" t="str">
        <f t="shared" si="175"/>
        <v>몸 안에서 24개의 금속 파편을 반경 4M 구형태로 순간적으로 뿜어 내어 타격당한 유저에게 파편 1개 당 마법공격력의 399 % 데미지를 준다.</v>
      </c>
      <c r="G1306" s="2">
        <v>5</v>
      </c>
      <c r="H1306" s="2">
        <v>1.33</v>
      </c>
      <c r="I1306" s="2">
        <v>10</v>
      </c>
      <c r="J1306" s="2">
        <v>200</v>
      </c>
      <c r="K1306" s="2">
        <v>0</v>
      </c>
      <c r="L1306" s="2">
        <v>0</v>
      </c>
      <c r="M1306" s="2">
        <v>0</v>
      </c>
      <c r="N1306" s="2">
        <v>0</v>
      </c>
      <c r="O1306" s="2">
        <v>0</v>
      </c>
      <c r="P1306" s="2" t="s">
        <v>443</v>
      </c>
      <c r="Q1306" s="2" t="str">
        <f t="shared" si="174"/>
        <v>SI_SA_EEG_IRONSCRAPS</v>
      </c>
      <c r="R1306" s="2" t="b">
        <v>0</v>
      </c>
      <c r="S1306" s="2" t="b">
        <v>1</v>
      </c>
      <c r="T1306" s="2">
        <v>2</v>
      </c>
      <c r="U1306" s="2" t="b">
        <v>1</v>
      </c>
      <c r="V1306" s="2" t="s">
        <v>252</v>
      </c>
      <c r="W1306" s="2">
        <v>24</v>
      </c>
    </row>
    <row r="1307" spans="1:31">
      <c r="A1307" s="4">
        <v>3012</v>
      </c>
      <c r="B1307" s="7" t="str">
        <f>VLOOKUP($A1307,SkillEnum!$A$2:$C$1020,2,FALSE)</f>
        <v>SI_SA_EEG_IRONSCRAPS</v>
      </c>
      <c r="C1307" s="7">
        <v>7</v>
      </c>
      <c r="D1307" s="2" t="str">
        <f>VLOOKUP($C1307,SkillEnum!$D$2:$E$10,2,FALSE)</f>
        <v>ST_SPECIAL_ACTIVE</v>
      </c>
      <c r="E1307" s="7" t="str">
        <f>VLOOKUP($A1307,SkillEnum!$A$2:$C$1020,3,FALSE)</f>
        <v>아이언 스크랩스</v>
      </c>
      <c r="F1307" s="7" t="str">
        <f t="shared" si="175"/>
        <v>몸 안에서 26개의 금속 파편을 반경 4M 구형태로 순간적으로 뿜어 내어 타격당한 유저에게 파편 1개 당 마법공격력의 462 % 데미지를 준다.</v>
      </c>
      <c r="G1307" s="2">
        <v>6</v>
      </c>
      <c r="H1307" s="2">
        <v>1.54</v>
      </c>
      <c r="I1307" s="2">
        <v>10</v>
      </c>
      <c r="J1307" s="2">
        <v>200</v>
      </c>
      <c r="K1307" s="2">
        <v>0</v>
      </c>
      <c r="L1307" s="2">
        <v>0</v>
      </c>
      <c r="M1307" s="2">
        <v>0</v>
      </c>
      <c r="N1307" s="2">
        <v>0</v>
      </c>
      <c r="O1307" s="2">
        <v>0</v>
      </c>
      <c r="P1307" s="2" t="s">
        <v>443</v>
      </c>
      <c r="Q1307" s="2" t="str">
        <f t="shared" si="174"/>
        <v>SI_SA_EEG_IRONSCRAPS</v>
      </c>
      <c r="R1307" s="2" t="b">
        <v>0</v>
      </c>
      <c r="S1307" s="2" t="b">
        <v>1</v>
      </c>
      <c r="T1307" s="2">
        <v>2</v>
      </c>
      <c r="U1307" s="2" t="b">
        <v>1</v>
      </c>
      <c r="V1307" s="2" t="s">
        <v>252</v>
      </c>
      <c r="W1307" s="2">
        <v>26</v>
      </c>
    </row>
    <row r="1308" spans="1:31">
      <c r="A1308" s="4">
        <v>3012</v>
      </c>
      <c r="B1308" s="7" t="str">
        <f>VLOOKUP($A1308,SkillEnum!$A$2:$C$1020,2,FALSE)</f>
        <v>SI_SA_EEG_IRONSCRAPS</v>
      </c>
      <c r="C1308" s="7">
        <v>7</v>
      </c>
      <c r="D1308" s="2" t="str">
        <f>VLOOKUP($C1308,SkillEnum!$D$2:$E$10,2,FALSE)</f>
        <v>ST_SPECIAL_ACTIVE</v>
      </c>
      <c r="E1308" s="7" t="str">
        <f>VLOOKUP($A1308,SkillEnum!$A$2:$C$1020,3,FALSE)</f>
        <v>아이언 스크랩스</v>
      </c>
      <c r="F1308" s="7" t="str">
        <f t="shared" si="175"/>
        <v>몸 안에서 28개의 금속 파편을 반경 4M 구형태로 순간적으로 뿜어 내어 타격당한 유저에게 파편 1개 당 마법공격력의 525 % 데미지를 준다.</v>
      </c>
      <c r="G1308" s="2">
        <v>7</v>
      </c>
      <c r="H1308" s="2">
        <v>1.75</v>
      </c>
      <c r="I1308" s="2">
        <v>10</v>
      </c>
      <c r="J1308" s="2">
        <v>200</v>
      </c>
      <c r="K1308" s="2">
        <v>0</v>
      </c>
      <c r="L1308" s="2">
        <v>0</v>
      </c>
      <c r="M1308" s="2">
        <v>0</v>
      </c>
      <c r="N1308" s="2">
        <v>0</v>
      </c>
      <c r="O1308" s="2">
        <v>0</v>
      </c>
      <c r="P1308" s="2" t="s">
        <v>443</v>
      </c>
      <c r="Q1308" s="2" t="str">
        <f t="shared" si="174"/>
        <v>SI_SA_EEG_IRONSCRAPS</v>
      </c>
      <c r="R1308" s="2" t="b">
        <v>0</v>
      </c>
      <c r="S1308" s="2" t="b">
        <v>1</v>
      </c>
      <c r="T1308" s="2">
        <v>2</v>
      </c>
      <c r="U1308" s="2" t="b">
        <v>1</v>
      </c>
      <c r="V1308" s="2" t="s">
        <v>252</v>
      </c>
      <c r="W1308" s="2">
        <v>28</v>
      </c>
    </row>
    <row r="1309" spans="1:31">
      <c r="A1309" s="4">
        <v>3012</v>
      </c>
      <c r="B1309" s="7" t="str">
        <f>VLOOKUP($A1309,SkillEnum!$A$2:$C$1020,2,FALSE)</f>
        <v>SI_SA_EEG_IRONSCRAPS</v>
      </c>
      <c r="C1309" s="7">
        <v>7</v>
      </c>
      <c r="D1309" s="2" t="str">
        <f>VLOOKUP($C1309,SkillEnum!$D$2:$E$10,2,FALSE)</f>
        <v>ST_SPECIAL_ACTIVE</v>
      </c>
      <c r="E1309" s="7" t="str">
        <f>VLOOKUP($A1309,SkillEnum!$A$2:$C$1020,3,FALSE)</f>
        <v>아이언 스크랩스</v>
      </c>
      <c r="F1309" s="7" t="str">
        <f t="shared" si="175"/>
        <v>몸 안에서 30개의 금속 파편을 반경 4M 구형태로 순간적으로 뿜어 내어 타격당한 유저에게 파편 1개 당 마법공격력의 588 % 데미지를 준다.</v>
      </c>
      <c r="G1309" s="2">
        <v>8</v>
      </c>
      <c r="H1309" s="2">
        <v>1.96</v>
      </c>
      <c r="I1309" s="2">
        <v>10</v>
      </c>
      <c r="J1309" s="2">
        <v>200</v>
      </c>
      <c r="K1309" s="2">
        <v>0</v>
      </c>
      <c r="L1309" s="2">
        <v>0</v>
      </c>
      <c r="M1309" s="2">
        <v>0</v>
      </c>
      <c r="N1309" s="2">
        <v>0</v>
      </c>
      <c r="O1309" s="2">
        <v>0</v>
      </c>
      <c r="P1309" s="2" t="s">
        <v>443</v>
      </c>
      <c r="Q1309" s="2" t="str">
        <f t="shared" si="174"/>
        <v>SI_SA_EEG_IRONSCRAPS</v>
      </c>
      <c r="R1309" s="2" t="b">
        <v>0</v>
      </c>
      <c r="S1309" s="2" t="b">
        <v>1</v>
      </c>
      <c r="T1309" s="2">
        <v>2</v>
      </c>
      <c r="U1309" s="2" t="b">
        <v>1</v>
      </c>
      <c r="V1309" s="2" t="s">
        <v>252</v>
      </c>
      <c r="W1309" s="2">
        <v>30</v>
      </c>
    </row>
    <row r="1310" spans="1:31">
      <c r="A1310" s="4">
        <v>3012</v>
      </c>
      <c r="B1310" s="7" t="str">
        <f>VLOOKUP($A1310,SkillEnum!$A$2:$C$1020,2,FALSE)</f>
        <v>SI_SA_EEG_IRONSCRAPS</v>
      </c>
      <c r="C1310" s="7">
        <v>7</v>
      </c>
      <c r="D1310" s="2" t="str">
        <f>VLOOKUP($C1310,SkillEnum!$D$2:$E$10,2,FALSE)</f>
        <v>ST_SPECIAL_ACTIVE</v>
      </c>
      <c r="E1310" s="7" t="str">
        <f>VLOOKUP($A1310,SkillEnum!$A$2:$C$1020,3,FALSE)</f>
        <v>아이언 스크랩스</v>
      </c>
      <c r="F1310" s="7" t="str">
        <f t="shared" si="175"/>
        <v>몸 안에서 32개의 금속 파편을 반경 4M 구형태로 순간적으로 뿜어 내어 타격당한 유저에게 파편 1개 당 마법공격력의 672 % 데미지를 준다.</v>
      </c>
      <c r="G1310" s="2">
        <v>9</v>
      </c>
      <c r="H1310" s="2">
        <v>2.2400000000000002</v>
      </c>
      <c r="I1310" s="2">
        <v>10</v>
      </c>
      <c r="J1310" s="2">
        <v>200</v>
      </c>
      <c r="K1310" s="2">
        <v>0</v>
      </c>
      <c r="L1310" s="2">
        <v>0</v>
      </c>
      <c r="M1310" s="2">
        <v>0</v>
      </c>
      <c r="N1310" s="2">
        <v>0</v>
      </c>
      <c r="O1310" s="2">
        <v>0</v>
      </c>
      <c r="P1310" s="2" t="s">
        <v>443</v>
      </c>
      <c r="Q1310" s="2" t="str">
        <f t="shared" si="174"/>
        <v>SI_SA_EEG_IRONSCRAPS</v>
      </c>
      <c r="R1310" s="2" t="b">
        <v>0</v>
      </c>
      <c r="S1310" s="2" t="b">
        <v>1</v>
      </c>
      <c r="T1310" s="2">
        <v>2</v>
      </c>
      <c r="U1310" s="2" t="b">
        <v>1</v>
      </c>
      <c r="V1310" s="2" t="s">
        <v>252</v>
      </c>
      <c r="W1310" s="2">
        <v>32</v>
      </c>
    </row>
    <row r="1311" spans="1:31" s="5" customFormat="1">
      <c r="A1311" s="6">
        <v>3012</v>
      </c>
      <c r="B1311" s="8" t="str">
        <f>VLOOKUP($A1311,SkillEnum!$A$2:$C$1020,2,FALSE)</f>
        <v>SI_SA_EEG_IRONSCRAPS</v>
      </c>
      <c r="C1311" s="8">
        <v>7</v>
      </c>
      <c r="D1311" s="5" t="str">
        <f>VLOOKUP($C1311,SkillEnum!$D$2:$E$10,2,FALSE)</f>
        <v>ST_SPECIAL_ACTIVE</v>
      </c>
      <c r="E1311" s="8" t="str">
        <f>VLOOKUP($A1311,SkillEnum!$A$2:$C$1020,3,FALSE)</f>
        <v>아이언 스크랩스</v>
      </c>
      <c r="F1311" s="8" t="str">
        <f t="shared" si="175"/>
        <v>몸 안에서 34개의 금속 파편을 반경 4M 구형태로 순간적으로 뿜어 내어 타격당한 유저에게 파편 1개 당 마법공격력의 756 % 데미지를 준다.</v>
      </c>
      <c r="G1311" s="5">
        <v>10</v>
      </c>
      <c r="H1311" s="5">
        <v>2.52</v>
      </c>
      <c r="I1311" s="5">
        <v>10</v>
      </c>
      <c r="J1311" s="5">
        <v>200</v>
      </c>
      <c r="K1311" s="5">
        <v>0</v>
      </c>
      <c r="L1311" s="5">
        <v>0</v>
      </c>
      <c r="M1311" s="5">
        <v>0</v>
      </c>
      <c r="N1311" s="5">
        <v>0</v>
      </c>
      <c r="O1311" s="5">
        <v>0</v>
      </c>
      <c r="P1311" s="2" t="s">
        <v>443</v>
      </c>
      <c r="Q1311" s="2" t="str">
        <f t="shared" si="174"/>
        <v>SI_SA_EEG_IRONSCRAPS</v>
      </c>
      <c r="R1311" s="5" t="b">
        <v>0</v>
      </c>
      <c r="S1311" s="2" t="b">
        <v>1</v>
      </c>
      <c r="T1311" s="2">
        <v>2</v>
      </c>
      <c r="U1311" s="2" t="b">
        <v>1</v>
      </c>
      <c r="V1311" s="5" t="s">
        <v>252</v>
      </c>
      <c r="W1311" s="5">
        <v>34</v>
      </c>
    </row>
    <row r="1312" spans="1:31">
      <c r="A1312" s="4">
        <v>3013</v>
      </c>
      <c r="B1312" s="7" t="str">
        <f>VLOOKUP($A1312,SkillEnum!$A$2:$C$1020,2,FALSE)</f>
        <v xml:space="preserve">SI_SA_EAT_SPACE_WRENCH </v>
      </c>
      <c r="C1312" s="7">
        <v>7</v>
      </c>
      <c r="D1312" s="2" t="str">
        <f>VLOOKUP($C1312,SkillEnum!$D$2:$E$10,2,FALSE)</f>
        <v>ST_SPECIAL_ACTIVE</v>
      </c>
      <c r="E1312" s="11" t="str">
        <f>VLOOKUP($A1312,SkillEnum!$A$2:$C$1020,3,FALSE)</f>
        <v>스페이스 렌치</v>
      </c>
      <c r="F1312" s="11" t="str">
        <f>"지상에 오베론을 소환하여 오베론으로 하여금 전방의 공간을 갈라 균열을 만들고 천천히 전진 시켜, 균열에 닿은 적들에게 마법공격력의 "&amp;ROUND(4*H1312*100,0)&amp;" %로 연속타격을 한다."</f>
        <v>지상에 오베론을 소환하여 오베론으로 하여금 전방의 공간을 갈라 균열을 만들고 천천히 전진 시켜, 균열에 닿은 적들에게 마법공격력의 280 %로 연속타격을 한다.</v>
      </c>
      <c r="G1312" s="10">
        <v>1</v>
      </c>
      <c r="H1312" s="2">
        <v>0.7</v>
      </c>
      <c r="I1312" s="2">
        <v>10</v>
      </c>
      <c r="J1312" s="10">
        <v>200</v>
      </c>
      <c r="K1312" s="2">
        <v>0</v>
      </c>
      <c r="L1312" s="2">
        <v>0</v>
      </c>
      <c r="M1312" s="2">
        <v>0</v>
      </c>
      <c r="N1312" s="2">
        <v>0</v>
      </c>
      <c r="O1312" s="2">
        <v>0</v>
      </c>
      <c r="P1312" s="2" t="s">
        <v>443</v>
      </c>
      <c r="Q1312" s="2" t="str">
        <f t="shared" ref="Q1312:Q1321" si="176">B1312</f>
        <v xml:space="preserve">SI_SA_EAT_SPACE_WRENCH </v>
      </c>
      <c r="R1312" s="2" t="b">
        <v>0</v>
      </c>
      <c r="S1312" s="2" t="b">
        <v>1</v>
      </c>
      <c r="T1312" s="2">
        <v>2</v>
      </c>
      <c r="U1312" s="2" t="b">
        <v>1</v>
      </c>
    </row>
    <row r="1313" spans="1:23">
      <c r="A1313" s="4">
        <v>3013</v>
      </c>
      <c r="B1313" s="7" t="str">
        <f>VLOOKUP($A1313,SkillEnum!$A$2:$C$1020,2,FALSE)</f>
        <v xml:space="preserve">SI_SA_EAT_SPACE_WRENCH </v>
      </c>
      <c r="C1313" s="7">
        <v>7</v>
      </c>
      <c r="D1313" s="2" t="str">
        <f>VLOOKUP($C1313,SkillEnum!$D$2:$E$10,2,FALSE)</f>
        <v>ST_SPECIAL_ACTIVE</v>
      </c>
      <c r="E1313" s="7" t="str">
        <f>VLOOKUP($A1313,SkillEnum!$A$2:$C$1020,3,FALSE)</f>
        <v>스페이스 렌치</v>
      </c>
      <c r="F1313" s="7" t="str">
        <f t="shared" ref="F1313:F1321" si="177">"지상에 오베론을 소환하여 오베론으로 하여금 전방의 공간을 갈라 균열을 만들고 천천히 전진 시켜, 균열에 닿은 적들에게 마법공격력의 "&amp;ROUND(4*H1313*100,0)&amp;" %로 연속타격을 한다."</f>
        <v>지상에 오베론을 소환하여 오베론으로 하여금 전방의 공간을 갈라 균열을 만들고 천천히 전진 시켜, 균열에 닿은 적들에게 마법공격력의 336 %로 연속타격을 한다.</v>
      </c>
      <c r="G1313" s="2">
        <v>2</v>
      </c>
      <c r="H1313" s="2">
        <v>0.84</v>
      </c>
      <c r="I1313" s="2">
        <v>10</v>
      </c>
      <c r="J1313" s="2">
        <v>200</v>
      </c>
      <c r="K1313" s="2">
        <v>0</v>
      </c>
      <c r="L1313" s="2">
        <v>0</v>
      </c>
      <c r="M1313" s="2">
        <v>0</v>
      </c>
      <c r="N1313" s="2">
        <v>0</v>
      </c>
      <c r="O1313" s="2">
        <v>0</v>
      </c>
      <c r="P1313" s="2" t="s">
        <v>443</v>
      </c>
      <c r="Q1313" s="2" t="str">
        <f t="shared" si="176"/>
        <v xml:space="preserve">SI_SA_EAT_SPACE_WRENCH </v>
      </c>
      <c r="R1313" s="2" t="b">
        <v>0</v>
      </c>
      <c r="S1313" s="2" t="b">
        <v>1</v>
      </c>
      <c r="T1313" s="2">
        <v>2</v>
      </c>
      <c r="U1313" s="2" t="b">
        <v>1</v>
      </c>
    </row>
    <row r="1314" spans="1:23">
      <c r="A1314" s="4">
        <v>3013</v>
      </c>
      <c r="B1314" s="7" t="str">
        <f>VLOOKUP($A1314,SkillEnum!$A$2:$C$1020,2,FALSE)</f>
        <v xml:space="preserve">SI_SA_EAT_SPACE_WRENCH </v>
      </c>
      <c r="C1314" s="7">
        <v>7</v>
      </c>
      <c r="D1314" s="2" t="str">
        <f>VLOOKUP($C1314,SkillEnum!$D$2:$E$10,2,FALSE)</f>
        <v>ST_SPECIAL_ACTIVE</v>
      </c>
      <c r="E1314" s="7" t="str">
        <f>VLOOKUP($A1314,SkillEnum!$A$2:$C$1020,3,FALSE)</f>
        <v>스페이스 렌치</v>
      </c>
      <c r="F1314" s="7" t="str">
        <f t="shared" si="177"/>
        <v>지상에 오베론을 소환하여 오베론으로 하여금 전방의 공간을 갈라 균열을 만들고 천천히 전진 시켜, 균열에 닿은 적들에게 마법공격력의 392 %로 연속타격을 한다.</v>
      </c>
      <c r="G1314" s="2">
        <v>3</v>
      </c>
      <c r="H1314" s="2">
        <v>0.98</v>
      </c>
      <c r="I1314" s="2">
        <v>10</v>
      </c>
      <c r="J1314" s="2">
        <v>200</v>
      </c>
      <c r="K1314" s="2">
        <v>0</v>
      </c>
      <c r="L1314" s="2">
        <v>0</v>
      </c>
      <c r="M1314" s="2">
        <v>0</v>
      </c>
      <c r="N1314" s="2">
        <v>0</v>
      </c>
      <c r="O1314" s="2">
        <v>0</v>
      </c>
      <c r="P1314" s="2" t="s">
        <v>443</v>
      </c>
      <c r="Q1314" s="2" t="str">
        <f t="shared" si="176"/>
        <v xml:space="preserve">SI_SA_EAT_SPACE_WRENCH </v>
      </c>
      <c r="R1314" s="2" t="b">
        <v>0</v>
      </c>
      <c r="S1314" s="2" t="b">
        <v>1</v>
      </c>
      <c r="T1314" s="2">
        <v>2</v>
      </c>
      <c r="U1314" s="2" t="b">
        <v>1</v>
      </c>
    </row>
    <row r="1315" spans="1:23">
      <c r="A1315" s="4">
        <v>3013</v>
      </c>
      <c r="B1315" s="7" t="str">
        <f>VLOOKUP($A1315,SkillEnum!$A$2:$C$1020,2,FALSE)</f>
        <v xml:space="preserve">SI_SA_EAT_SPACE_WRENCH </v>
      </c>
      <c r="C1315" s="7">
        <v>7</v>
      </c>
      <c r="D1315" s="2" t="str">
        <f>VLOOKUP($C1315,SkillEnum!$D$2:$E$10,2,FALSE)</f>
        <v>ST_SPECIAL_ACTIVE</v>
      </c>
      <c r="E1315" s="7" t="str">
        <f>VLOOKUP($A1315,SkillEnum!$A$2:$C$1020,3,FALSE)</f>
        <v>스페이스 렌치</v>
      </c>
      <c r="F1315" s="7" t="str">
        <f t="shared" si="177"/>
        <v>지상에 오베론을 소환하여 오베론으로 하여금 전방의 공간을 갈라 균열을 만들고 천천히 전진 시켜, 균열에 닿은 적들에게 마법공격력의 448 %로 연속타격을 한다.</v>
      </c>
      <c r="G1315" s="2">
        <v>4</v>
      </c>
      <c r="H1315" s="2">
        <v>1.1200000000000001</v>
      </c>
      <c r="I1315" s="2">
        <v>10</v>
      </c>
      <c r="J1315" s="2">
        <v>200</v>
      </c>
      <c r="K1315" s="2">
        <v>0</v>
      </c>
      <c r="L1315" s="2">
        <v>0</v>
      </c>
      <c r="M1315" s="2">
        <v>0</v>
      </c>
      <c r="N1315" s="2">
        <v>0</v>
      </c>
      <c r="O1315" s="2">
        <v>0</v>
      </c>
      <c r="P1315" s="2" t="s">
        <v>443</v>
      </c>
      <c r="Q1315" s="2" t="str">
        <f t="shared" si="176"/>
        <v xml:space="preserve">SI_SA_EAT_SPACE_WRENCH </v>
      </c>
      <c r="R1315" s="2" t="b">
        <v>0</v>
      </c>
      <c r="S1315" s="2" t="b">
        <v>1</v>
      </c>
      <c r="T1315" s="2">
        <v>2</v>
      </c>
      <c r="U1315" s="2" t="b">
        <v>1</v>
      </c>
    </row>
    <row r="1316" spans="1:23">
      <c r="A1316" s="4">
        <v>3013</v>
      </c>
      <c r="B1316" s="7" t="str">
        <f>VLOOKUP($A1316,SkillEnum!$A$2:$C$1020,2,FALSE)</f>
        <v xml:space="preserve">SI_SA_EAT_SPACE_WRENCH </v>
      </c>
      <c r="C1316" s="7">
        <v>7</v>
      </c>
      <c r="D1316" s="2" t="str">
        <f>VLOOKUP($C1316,SkillEnum!$D$2:$E$10,2,FALSE)</f>
        <v>ST_SPECIAL_ACTIVE</v>
      </c>
      <c r="E1316" s="7" t="str">
        <f>VLOOKUP($A1316,SkillEnum!$A$2:$C$1020,3,FALSE)</f>
        <v>스페이스 렌치</v>
      </c>
      <c r="F1316" s="7" t="str">
        <f t="shared" si="177"/>
        <v>지상에 오베론을 소환하여 오베론으로 하여금 전방의 공간을 갈라 균열을 만들고 천천히 전진 시켜, 균열에 닿은 적들에게 마법공격력의 532 %로 연속타격을 한다.</v>
      </c>
      <c r="G1316" s="2">
        <v>5</v>
      </c>
      <c r="H1316" s="2">
        <v>1.33</v>
      </c>
      <c r="I1316" s="2">
        <v>10</v>
      </c>
      <c r="J1316" s="2">
        <v>200</v>
      </c>
      <c r="K1316" s="2">
        <v>0</v>
      </c>
      <c r="L1316" s="2">
        <v>0</v>
      </c>
      <c r="M1316" s="2">
        <v>0</v>
      </c>
      <c r="N1316" s="2">
        <v>0</v>
      </c>
      <c r="O1316" s="2">
        <v>0</v>
      </c>
      <c r="P1316" s="2" t="s">
        <v>443</v>
      </c>
      <c r="Q1316" s="2" t="str">
        <f t="shared" si="176"/>
        <v xml:space="preserve">SI_SA_EAT_SPACE_WRENCH </v>
      </c>
      <c r="R1316" s="2" t="b">
        <v>0</v>
      </c>
      <c r="S1316" s="2" t="b">
        <v>1</v>
      </c>
      <c r="T1316" s="2">
        <v>2</v>
      </c>
      <c r="U1316" s="2" t="b">
        <v>1</v>
      </c>
    </row>
    <row r="1317" spans="1:23">
      <c r="A1317" s="4">
        <v>3013</v>
      </c>
      <c r="B1317" s="7" t="str">
        <f>VLOOKUP($A1317,SkillEnum!$A$2:$C$1020,2,FALSE)</f>
        <v xml:space="preserve">SI_SA_EAT_SPACE_WRENCH </v>
      </c>
      <c r="C1317" s="7">
        <v>7</v>
      </c>
      <c r="D1317" s="2" t="str">
        <f>VLOOKUP($C1317,SkillEnum!$D$2:$E$10,2,FALSE)</f>
        <v>ST_SPECIAL_ACTIVE</v>
      </c>
      <c r="E1317" s="7" t="str">
        <f>VLOOKUP($A1317,SkillEnum!$A$2:$C$1020,3,FALSE)</f>
        <v>스페이스 렌치</v>
      </c>
      <c r="F1317" s="7" t="str">
        <f t="shared" si="177"/>
        <v>지상에 오베론을 소환하여 오베론으로 하여금 전방의 공간을 갈라 균열을 만들고 천천히 전진 시켜, 균열에 닿은 적들에게 마법공격력의 616 %로 연속타격을 한다.</v>
      </c>
      <c r="G1317" s="2">
        <v>6</v>
      </c>
      <c r="H1317" s="2">
        <v>1.54</v>
      </c>
      <c r="I1317" s="2">
        <v>10</v>
      </c>
      <c r="J1317" s="2">
        <v>200</v>
      </c>
      <c r="K1317" s="2">
        <v>0</v>
      </c>
      <c r="L1317" s="2">
        <v>0</v>
      </c>
      <c r="M1317" s="2">
        <v>0</v>
      </c>
      <c r="N1317" s="2">
        <v>0</v>
      </c>
      <c r="O1317" s="2">
        <v>0</v>
      </c>
      <c r="P1317" s="2" t="s">
        <v>443</v>
      </c>
      <c r="Q1317" s="2" t="str">
        <f t="shared" si="176"/>
        <v xml:space="preserve">SI_SA_EAT_SPACE_WRENCH </v>
      </c>
      <c r="R1317" s="2" t="b">
        <v>0</v>
      </c>
      <c r="S1317" s="2" t="b">
        <v>1</v>
      </c>
      <c r="T1317" s="2">
        <v>2</v>
      </c>
      <c r="U1317" s="2" t="b">
        <v>1</v>
      </c>
    </row>
    <row r="1318" spans="1:23">
      <c r="A1318" s="4">
        <v>3013</v>
      </c>
      <c r="B1318" s="7" t="str">
        <f>VLOOKUP($A1318,SkillEnum!$A$2:$C$1020,2,FALSE)</f>
        <v xml:space="preserve">SI_SA_EAT_SPACE_WRENCH </v>
      </c>
      <c r="C1318" s="7">
        <v>7</v>
      </c>
      <c r="D1318" s="2" t="str">
        <f>VLOOKUP($C1318,SkillEnum!$D$2:$E$10,2,FALSE)</f>
        <v>ST_SPECIAL_ACTIVE</v>
      </c>
      <c r="E1318" s="7" t="str">
        <f>VLOOKUP($A1318,SkillEnum!$A$2:$C$1020,3,FALSE)</f>
        <v>스페이스 렌치</v>
      </c>
      <c r="F1318" s="7" t="str">
        <f t="shared" si="177"/>
        <v>지상에 오베론을 소환하여 오베론으로 하여금 전방의 공간을 갈라 균열을 만들고 천천히 전진 시켜, 균열에 닿은 적들에게 마법공격력의 700 %로 연속타격을 한다.</v>
      </c>
      <c r="G1318" s="2">
        <v>7</v>
      </c>
      <c r="H1318" s="2">
        <v>1.75</v>
      </c>
      <c r="I1318" s="2">
        <v>10</v>
      </c>
      <c r="J1318" s="2">
        <v>200</v>
      </c>
      <c r="K1318" s="2">
        <v>0</v>
      </c>
      <c r="L1318" s="2">
        <v>0</v>
      </c>
      <c r="M1318" s="2">
        <v>0</v>
      </c>
      <c r="N1318" s="2">
        <v>0</v>
      </c>
      <c r="O1318" s="2">
        <v>0</v>
      </c>
      <c r="P1318" s="2" t="s">
        <v>443</v>
      </c>
      <c r="Q1318" s="2" t="str">
        <f t="shared" si="176"/>
        <v xml:space="preserve">SI_SA_EAT_SPACE_WRENCH </v>
      </c>
      <c r="R1318" s="2" t="b">
        <v>0</v>
      </c>
      <c r="S1318" s="2" t="b">
        <v>1</v>
      </c>
      <c r="T1318" s="2">
        <v>2</v>
      </c>
      <c r="U1318" s="2" t="b">
        <v>1</v>
      </c>
    </row>
    <row r="1319" spans="1:23">
      <c r="A1319" s="4">
        <v>3013</v>
      </c>
      <c r="B1319" s="7" t="str">
        <f>VLOOKUP($A1319,SkillEnum!$A$2:$C$1020,2,FALSE)</f>
        <v xml:space="preserve">SI_SA_EAT_SPACE_WRENCH </v>
      </c>
      <c r="C1319" s="7">
        <v>7</v>
      </c>
      <c r="D1319" s="2" t="str">
        <f>VLOOKUP($C1319,SkillEnum!$D$2:$E$10,2,FALSE)</f>
        <v>ST_SPECIAL_ACTIVE</v>
      </c>
      <c r="E1319" s="7" t="str">
        <f>VLOOKUP($A1319,SkillEnum!$A$2:$C$1020,3,FALSE)</f>
        <v>스페이스 렌치</v>
      </c>
      <c r="F1319" s="7" t="str">
        <f t="shared" si="177"/>
        <v>지상에 오베론을 소환하여 오베론으로 하여금 전방의 공간을 갈라 균열을 만들고 천천히 전진 시켜, 균열에 닿은 적들에게 마법공격력의 784 %로 연속타격을 한다.</v>
      </c>
      <c r="G1319" s="2">
        <v>8</v>
      </c>
      <c r="H1319" s="2">
        <v>1.96</v>
      </c>
      <c r="I1319" s="2">
        <v>10</v>
      </c>
      <c r="J1319" s="2">
        <v>200</v>
      </c>
      <c r="K1319" s="2">
        <v>0</v>
      </c>
      <c r="L1319" s="2">
        <v>0</v>
      </c>
      <c r="M1319" s="2">
        <v>0</v>
      </c>
      <c r="N1319" s="2">
        <v>0</v>
      </c>
      <c r="O1319" s="2">
        <v>0</v>
      </c>
      <c r="P1319" s="2" t="s">
        <v>443</v>
      </c>
      <c r="Q1319" s="2" t="str">
        <f t="shared" si="176"/>
        <v xml:space="preserve">SI_SA_EAT_SPACE_WRENCH </v>
      </c>
      <c r="R1319" s="2" t="b">
        <v>0</v>
      </c>
      <c r="S1319" s="2" t="b">
        <v>1</v>
      </c>
      <c r="T1319" s="2">
        <v>2</v>
      </c>
      <c r="U1319" s="2" t="b">
        <v>1</v>
      </c>
    </row>
    <row r="1320" spans="1:23">
      <c r="A1320" s="4">
        <v>3013</v>
      </c>
      <c r="B1320" s="7" t="str">
        <f>VLOOKUP($A1320,SkillEnum!$A$2:$C$1020,2,FALSE)</f>
        <v xml:space="preserve">SI_SA_EAT_SPACE_WRENCH </v>
      </c>
      <c r="C1320" s="7">
        <v>7</v>
      </c>
      <c r="D1320" s="2" t="str">
        <f>VLOOKUP($C1320,SkillEnum!$D$2:$E$10,2,FALSE)</f>
        <v>ST_SPECIAL_ACTIVE</v>
      </c>
      <c r="E1320" s="7" t="str">
        <f>VLOOKUP($A1320,SkillEnum!$A$2:$C$1020,3,FALSE)</f>
        <v>스페이스 렌치</v>
      </c>
      <c r="F1320" s="7" t="str">
        <f t="shared" si="177"/>
        <v>지상에 오베론을 소환하여 오베론으로 하여금 전방의 공간을 갈라 균열을 만들고 천천히 전진 시켜, 균열에 닿은 적들에게 마법공격력의 896 %로 연속타격을 한다.</v>
      </c>
      <c r="G1320" s="2">
        <v>9</v>
      </c>
      <c r="H1320" s="2">
        <v>2.2400000000000002</v>
      </c>
      <c r="I1320" s="2">
        <v>10</v>
      </c>
      <c r="J1320" s="2">
        <v>200</v>
      </c>
      <c r="K1320" s="2">
        <v>0</v>
      </c>
      <c r="L1320" s="2">
        <v>0</v>
      </c>
      <c r="M1320" s="2">
        <v>0</v>
      </c>
      <c r="N1320" s="2">
        <v>0</v>
      </c>
      <c r="O1320" s="2">
        <v>0</v>
      </c>
      <c r="P1320" s="2" t="s">
        <v>443</v>
      </c>
      <c r="Q1320" s="2" t="str">
        <f t="shared" si="176"/>
        <v xml:space="preserve">SI_SA_EAT_SPACE_WRENCH </v>
      </c>
      <c r="R1320" s="2" t="b">
        <v>0</v>
      </c>
      <c r="S1320" s="2" t="b">
        <v>1</v>
      </c>
      <c r="T1320" s="2">
        <v>2</v>
      </c>
      <c r="U1320" s="2" t="b">
        <v>1</v>
      </c>
    </row>
    <row r="1321" spans="1:23" s="5" customFormat="1">
      <c r="A1321" s="6">
        <v>3013</v>
      </c>
      <c r="B1321" s="8" t="str">
        <f>VLOOKUP($A1321,SkillEnum!$A$2:$C$1020,2,FALSE)</f>
        <v xml:space="preserve">SI_SA_EAT_SPACE_WRENCH </v>
      </c>
      <c r="C1321" s="8">
        <v>7</v>
      </c>
      <c r="D1321" s="5" t="str">
        <f>VLOOKUP($C1321,SkillEnum!$D$2:$E$10,2,FALSE)</f>
        <v>ST_SPECIAL_ACTIVE</v>
      </c>
      <c r="E1321" s="8" t="str">
        <f>VLOOKUP($A1321,SkillEnum!$A$2:$C$1020,3,FALSE)</f>
        <v>스페이스 렌치</v>
      </c>
      <c r="F1321" s="8" t="str">
        <f t="shared" si="177"/>
        <v>지상에 오베론을 소환하여 오베론으로 하여금 전방의 공간을 갈라 균열을 만들고 천천히 전진 시켜, 균열에 닿은 적들에게 마법공격력의 1008 %로 연속타격을 한다.</v>
      </c>
      <c r="G1321" s="5">
        <v>10</v>
      </c>
      <c r="H1321" s="5">
        <v>2.52</v>
      </c>
      <c r="I1321" s="5">
        <v>10</v>
      </c>
      <c r="J1321" s="5">
        <v>200</v>
      </c>
      <c r="K1321" s="5">
        <v>0</v>
      </c>
      <c r="L1321" s="5">
        <v>0</v>
      </c>
      <c r="M1321" s="5">
        <v>0</v>
      </c>
      <c r="N1321" s="5">
        <v>0</v>
      </c>
      <c r="O1321" s="5">
        <v>0</v>
      </c>
      <c r="P1321" s="2" t="s">
        <v>443</v>
      </c>
      <c r="Q1321" s="2" t="str">
        <f t="shared" si="176"/>
        <v xml:space="preserve">SI_SA_EAT_SPACE_WRENCH </v>
      </c>
      <c r="R1321" s="5" t="b">
        <v>0</v>
      </c>
      <c r="S1321" s="2" t="b">
        <v>1</v>
      </c>
      <c r="T1321" s="2">
        <v>2</v>
      </c>
      <c r="U1321" s="2" t="b">
        <v>1</v>
      </c>
    </row>
    <row r="1322" spans="1:23">
      <c r="A1322" s="4">
        <v>3200</v>
      </c>
      <c r="B1322" s="7" t="str">
        <f>VLOOKUP($A1322,SkillEnum!$A$2:$C$1020,2,FALSE)</f>
        <v>SI_A_EN_CLOAKING</v>
      </c>
      <c r="C1322" s="7">
        <v>6</v>
      </c>
      <c r="D1322" s="2" t="str">
        <f>VLOOKUP($C1322,SkillEnum!$D$2:$E$10,2,FALSE)</f>
        <v>ST_ACTIVE</v>
      </c>
      <c r="E1322" s="11" t="str">
        <f>VLOOKUP($A1322,SkillEnum!$A$2:$C$1020,3,FALSE)</f>
        <v>클로킹</v>
      </c>
      <c r="F1322" s="11" t="str">
        <f t="shared" ref="F1322:F1331" si="178">W1322&amp;" 초간 모습을 감추어 적에게 보이지 않는다."</f>
        <v>3 초간 모습을 감추어 적에게 보이지 않는다.</v>
      </c>
      <c r="G1322" s="10">
        <v>1</v>
      </c>
      <c r="H1322" s="2">
        <v>1</v>
      </c>
      <c r="I1322" s="2">
        <v>0</v>
      </c>
      <c r="J1322" s="10">
        <v>35</v>
      </c>
      <c r="K1322" s="2">
        <v>0</v>
      </c>
      <c r="L1322" s="2">
        <v>0</v>
      </c>
      <c r="M1322" s="2">
        <v>0</v>
      </c>
      <c r="N1322" s="2">
        <v>0</v>
      </c>
      <c r="O1322" s="2">
        <v>0</v>
      </c>
      <c r="P1322" s="2" t="s">
        <v>443</v>
      </c>
      <c r="Q1322" s="2" t="str">
        <f t="shared" si="168"/>
        <v>SI_A_EN_CLOAKING</v>
      </c>
      <c r="R1322" s="2" t="b">
        <v>0</v>
      </c>
      <c r="S1322" s="2" t="b">
        <v>0</v>
      </c>
      <c r="T1322" s="2">
        <v>1</v>
      </c>
      <c r="V1322" s="2" t="s">
        <v>262</v>
      </c>
      <c r="W1322" s="2">
        <v>3</v>
      </c>
    </row>
    <row r="1323" spans="1:23">
      <c r="A1323" s="4">
        <v>3200</v>
      </c>
      <c r="B1323" s="7" t="str">
        <f>VLOOKUP($A1323,SkillEnum!$A$2:$C$1020,2,FALSE)</f>
        <v>SI_A_EN_CLOAKING</v>
      </c>
      <c r="C1323" s="7">
        <v>6</v>
      </c>
      <c r="D1323" s="2" t="str">
        <f>VLOOKUP($C1323,SkillEnum!$D$2:$E$10,2,FALSE)</f>
        <v>ST_ACTIVE</v>
      </c>
      <c r="E1323" s="7" t="str">
        <f>VLOOKUP($A1323,SkillEnum!$A$2:$C$1020,3,FALSE)</f>
        <v>클로킹</v>
      </c>
      <c r="F1323" s="7" t="str">
        <f t="shared" si="178"/>
        <v>3 초간 모습을 감추어 적에게 보이지 않는다.</v>
      </c>
      <c r="G1323" s="2">
        <v>2</v>
      </c>
      <c r="H1323" s="2">
        <v>1</v>
      </c>
      <c r="I1323" s="2">
        <v>0</v>
      </c>
      <c r="J1323" s="2">
        <v>35</v>
      </c>
      <c r="K1323" s="2">
        <v>0</v>
      </c>
      <c r="L1323" s="2">
        <v>0</v>
      </c>
      <c r="M1323" s="2">
        <v>0</v>
      </c>
      <c r="N1323" s="2">
        <v>0</v>
      </c>
      <c r="O1323" s="2">
        <v>0</v>
      </c>
      <c r="P1323" s="2" t="s">
        <v>443</v>
      </c>
      <c r="Q1323" s="2" t="str">
        <f t="shared" si="168"/>
        <v>SI_A_EN_CLOAKING</v>
      </c>
      <c r="R1323" s="2" t="b">
        <v>0</v>
      </c>
      <c r="S1323" s="2" t="b">
        <v>0</v>
      </c>
      <c r="T1323" s="2">
        <v>1</v>
      </c>
      <c r="V1323" s="2" t="s">
        <v>262</v>
      </c>
      <c r="W1323" s="2">
        <v>3</v>
      </c>
    </row>
    <row r="1324" spans="1:23">
      <c r="A1324" s="4">
        <v>3200</v>
      </c>
      <c r="B1324" s="7" t="str">
        <f>VLOOKUP($A1324,SkillEnum!$A$2:$C$1020,2,FALSE)</f>
        <v>SI_A_EN_CLOAKING</v>
      </c>
      <c r="C1324" s="7">
        <v>6</v>
      </c>
      <c r="D1324" s="2" t="str">
        <f>VLOOKUP($C1324,SkillEnum!$D$2:$E$10,2,FALSE)</f>
        <v>ST_ACTIVE</v>
      </c>
      <c r="E1324" s="7" t="str">
        <f>VLOOKUP($A1324,SkillEnum!$A$2:$C$1020,3,FALSE)</f>
        <v>클로킹</v>
      </c>
      <c r="F1324" s="7" t="str">
        <f t="shared" si="178"/>
        <v>3 초간 모습을 감추어 적에게 보이지 않는다.</v>
      </c>
      <c r="G1324" s="2">
        <v>3</v>
      </c>
      <c r="H1324" s="2">
        <v>1</v>
      </c>
      <c r="I1324" s="2">
        <v>0</v>
      </c>
      <c r="J1324" s="2">
        <v>35</v>
      </c>
      <c r="K1324" s="2">
        <v>0</v>
      </c>
      <c r="L1324" s="2">
        <v>0</v>
      </c>
      <c r="M1324" s="2">
        <v>0</v>
      </c>
      <c r="N1324" s="2">
        <v>0</v>
      </c>
      <c r="O1324" s="2">
        <v>0</v>
      </c>
      <c r="P1324" s="2" t="s">
        <v>443</v>
      </c>
      <c r="Q1324" s="2" t="str">
        <f t="shared" si="168"/>
        <v>SI_A_EN_CLOAKING</v>
      </c>
      <c r="R1324" s="2" t="b">
        <v>0</v>
      </c>
      <c r="S1324" s="2" t="b">
        <v>0</v>
      </c>
      <c r="T1324" s="2">
        <v>1</v>
      </c>
      <c r="V1324" s="2" t="s">
        <v>262</v>
      </c>
      <c r="W1324" s="2">
        <v>3</v>
      </c>
    </row>
    <row r="1325" spans="1:23">
      <c r="A1325" s="4">
        <v>3200</v>
      </c>
      <c r="B1325" s="7" t="str">
        <f>VLOOKUP($A1325,SkillEnum!$A$2:$C$1020,2,FALSE)</f>
        <v>SI_A_EN_CLOAKING</v>
      </c>
      <c r="C1325" s="7">
        <v>6</v>
      </c>
      <c r="D1325" s="2" t="str">
        <f>VLOOKUP($C1325,SkillEnum!$D$2:$E$10,2,FALSE)</f>
        <v>ST_ACTIVE</v>
      </c>
      <c r="E1325" s="7" t="str">
        <f>VLOOKUP($A1325,SkillEnum!$A$2:$C$1020,3,FALSE)</f>
        <v>클로킹</v>
      </c>
      <c r="F1325" s="7" t="str">
        <f t="shared" si="178"/>
        <v>3 초간 모습을 감추어 적에게 보이지 않는다.</v>
      </c>
      <c r="G1325" s="2">
        <v>4</v>
      </c>
      <c r="H1325" s="2">
        <v>1</v>
      </c>
      <c r="I1325" s="2">
        <v>0</v>
      </c>
      <c r="J1325" s="2">
        <v>35</v>
      </c>
      <c r="K1325" s="2">
        <v>0</v>
      </c>
      <c r="L1325" s="2">
        <v>0</v>
      </c>
      <c r="M1325" s="2">
        <v>0</v>
      </c>
      <c r="N1325" s="2">
        <v>0</v>
      </c>
      <c r="O1325" s="2">
        <v>0</v>
      </c>
      <c r="P1325" s="2" t="s">
        <v>443</v>
      </c>
      <c r="Q1325" s="2" t="str">
        <f t="shared" si="168"/>
        <v>SI_A_EN_CLOAKING</v>
      </c>
      <c r="R1325" s="2" t="b">
        <v>0</v>
      </c>
      <c r="S1325" s="2" t="b">
        <v>0</v>
      </c>
      <c r="T1325" s="2">
        <v>1</v>
      </c>
      <c r="V1325" s="2" t="s">
        <v>262</v>
      </c>
      <c r="W1325" s="2">
        <v>3</v>
      </c>
    </row>
    <row r="1326" spans="1:23">
      <c r="A1326" s="4">
        <v>3200</v>
      </c>
      <c r="B1326" s="7" t="str">
        <f>VLOOKUP($A1326,SkillEnum!$A$2:$C$1020,2,FALSE)</f>
        <v>SI_A_EN_CLOAKING</v>
      </c>
      <c r="C1326" s="7">
        <v>6</v>
      </c>
      <c r="D1326" s="2" t="str">
        <f>VLOOKUP($C1326,SkillEnum!$D$2:$E$10,2,FALSE)</f>
        <v>ST_ACTIVE</v>
      </c>
      <c r="E1326" s="7" t="str">
        <f>VLOOKUP($A1326,SkillEnum!$A$2:$C$1020,3,FALSE)</f>
        <v>클로킹</v>
      </c>
      <c r="F1326" s="7" t="str">
        <f t="shared" si="178"/>
        <v>3 초간 모습을 감추어 적에게 보이지 않는다.</v>
      </c>
      <c r="G1326" s="2">
        <v>5</v>
      </c>
      <c r="H1326" s="2">
        <v>1</v>
      </c>
      <c r="I1326" s="2">
        <v>0</v>
      </c>
      <c r="J1326" s="2">
        <v>35</v>
      </c>
      <c r="K1326" s="2">
        <v>0</v>
      </c>
      <c r="L1326" s="2">
        <v>0</v>
      </c>
      <c r="M1326" s="2">
        <v>0</v>
      </c>
      <c r="N1326" s="2">
        <v>0</v>
      </c>
      <c r="O1326" s="2">
        <v>0</v>
      </c>
      <c r="P1326" s="2" t="s">
        <v>443</v>
      </c>
      <c r="Q1326" s="2" t="str">
        <f t="shared" si="168"/>
        <v>SI_A_EN_CLOAKING</v>
      </c>
      <c r="R1326" s="2" t="b">
        <v>0</v>
      </c>
      <c r="S1326" s="2" t="b">
        <v>0</v>
      </c>
      <c r="T1326" s="2">
        <v>1</v>
      </c>
      <c r="V1326" s="2" t="s">
        <v>262</v>
      </c>
      <c r="W1326" s="2">
        <v>3</v>
      </c>
    </row>
    <row r="1327" spans="1:23">
      <c r="A1327" s="4">
        <v>3200</v>
      </c>
      <c r="B1327" s="7" t="str">
        <f>VLOOKUP($A1327,SkillEnum!$A$2:$C$1020,2,FALSE)</f>
        <v>SI_A_EN_CLOAKING</v>
      </c>
      <c r="C1327" s="7">
        <v>6</v>
      </c>
      <c r="D1327" s="2" t="str">
        <f>VLOOKUP($C1327,SkillEnum!$D$2:$E$10,2,FALSE)</f>
        <v>ST_ACTIVE</v>
      </c>
      <c r="E1327" s="7" t="str">
        <f>VLOOKUP($A1327,SkillEnum!$A$2:$C$1020,3,FALSE)</f>
        <v>클로킹</v>
      </c>
      <c r="F1327" s="7" t="str">
        <f t="shared" si="178"/>
        <v>3 초간 모습을 감추어 적에게 보이지 않는다.</v>
      </c>
      <c r="G1327" s="2">
        <v>6</v>
      </c>
      <c r="H1327" s="2">
        <v>1</v>
      </c>
      <c r="I1327" s="2">
        <v>0</v>
      </c>
      <c r="J1327" s="2">
        <v>35</v>
      </c>
      <c r="K1327" s="2">
        <v>0</v>
      </c>
      <c r="L1327" s="2">
        <v>0</v>
      </c>
      <c r="M1327" s="2">
        <v>0</v>
      </c>
      <c r="N1327" s="2">
        <v>0</v>
      </c>
      <c r="O1327" s="2">
        <v>0</v>
      </c>
      <c r="P1327" s="2" t="s">
        <v>443</v>
      </c>
      <c r="Q1327" s="2" t="str">
        <f t="shared" si="168"/>
        <v>SI_A_EN_CLOAKING</v>
      </c>
      <c r="R1327" s="2" t="b">
        <v>0</v>
      </c>
      <c r="S1327" s="2" t="b">
        <v>0</v>
      </c>
      <c r="T1327" s="2">
        <v>1</v>
      </c>
      <c r="V1327" s="2" t="s">
        <v>262</v>
      </c>
      <c r="W1327" s="2">
        <v>3</v>
      </c>
    </row>
    <row r="1328" spans="1:23">
      <c r="A1328" s="4">
        <v>3200</v>
      </c>
      <c r="B1328" s="7" t="str">
        <f>VLOOKUP($A1328,SkillEnum!$A$2:$C$1020,2,FALSE)</f>
        <v>SI_A_EN_CLOAKING</v>
      </c>
      <c r="C1328" s="7">
        <v>6</v>
      </c>
      <c r="D1328" s="2" t="str">
        <f>VLOOKUP($C1328,SkillEnum!$D$2:$E$10,2,FALSE)</f>
        <v>ST_ACTIVE</v>
      </c>
      <c r="E1328" s="7" t="str">
        <f>VLOOKUP($A1328,SkillEnum!$A$2:$C$1020,3,FALSE)</f>
        <v>클로킹</v>
      </c>
      <c r="F1328" s="7" t="str">
        <f t="shared" si="178"/>
        <v>3 초간 모습을 감추어 적에게 보이지 않는다.</v>
      </c>
      <c r="G1328" s="2">
        <v>7</v>
      </c>
      <c r="H1328" s="2">
        <v>1</v>
      </c>
      <c r="I1328" s="2">
        <v>0</v>
      </c>
      <c r="J1328" s="2">
        <v>35</v>
      </c>
      <c r="K1328" s="2">
        <v>0</v>
      </c>
      <c r="L1328" s="2">
        <v>0</v>
      </c>
      <c r="M1328" s="2">
        <v>0</v>
      </c>
      <c r="N1328" s="2">
        <v>0</v>
      </c>
      <c r="O1328" s="2">
        <v>0</v>
      </c>
      <c r="P1328" s="2" t="s">
        <v>443</v>
      </c>
      <c r="Q1328" s="2" t="str">
        <f t="shared" si="168"/>
        <v>SI_A_EN_CLOAKING</v>
      </c>
      <c r="R1328" s="2" t="b">
        <v>0</v>
      </c>
      <c r="S1328" s="2" t="b">
        <v>0</v>
      </c>
      <c r="T1328" s="2">
        <v>1</v>
      </c>
      <c r="V1328" s="2" t="s">
        <v>262</v>
      </c>
      <c r="W1328" s="2">
        <v>3</v>
      </c>
    </row>
    <row r="1329" spans="1:27">
      <c r="A1329" s="4">
        <v>3200</v>
      </c>
      <c r="B1329" s="7" t="str">
        <f>VLOOKUP($A1329,SkillEnum!$A$2:$C$1020,2,FALSE)</f>
        <v>SI_A_EN_CLOAKING</v>
      </c>
      <c r="C1329" s="7">
        <v>6</v>
      </c>
      <c r="D1329" s="2" t="str">
        <f>VLOOKUP($C1329,SkillEnum!$D$2:$E$10,2,FALSE)</f>
        <v>ST_ACTIVE</v>
      </c>
      <c r="E1329" s="7" t="str">
        <f>VLOOKUP($A1329,SkillEnum!$A$2:$C$1020,3,FALSE)</f>
        <v>클로킹</v>
      </c>
      <c r="F1329" s="7" t="str">
        <f t="shared" si="178"/>
        <v>3 초간 모습을 감추어 적에게 보이지 않는다.</v>
      </c>
      <c r="G1329" s="2">
        <v>8</v>
      </c>
      <c r="H1329" s="2">
        <v>1</v>
      </c>
      <c r="I1329" s="2">
        <v>0</v>
      </c>
      <c r="J1329" s="2">
        <v>35</v>
      </c>
      <c r="K1329" s="2">
        <v>0</v>
      </c>
      <c r="L1329" s="2">
        <v>0</v>
      </c>
      <c r="M1329" s="2">
        <v>0</v>
      </c>
      <c r="N1329" s="2">
        <v>0</v>
      </c>
      <c r="O1329" s="2">
        <v>0</v>
      </c>
      <c r="P1329" s="2" t="s">
        <v>443</v>
      </c>
      <c r="Q1329" s="2" t="str">
        <f t="shared" si="168"/>
        <v>SI_A_EN_CLOAKING</v>
      </c>
      <c r="R1329" s="2" t="b">
        <v>0</v>
      </c>
      <c r="S1329" s="2" t="b">
        <v>0</v>
      </c>
      <c r="T1329" s="2">
        <v>1</v>
      </c>
      <c r="V1329" s="2" t="s">
        <v>262</v>
      </c>
      <c r="W1329" s="2">
        <v>3</v>
      </c>
    </row>
    <row r="1330" spans="1:27">
      <c r="A1330" s="4">
        <v>3200</v>
      </c>
      <c r="B1330" s="7" t="str">
        <f>VLOOKUP($A1330,SkillEnum!$A$2:$C$1020,2,FALSE)</f>
        <v>SI_A_EN_CLOAKING</v>
      </c>
      <c r="C1330" s="7">
        <v>6</v>
      </c>
      <c r="D1330" s="2" t="str">
        <f>VLOOKUP($C1330,SkillEnum!$D$2:$E$10,2,FALSE)</f>
        <v>ST_ACTIVE</v>
      </c>
      <c r="E1330" s="7" t="str">
        <f>VLOOKUP($A1330,SkillEnum!$A$2:$C$1020,3,FALSE)</f>
        <v>클로킹</v>
      </c>
      <c r="F1330" s="7" t="str">
        <f t="shared" si="178"/>
        <v>3 초간 모습을 감추어 적에게 보이지 않는다.</v>
      </c>
      <c r="G1330" s="2">
        <v>9</v>
      </c>
      <c r="H1330" s="2">
        <v>1</v>
      </c>
      <c r="I1330" s="2">
        <v>0</v>
      </c>
      <c r="J1330" s="2">
        <v>35</v>
      </c>
      <c r="K1330" s="2">
        <v>0</v>
      </c>
      <c r="L1330" s="2">
        <v>0</v>
      </c>
      <c r="M1330" s="2">
        <v>0</v>
      </c>
      <c r="N1330" s="2">
        <v>0</v>
      </c>
      <c r="O1330" s="2">
        <v>0</v>
      </c>
      <c r="P1330" s="2" t="s">
        <v>443</v>
      </c>
      <c r="Q1330" s="2" t="str">
        <f t="shared" si="168"/>
        <v>SI_A_EN_CLOAKING</v>
      </c>
      <c r="R1330" s="2" t="b">
        <v>0</v>
      </c>
      <c r="S1330" s="2" t="b">
        <v>0</v>
      </c>
      <c r="T1330" s="2">
        <v>1</v>
      </c>
      <c r="V1330" s="2" t="s">
        <v>262</v>
      </c>
      <c r="W1330" s="2">
        <v>3</v>
      </c>
    </row>
    <row r="1331" spans="1:27" s="5" customFormat="1">
      <c r="A1331" s="6">
        <v>3200</v>
      </c>
      <c r="B1331" s="8" t="str">
        <f>VLOOKUP($A1331,SkillEnum!$A$2:$C$1020,2,FALSE)</f>
        <v>SI_A_EN_CLOAKING</v>
      </c>
      <c r="C1331" s="8">
        <v>6</v>
      </c>
      <c r="D1331" s="5" t="str">
        <f>VLOOKUP($C1331,SkillEnum!$D$2:$E$10,2,FALSE)</f>
        <v>ST_ACTIVE</v>
      </c>
      <c r="E1331" s="8" t="str">
        <f>VLOOKUP($A1331,SkillEnum!$A$2:$C$1020,3,FALSE)</f>
        <v>클로킹</v>
      </c>
      <c r="F1331" s="8" t="str">
        <f t="shared" si="178"/>
        <v>3 초간 모습을 감추어 적에게 보이지 않는다.</v>
      </c>
      <c r="G1331" s="5">
        <v>10</v>
      </c>
      <c r="H1331" s="5">
        <v>1</v>
      </c>
      <c r="I1331" s="5">
        <v>0</v>
      </c>
      <c r="J1331" s="5">
        <v>35</v>
      </c>
      <c r="K1331" s="5">
        <v>0</v>
      </c>
      <c r="L1331" s="5">
        <v>0</v>
      </c>
      <c r="M1331" s="5">
        <v>0</v>
      </c>
      <c r="N1331" s="5">
        <v>0</v>
      </c>
      <c r="O1331" s="5">
        <v>0</v>
      </c>
      <c r="P1331" s="2" t="s">
        <v>443</v>
      </c>
      <c r="Q1331" s="2" t="str">
        <f t="shared" si="168"/>
        <v>SI_A_EN_CLOAKING</v>
      </c>
      <c r="R1331" s="5" t="b">
        <v>0</v>
      </c>
      <c r="S1331" s="2" t="b">
        <v>0</v>
      </c>
      <c r="T1331" s="2">
        <v>1</v>
      </c>
      <c r="U1331" s="2"/>
      <c r="V1331" s="5" t="s">
        <v>262</v>
      </c>
      <c r="W1331" s="5">
        <v>3</v>
      </c>
    </row>
    <row r="1332" spans="1:27">
      <c r="A1332" s="4">
        <v>3201</v>
      </c>
      <c r="B1332" s="7" t="str">
        <f>VLOOKUP($A1332,SkillEnum!$A$2:$C$1020,2,FALSE)</f>
        <v>SI_A_EN_CONVERSION</v>
      </c>
      <c r="C1332" s="7">
        <v>6</v>
      </c>
      <c r="D1332" s="2" t="str">
        <f>VLOOKUP($C1332,SkillEnum!$D$2:$E$10,2,FALSE)</f>
        <v>ST_ACTIVE</v>
      </c>
      <c r="E1332" s="11" t="str">
        <f>VLOOKUP($A1332,SkillEnum!$A$2:$C$1020,3,FALSE)</f>
        <v>마력 전환</v>
      </c>
      <c r="F1332" s="11" t="str">
        <f t="shared" ref="F1332:F1341" si="179">"최대 HP의 "&amp;ROUND(W1332*100,0)&amp;" % 를 "&amp;X1332&amp;" MP로 전환한다."</f>
        <v>최대 HP의 10 % 를 30 MP로 전환한다.</v>
      </c>
      <c r="G1332" s="10">
        <v>1</v>
      </c>
      <c r="H1332" s="2">
        <v>1</v>
      </c>
      <c r="I1332" s="2">
        <v>5</v>
      </c>
      <c r="J1332" s="10">
        <v>0</v>
      </c>
      <c r="K1332" s="2">
        <v>0</v>
      </c>
      <c r="L1332" s="2">
        <v>0</v>
      </c>
      <c r="M1332" s="2">
        <v>0</v>
      </c>
      <c r="N1332" s="2">
        <v>0</v>
      </c>
      <c r="O1332" s="2">
        <v>0</v>
      </c>
      <c r="P1332" s="2" t="s">
        <v>443</v>
      </c>
      <c r="Q1332" s="2" t="str">
        <f t="shared" si="168"/>
        <v>SI_A_EN_CONVERSION</v>
      </c>
      <c r="R1332" s="2" t="b">
        <v>0</v>
      </c>
      <c r="S1332" s="2" t="b">
        <v>1</v>
      </c>
      <c r="T1332" s="2">
        <v>1</v>
      </c>
      <c r="V1332" s="10" t="s">
        <v>168</v>
      </c>
      <c r="W1332" s="2">
        <v>0.1</v>
      </c>
      <c r="X1332" s="2">
        <v>30</v>
      </c>
    </row>
    <row r="1333" spans="1:27">
      <c r="A1333" s="4">
        <v>3201</v>
      </c>
      <c r="B1333" s="7" t="str">
        <f>VLOOKUP($A1333,SkillEnum!$A$2:$C$1020,2,FALSE)</f>
        <v>SI_A_EN_CONVERSION</v>
      </c>
      <c r="C1333" s="7">
        <v>6</v>
      </c>
      <c r="D1333" s="2" t="str">
        <f>VLOOKUP($C1333,SkillEnum!$D$2:$E$10,2,FALSE)</f>
        <v>ST_ACTIVE</v>
      </c>
      <c r="E1333" s="7" t="str">
        <f>VLOOKUP($A1333,SkillEnum!$A$2:$C$1020,3,FALSE)</f>
        <v>마력 전환</v>
      </c>
      <c r="F1333" s="7" t="str">
        <f t="shared" si="179"/>
        <v>최대 HP의 11 % 를 40 MP로 전환한다.</v>
      </c>
      <c r="G1333" s="2">
        <v>2</v>
      </c>
      <c r="H1333" s="2">
        <v>1</v>
      </c>
      <c r="I1333" s="2">
        <v>5</v>
      </c>
      <c r="J1333" s="2">
        <v>0</v>
      </c>
      <c r="K1333" s="2">
        <v>0</v>
      </c>
      <c r="L1333" s="2">
        <v>0</v>
      </c>
      <c r="M1333" s="2">
        <v>0</v>
      </c>
      <c r="N1333" s="2">
        <v>0</v>
      </c>
      <c r="O1333" s="2">
        <v>0</v>
      </c>
      <c r="P1333" s="2" t="s">
        <v>443</v>
      </c>
      <c r="Q1333" s="2" t="str">
        <f t="shared" si="168"/>
        <v>SI_A_EN_CONVERSION</v>
      </c>
      <c r="R1333" s="2" t="b">
        <v>0</v>
      </c>
      <c r="S1333" s="2" t="b">
        <v>1</v>
      </c>
      <c r="T1333" s="2">
        <v>1</v>
      </c>
      <c r="V1333" s="2" t="s">
        <v>168</v>
      </c>
      <c r="W1333" s="2">
        <v>0.11</v>
      </c>
      <c r="X1333" s="2">
        <v>40</v>
      </c>
    </row>
    <row r="1334" spans="1:27">
      <c r="A1334" s="4">
        <v>3201</v>
      </c>
      <c r="B1334" s="7" t="str">
        <f>VLOOKUP($A1334,SkillEnum!$A$2:$C$1020,2,FALSE)</f>
        <v>SI_A_EN_CONVERSION</v>
      </c>
      <c r="C1334" s="7">
        <v>6</v>
      </c>
      <c r="D1334" s="2" t="str">
        <f>VLOOKUP($C1334,SkillEnum!$D$2:$E$10,2,FALSE)</f>
        <v>ST_ACTIVE</v>
      </c>
      <c r="E1334" s="7" t="str">
        <f>VLOOKUP($A1334,SkillEnum!$A$2:$C$1020,3,FALSE)</f>
        <v>마력 전환</v>
      </c>
      <c r="F1334" s="7" t="str">
        <f t="shared" si="179"/>
        <v>최대 HP의 12 % 를 50 MP로 전환한다.</v>
      </c>
      <c r="G1334" s="2">
        <v>3</v>
      </c>
      <c r="H1334" s="2">
        <v>1</v>
      </c>
      <c r="I1334" s="2">
        <v>5</v>
      </c>
      <c r="J1334" s="2">
        <v>0</v>
      </c>
      <c r="K1334" s="2">
        <v>0</v>
      </c>
      <c r="L1334" s="2">
        <v>0</v>
      </c>
      <c r="M1334" s="2">
        <v>0</v>
      </c>
      <c r="N1334" s="2">
        <v>0</v>
      </c>
      <c r="O1334" s="2">
        <v>0</v>
      </c>
      <c r="P1334" s="2" t="s">
        <v>443</v>
      </c>
      <c r="Q1334" s="2" t="str">
        <f t="shared" si="168"/>
        <v>SI_A_EN_CONVERSION</v>
      </c>
      <c r="R1334" s="2" t="b">
        <v>0</v>
      </c>
      <c r="S1334" s="2" t="b">
        <v>1</v>
      </c>
      <c r="T1334" s="2">
        <v>1</v>
      </c>
      <c r="V1334" s="2" t="s">
        <v>168</v>
      </c>
      <c r="W1334" s="2">
        <v>0.12</v>
      </c>
      <c r="X1334" s="2">
        <v>50</v>
      </c>
    </row>
    <row r="1335" spans="1:27">
      <c r="A1335" s="4">
        <v>3201</v>
      </c>
      <c r="B1335" s="7" t="str">
        <f>VLOOKUP($A1335,SkillEnum!$A$2:$C$1020,2,FALSE)</f>
        <v>SI_A_EN_CONVERSION</v>
      </c>
      <c r="C1335" s="7">
        <v>6</v>
      </c>
      <c r="D1335" s="2" t="str">
        <f>VLOOKUP($C1335,SkillEnum!$D$2:$E$10,2,FALSE)</f>
        <v>ST_ACTIVE</v>
      </c>
      <c r="E1335" s="7" t="str">
        <f>VLOOKUP($A1335,SkillEnum!$A$2:$C$1020,3,FALSE)</f>
        <v>마력 전환</v>
      </c>
      <c r="F1335" s="7" t="str">
        <f t="shared" si="179"/>
        <v>최대 HP의 13 % 를 60 MP로 전환한다.</v>
      </c>
      <c r="G1335" s="2">
        <v>4</v>
      </c>
      <c r="H1335" s="2">
        <v>1</v>
      </c>
      <c r="I1335" s="2">
        <v>5</v>
      </c>
      <c r="J1335" s="2">
        <v>0</v>
      </c>
      <c r="K1335" s="2">
        <v>0</v>
      </c>
      <c r="L1335" s="2">
        <v>0</v>
      </c>
      <c r="M1335" s="2">
        <v>0</v>
      </c>
      <c r="N1335" s="2">
        <v>0</v>
      </c>
      <c r="O1335" s="2">
        <v>0</v>
      </c>
      <c r="P1335" s="2" t="s">
        <v>443</v>
      </c>
      <c r="Q1335" s="2" t="str">
        <f t="shared" ref="Q1335:Q1411" si="180">B1335</f>
        <v>SI_A_EN_CONVERSION</v>
      </c>
      <c r="R1335" s="2" t="b">
        <v>0</v>
      </c>
      <c r="S1335" s="2" t="b">
        <v>1</v>
      </c>
      <c r="T1335" s="2">
        <v>1</v>
      </c>
      <c r="V1335" s="2" t="s">
        <v>168</v>
      </c>
      <c r="W1335" s="2">
        <v>0.13</v>
      </c>
      <c r="X1335" s="2">
        <v>60</v>
      </c>
    </row>
    <row r="1336" spans="1:27">
      <c r="A1336" s="4">
        <v>3201</v>
      </c>
      <c r="B1336" s="7" t="str">
        <f>VLOOKUP($A1336,SkillEnum!$A$2:$C$1020,2,FALSE)</f>
        <v>SI_A_EN_CONVERSION</v>
      </c>
      <c r="C1336" s="7">
        <v>6</v>
      </c>
      <c r="D1336" s="2" t="str">
        <f>VLOOKUP($C1336,SkillEnum!$D$2:$E$10,2,FALSE)</f>
        <v>ST_ACTIVE</v>
      </c>
      <c r="E1336" s="7" t="str">
        <f>VLOOKUP($A1336,SkillEnum!$A$2:$C$1020,3,FALSE)</f>
        <v>마력 전환</v>
      </c>
      <c r="F1336" s="7" t="str">
        <f t="shared" si="179"/>
        <v>최대 HP의 14 % 를 70 MP로 전환한다.</v>
      </c>
      <c r="G1336" s="2">
        <v>5</v>
      </c>
      <c r="H1336" s="2">
        <v>1</v>
      </c>
      <c r="I1336" s="2">
        <v>5</v>
      </c>
      <c r="J1336" s="2">
        <v>0</v>
      </c>
      <c r="K1336" s="2">
        <v>0</v>
      </c>
      <c r="L1336" s="2">
        <v>0</v>
      </c>
      <c r="M1336" s="2">
        <v>0</v>
      </c>
      <c r="N1336" s="2">
        <v>0</v>
      </c>
      <c r="O1336" s="2">
        <v>0</v>
      </c>
      <c r="P1336" s="2" t="s">
        <v>443</v>
      </c>
      <c r="Q1336" s="2" t="str">
        <f t="shared" si="180"/>
        <v>SI_A_EN_CONVERSION</v>
      </c>
      <c r="R1336" s="2" t="b">
        <v>0</v>
      </c>
      <c r="S1336" s="2" t="b">
        <v>1</v>
      </c>
      <c r="T1336" s="2">
        <v>1</v>
      </c>
      <c r="V1336" s="2" t="s">
        <v>168</v>
      </c>
      <c r="W1336" s="2">
        <v>0.14000000000000001</v>
      </c>
      <c r="X1336" s="2">
        <v>70</v>
      </c>
    </row>
    <row r="1337" spans="1:27">
      <c r="A1337" s="4">
        <v>3201</v>
      </c>
      <c r="B1337" s="7" t="str">
        <f>VLOOKUP($A1337,SkillEnum!$A$2:$C$1020,2,FALSE)</f>
        <v>SI_A_EN_CONVERSION</v>
      </c>
      <c r="C1337" s="7">
        <v>6</v>
      </c>
      <c r="D1337" s="2" t="str">
        <f>VLOOKUP($C1337,SkillEnum!$D$2:$E$10,2,FALSE)</f>
        <v>ST_ACTIVE</v>
      </c>
      <c r="E1337" s="7" t="str">
        <f>VLOOKUP($A1337,SkillEnum!$A$2:$C$1020,3,FALSE)</f>
        <v>마력 전환</v>
      </c>
      <c r="F1337" s="7" t="str">
        <f t="shared" si="179"/>
        <v>최대 HP의 15 % 를 80 MP로 전환한다.</v>
      </c>
      <c r="G1337" s="2">
        <v>6</v>
      </c>
      <c r="H1337" s="2">
        <v>1</v>
      </c>
      <c r="I1337" s="2">
        <v>5</v>
      </c>
      <c r="J1337" s="2">
        <v>0</v>
      </c>
      <c r="K1337" s="2">
        <v>0</v>
      </c>
      <c r="L1337" s="2">
        <v>0</v>
      </c>
      <c r="M1337" s="2">
        <v>0</v>
      </c>
      <c r="N1337" s="2">
        <v>0</v>
      </c>
      <c r="O1337" s="2">
        <v>0</v>
      </c>
      <c r="P1337" s="2" t="s">
        <v>443</v>
      </c>
      <c r="Q1337" s="2" t="str">
        <f t="shared" si="180"/>
        <v>SI_A_EN_CONVERSION</v>
      </c>
      <c r="R1337" s="2" t="b">
        <v>0</v>
      </c>
      <c r="S1337" s="2" t="b">
        <v>1</v>
      </c>
      <c r="T1337" s="2">
        <v>1</v>
      </c>
      <c r="V1337" s="2" t="s">
        <v>168</v>
      </c>
      <c r="W1337" s="2">
        <v>0.15</v>
      </c>
      <c r="X1337" s="2">
        <v>80</v>
      </c>
    </row>
    <row r="1338" spans="1:27">
      <c r="A1338" s="4">
        <v>3201</v>
      </c>
      <c r="B1338" s="7" t="str">
        <f>VLOOKUP($A1338,SkillEnum!$A$2:$C$1020,2,FALSE)</f>
        <v>SI_A_EN_CONVERSION</v>
      </c>
      <c r="C1338" s="7">
        <v>6</v>
      </c>
      <c r="D1338" s="2" t="str">
        <f>VLOOKUP($C1338,SkillEnum!$D$2:$E$10,2,FALSE)</f>
        <v>ST_ACTIVE</v>
      </c>
      <c r="E1338" s="7" t="str">
        <f>VLOOKUP($A1338,SkillEnum!$A$2:$C$1020,3,FALSE)</f>
        <v>마력 전환</v>
      </c>
      <c r="F1338" s="7" t="str">
        <f t="shared" si="179"/>
        <v>최대 HP의 16 % 를 90 MP로 전환한다.</v>
      </c>
      <c r="G1338" s="2">
        <v>7</v>
      </c>
      <c r="H1338" s="2">
        <v>1</v>
      </c>
      <c r="I1338" s="2">
        <v>5</v>
      </c>
      <c r="J1338" s="2">
        <v>0</v>
      </c>
      <c r="K1338" s="2">
        <v>0</v>
      </c>
      <c r="L1338" s="2">
        <v>0</v>
      </c>
      <c r="M1338" s="2">
        <v>0</v>
      </c>
      <c r="N1338" s="2">
        <v>0</v>
      </c>
      <c r="O1338" s="2">
        <v>0</v>
      </c>
      <c r="P1338" s="2" t="s">
        <v>443</v>
      </c>
      <c r="Q1338" s="2" t="str">
        <f t="shared" si="180"/>
        <v>SI_A_EN_CONVERSION</v>
      </c>
      <c r="R1338" s="2" t="b">
        <v>0</v>
      </c>
      <c r="S1338" s="2" t="b">
        <v>1</v>
      </c>
      <c r="T1338" s="2">
        <v>1</v>
      </c>
      <c r="V1338" s="2" t="s">
        <v>168</v>
      </c>
      <c r="W1338" s="2">
        <v>0.16</v>
      </c>
      <c r="X1338" s="2">
        <v>90</v>
      </c>
    </row>
    <row r="1339" spans="1:27">
      <c r="A1339" s="4">
        <v>3201</v>
      </c>
      <c r="B1339" s="7" t="str">
        <f>VLOOKUP($A1339,SkillEnum!$A$2:$C$1020,2,FALSE)</f>
        <v>SI_A_EN_CONVERSION</v>
      </c>
      <c r="C1339" s="7">
        <v>6</v>
      </c>
      <c r="D1339" s="2" t="str">
        <f>VLOOKUP($C1339,SkillEnum!$D$2:$E$10,2,FALSE)</f>
        <v>ST_ACTIVE</v>
      </c>
      <c r="E1339" s="7" t="str">
        <f>VLOOKUP($A1339,SkillEnum!$A$2:$C$1020,3,FALSE)</f>
        <v>마력 전환</v>
      </c>
      <c r="F1339" s="7" t="str">
        <f t="shared" si="179"/>
        <v>최대 HP의 17 % 를 100 MP로 전환한다.</v>
      </c>
      <c r="G1339" s="2">
        <v>8</v>
      </c>
      <c r="H1339" s="2">
        <v>1</v>
      </c>
      <c r="I1339" s="2">
        <v>5</v>
      </c>
      <c r="J1339" s="2">
        <v>0</v>
      </c>
      <c r="K1339" s="2">
        <v>0</v>
      </c>
      <c r="L1339" s="2">
        <v>0</v>
      </c>
      <c r="M1339" s="2">
        <v>0</v>
      </c>
      <c r="N1339" s="2">
        <v>0</v>
      </c>
      <c r="O1339" s="2">
        <v>0</v>
      </c>
      <c r="P1339" s="2" t="s">
        <v>443</v>
      </c>
      <c r="Q1339" s="2" t="str">
        <f t="shared" si="180"/>
        <v>SI_A_EN_CONVERSION</v>
      </c>
      <c r="R1339" s="2" t="b">
        <v>0</v>
      </c>
      <c r="S1339" s="2" t="b">
        <v>1</v>
      </c>
      <c r="T1339" s="2">
        <v>1</v>
      </c>
      <c r="V1339" s="2" t="s">
        <v>168</v>
      </c>
      <c r="W1339" s="2">
        <v>0.17</v>
      </c>
      <c r="X1339" s="2">
        <v>100</v>
      </c>
    </row>
    <row r="1340" spans="1:27">
      <c r="A1340" s="4">
        <v>3201</v>
      </c>
      <c r="B1340" s="7" t="str">
        <f>VLOOKUP($A1340,SkillEnum!$A$2:$C$1020,2,FALSE)</f>
        <v>SI_A_EN_CONVERSION</v>
      </c>
      <c r="C1340" s="7">
        <v>6</v>
      </c>
      <c r="D1340" s="2" t="str">
        <f>VLOOKUP($C1340,SkillEnum!$D$2:$E$10,2,FALSE)</f>
        <v>ST_ACTIVE</v>
      </c>
      <c r="E1340" s="7" t="str">
        <f>VLOOKUP($A1340,SkillEnum!$A$2:$C$1020,3,FALSE)</f>
        <v>마력 전환</v>
      </c>
      <c r="F1340" s="7" t="str">
        <f t="shared" si="179"/>
        <v>최대 HP의 18 % 를 110 MP로 전환한다.</v>
      </c>
      <c r="G1340" s="2">
        <v>9</v>
      </c>
      <c r="H1340" s="2">
        <v>1</v>
      </c>
      <c r="I1340" s="2">
        <v>5</v>
      </c>
      <c r="J1340" s="2">
        <v>0</v>
      </c>
      <c r="K1340" s="2">
        <v>0</v>
      </c>
      <c r="L1340" s="2">
        <v>0</v>
      </c>
      <c r="M1340" s="2">
        <v>0</v>
      </c>
      <c r="N1340" s="2">
        <v>0</v>
      </c>
      <c r="O1340" s="2">
        <v>0</v>
      </c>
      <c r="P1340" s="2" t="s">
        <v>443</v>
      </c>
      <c r="Q1340" s="2" t="str">
        <f t="shared" si="180"/>
        <v>SI_A_EN_CONVERSION</v>
      </c>
      <c r="R1340" s="2" t="b">
        <v>0</v>
      </c>
      <c r="S1340" s="2" t="b">
        <v>1</v>
      </c>
      <c r="T1340" s="2">
        <v>1</v>
      </c>
      <c r="V1340" s="2" t="s">
        <v>168</v>
      </c>
      <c r="W1340" s="2">
        <v>0.18</v>
      </c>
      <c r="X1340" s="2">
        <v>110</v>
      </c>
    </row>
    <row r="1341" spans="1:27" s="5" customFormat="1">
      <c r="A1341" s="6">
        <v>3201</v>
      </c>
      <c r="B1341" s="8" t="str">
        <f>VLOOKUP($A1341,SkillEnum!$A$2:$C$1020,2,FALSE)</f>
        <v>SI_A_EN_CONVERSION</v>
      </c>
      <c r="C1341" s="8">
        <v>6</v>
      </c>
      <c r="D1341" s="5" t="str">
        <f>VLOOKUP($C1341,SkillEnum!$D$2:$E$10,2,FALSE)</f>
        <v>ST_ACTIVE</v>
      </c>
      <c r="E1341" s="8" t="str">
        <f>VLOOKUP($A1341,SkillEnum!$A$2:$C$1020,3,FALSE)</f>
        <v>마력 전환</v>
      </c>
      <c r="F1341" s="8" t="str">
        <f t="shared" si="179"/>
        <v>최대 HP의 19 % 를 120 MP로 전환한다.</v>
      </c>
      <c r="G1341" s="5">
        <v>10</v>
      </c>
      <c r="H1341" s="5">
        <v>1</v>
      </c>
      <c r="I1341" s="5">
        <v>5</v>
      </c>
      <c r="J1341" s="5">
        <v>0</v>
      </c>
      <c r="K1341" s="5">
        <v>0</v>
      </c>
      <c r="L1341" s="5">
        <v>0</v>
      </c>
      <c r="M1341" s="5">
        <v>0</v>
      </c>
      <c r="N1341" s="5">
        <v>0</v>
      </c>
      <c r="O1341" s="5">
        <v>0</v>
      </c>
      <c r="P1341" s="2" t="s">
        <v>443</v>
      </c>
      <c r="Q1341" s="2" t="str">
        <f t="shared" si="180"/>
        <v>SI_A_EN_CONVERSION</v>
      </c>
      <c r="R1341" s="5" t="b">
        <v>0</v>
      </c>
      <c r="S1341" s="2" t="b">
        <v>1</v>
      </c>
      <c r="T1341" s="2">
        <v>1</v>
      </c>
      <c r="U1341" s="2"/>
      <c r="V1341" s="5" t="s">
        <v>168</v>
      </c>
      <c r="W1341" s="5">
        <v>0.19</v>
      </c>
      <c r="X1341" s="5">
        <v>120</v>
      </c>
    </row>
    <row r="1342" spans="1:27">
      <c r="A1342" s="4">
        <v>3202</v>
      </c>
      <c r="B1342" s="7" t="str">
        <f>VLOOKUP($A1342,SkillEnum!$A$2:$C$1020,2,FALSE)</f>
        <v>SI_A_EN_MEGA_ELECTRONBALL</v>
      </c>
      <c r="C1342" s="7">
        <v>6</v>
      </c>
      <c r="D1342" s="2" t="str">
        <f>VLOOKUP($C1342,SkillEnum!$D$2:$E$10,2,FALSE)</f>
        <v>ST_ACTIVE</v>
      </c>
      <c r="E1342" s="11" t="str">
        <f>VLOOKUP($A1342,SkillEnum!$A$2:$C$1020,3,FALSE)</f>
        <v>메가 일렉트론볼</v>
      </c>
      <c r="F1342" s="11" t="str">
        <f t="shared" ref="F1342:F1351" si="181">"단축키를 눌러 "&amp;W1342&amp;" 초간 차지하여 마법공격력의 "&amp;ROUND(0.82*H1342*100,0)&amp;" % 공격력을 가진 "&amp;Y1342*100&amp;" % 크기와 사정거리를 가진 일렉트론볼을 완성하고, 단축키에서 손을 떼는 것으로 발사한다. (점프 중에도 사용이 가능하다.)"</f>
        <v>단축키를 눌러 7 초간 차지하여 마법공격력의 328 % 공격력을 가진 150 % 크기와 사정거리를 가진 일렉트론볼을 완성하고, 단축키에서 손을 떼는 것으로 발사한다. (점프 중에도 사용이 가능하다.)</v>
      </c>
      <c r="G1342" s="10">
        <v>1</v>
      </c>
      <c r="H1342" s="2">
        <v>4</v>
      </c>
      <c r="I1342" s="2">
        <v>0</v>
      </c>
      <c r="J1342" s="10">
        <v>30</v>
      </c>
      <c r="K1342" s="2">
        <v>0</v>
      </c>
      <c r="L1342" s="2">
        <v>0</v>
      </c>
      <c r="M1342" s="2">
        <v>0</v>
      </c>
      <c r="N1342" s="2">
        <v>0</v>
      </c>
      <c r="O1342" s="2">
        <v>0</v>
      </c>
      <c r="P1342" s="2" t="s">
        <v>443</v>
      </c>
      <c r="Q1342" s="2" t="str">
        <f t="shared" si="180"/>
        <v>SI_A_EN_MEGA_ELECTRONBALL</v>
      </c>
      <c r="R1342" s="2" t="b">
        <v>0</v>
      </c>
      <c r="S1342" s="2" t="b">
        <v>1</v>
      </c>
      <c r="T1342" s="2">
        <v>2</v>
      </c>
      <c r="V1342" s="2" t="s">
        <v>263</v>
      </c>
      <c r="W1342" s="2">
        <v>7</v>
      </c>
      <c r="X1342" s="2" t="s">
        <v>264</v>
      </c>
      <c r="Y1342" s="2">
        <v>1.5</v>
      </c>
      <c r="Z1342" s="10" t="s">
        <v>259</v>
      </c>
      <c r="AA1342" s="10">
        <f>Y1342</f>
        <v>1.5</v>
      </c>
    </row>
    <row r="1343" spans="1:27">
      <c r="A1343" s="4">
        <v>3202</v>
      </c>
      <c r="B1343" s="7" t="str">
        <f>VLOOKUP($A1343,SkillEnum!$A$2:$C$1020,2,FALSE)</f>
        <v>SI_A_EN_MEGA_ELECTRONBALL</v>
      </c>
      <c r="C1343" s="7">
        <v>6</v>
      </c>
      <c r="D1343" s="2" t="str">
        <f>VLOOKUP($C1343,SkillEnum!$D$2:$E$10,2,FALSE)</f>
        <v>ST_ACTIVE</v>
      </c>
      <c r="E1343" s="7" t="str">
        <f>VLOOKUP($A1343,SkillEnum!$A$2:$C$1020,3,FALSE)</f>
        <v>메가 일렉트론볼</v>
      </c>
      <c r="F1343" s="7" t="str">
        <f t="shared" si="181"/>
        <v>단축키를 눌러 5 초간 차지하여 마법공격력의 328 % 공격력을 가진 150 % 크기와 사정거리를 가진 일렉트론볼을 완성하고, 단축키에서 손을 떼는 것으로 발사한다. (점프 중에도 사용이 가능하다.)</v>
      </c>
      <c r="G1343" s="2">
        <v>2</v>
      </c>
      <c r="H1343" s="2">
        <v>4</v>
      </c>
      <c r="I1343" s="2">
        <v>0</v>
      </c>
      <c r="J1343" s="2">
        <v>30</v>
      </c>
      <c r="K1343" s="2">
        <v>0</v>
      </c>
      <c r="L1343" s="2">
        <v>0</v>
      </c>
      <c r="M1343" s="2">
        <v>0</v>
      </c>
      <c r="N1343" s="2">
        <v>0</v>
      </c>
      <c r="O1343" s="2">
        <v>0</v>
      </c>
      <c r="P1343" s="2" t="s">
        <v>443</v>
      </c>
      <c r="Q1343" s="2" t="str">
        <f t="shared" si="180"/>
        <v>SI_A_EN_MEGA_ELECTRONBALL</v>
      </c>
      <c r="R1343" s="2" t="b">
        <v>0</v>
      </c>
      <c r="S1343" s="2" t="b">
        <v>1</v>
      </c>
      <c r="T1343" s="2">
        <v>2</v>
      </c>
      <c r="V1343" s="2" t="s">
        <v>263</v>
      </c>
      <c r="W1343" s="2">
        <v>5</v>
      </c>
      <c r="X1343" s="2" t="s">
        <v>264</v>
      </c>
      <c r="Y1343" s="2">
        <v>1.5</v>
      </c>
      <c r="Z1343" s="2" t="s">
        <v>259</v>
      </c>
      <c r="AA1343" s="2">
        <f t="shared" ref="AA1343:AA1351" si="182">Y1343</f>
        <v>1.5</v>
      </c>
    </row>
    <row r="1344" spans="1:27">
      <c r="A1344" s="4">
        <v>3202</v>
      </c>
      <c r="B1344" s="7" t="str">
        <f>VLOOKUP($A1344,SkillEnum!$A$2:$C$1020,2,FALSE)</f>
        <v>SI_A_EN_MEGA_ELECTRONBALL</v>
      </c>
      <c r="C1344" s="7">
        <v>6</v>
      </c>
      <c r="D1344" s="2" t="str">
        <f>VLOOKUP($C1344,SkillEnum!$D$2:$E$10,2,FALSE)</f>
        <v>ST_ACTIVE</v>
      </c>
      <c r="E1344" s="7" t="str">
        <f>VLOOKUP($A1344,SkillEnum!$A$2:$C$1020,3,FALSE)</f>
        <v>메가 일렉트론볼</v>
      </c>
      <c r="F1344" s="7" t="str">
        <f t="shared" si="181"/>
        <v>단축키를 눌러 3 초간 차지하여 마법공격력의 328 % 공격력을 가진 150 % 크기와 사정거리를 가진 일렉트론볼을 완성하고, 단축키에서 손을 떼는 것으로 발사한다. (점프 중에도 사용이 가능하다.)</v>
      </c>
      <c r="G1344" s="2">
        <v>3</v>
      </c>
      <c r="H1344" s="2">
        <v>4</v>
      </c>
      <c r="I1344" s="2">
        <v>0</v>
      </c>
      <c r="J1344" s="2">
        <v>30</v>
      </c>
      <c r="K1344" s="2">
        <v>0</v>
      </c>
      <c r="L1344" s="2">
        <v>0</v>
      </c>
      <c r="M1344" s="2">
        <v>0</v>
      </c>
      <c r="N1344" s="2">
        <v>0</v>
      </c>
      <c r="O1344" s="2">
        <v>0</v>
      </c>
      <c r="P1344" s="2" t="s">
        <v>443</v>
      </c>
      <c r="Q1344" s="2" t="str">
        <f t="shared" si="180"/>
        <v>SI_A_EN_MEGA_ELECTRONBALL</v>
      </c>
      <c r="R1344" s="2" t="b">
        <v>0</v>
      </c>
      <c r="S1344" s="2" t="b">
        <v>1</v>
      </c>
      <c r="T1344" s="2">
        <v>2</v>
      </c>
      <c r="V1344" s="2" t="s">
        <v>263</v>
      </c>
      <c r="W1344" s="2">
        <v>3</v>
      </c>
      <c r="X1344" s="2" t="s">
        <v>264</v>
      </c>
      <c r="Y1344" s="2">
        <v>1.5</v>
      </c>
      <c r="Z1344" s="2" t="s">
        <v>259</v>
      </c>
      <c r="AA1344" s="2">
        <f t="shared" si="182"/>
        <v>1.5</v>
      </c>
    </row>
    <row r="1345" spans="1:27">
      <c r="A1345" s="4">
        <v>3202</v>
      </c>
      <c r="B1345" s="7" t="str">
        <f>VLOOKUP($A1345,SkillEnum!$A$2:$C$1020,2,FALSE)</f>
        <v>SI_A_EN_MEGA_ELECTRONBALL</v>
      </c>
      <c r="C1345" s="7">
        <v>6</v>
      </c>
      <c r="D1345" s="2" t="str">
        <f>VLOOKUP($C1345,SkillEnum!$D$2:$E$10,2,FALSE)</f>
        <v>ST_ACTIVE</v>
      </c>
      <c r="E1345" s="7" t="str">
        <f>VLOOKUP($A1345,SkillEnum!$A$2:$C$1020,3,FALSE)</f>
        <v>메가 일렉트론볼</v>
      </c>
      <c r="F1345" s="7" t="str">
        <f t="shared" si="181"/>
        <v>단축키를 눌러 3 초간 차지하여 마법공격력의 369 % 공격력을 가진 160 % 크기와 사정거리를 가진 일렉트론볼을 완성하고, 단축키에서 손을 떼는 것으로 발사한다. (점프 중에도 사용이 가능하다.)</v>
      </c>
      <c r="G1345" s="2">
        <v>4</v>
      </c>
      <c r="H1345" s="2">
        <v>4.5</v>
      </c>
      <c r="I1345" s="2">
        <v>0</v>
      </c>
      <c r="J1345" s="2">
        <v>30</v>
      </c>
      <c r="K1345" s="2">
        <v>0</v>
      </c>
      <c r="L1345" s="2">
        <v>0</v>
      </c>
      <c r="M1345" s="2">
        <v>0</v>
      </c>
      <c r="N1345" s="2">
        <v>0</v>
      </c>
      <c r="O1345" s="2">
        <v>0</v>
      </c>
      <c r="P1345" s="2" t="s">
        <v>443</v>
      </c>
      <c r="Q1345" s="2" t="str">
        <f t="shared" si="180"/>
        <v>SI_A_EN_MEGA_ELECTRONBALL</v>
      </c>
      <c r="R1345" s="2" t="b">
        <v>0</v>
      </c>
      <c r="S1345" s="2" t="b">
        <v>1</v>
      </c>
      <c r="T1345" s="2">
        <v>2</v>
      </c>
      <c r="V1345" s="2" t="s">
        <v>263</v>
      </c>
      <c r="W1345" s="2">
        <v>3</v>
      </c>
      <c r="X1345" s="2" t="s">
        <v>264</v>
      </c>
      <c r="Y1345" s="2">
        <v>1.6</v>
      </c>
      <c r="Z1345" s="2" t="s">
        <v>259</v>
      </c>
      <c r="AA1345" s="2">
        <f t="shared" si="182"/>
        <v>1.6</v>
      </c>
    </row>
    <row r="1346" spans="1:27">
      <c r="A1346" s="4">
        <v>3202</v>
      </c>
      <c r="B1346" s="7" t="str">
        <f>VLOOKUP($A1346,SkillEnum!$A$2:$C$1020,2,FALSE)</f>
        <v>SI_A_EN_MEGA_ELECTRONBALL</v>
      </c>
      <c r="C1346" s="7">
        <v>6</v>
      </c>
      <c r="D1346" s="2" t="str">
        <f>VLOOKUP($C1346,SkillEnum!$D$2:$E$10,2,FALSE)</f>
        <v>ST_ACTIVE</v>
      </c>
      <c r="E1346" s="7" t="str">
        <f>VLOOKUP($A1346,SkillEnum!$A$2:$C$1020,3,FALSE)</f>
        <v>메가 일렉트론볼</v>
      </c>
      <c r="F1346" s="7" t="str">
        <f t="shared" si="181"/>
        <v>단축키를 눌러 3 초간 차지하여 마법공격력의 410 % 공격력을 가진 170 % 크기와 사정거리를 가진 일렉트론볼을 완성하고, 단축키에서 손을 떼는 것으로 발사한다. (점프 중에도 사용이 가능하다.)</v>
      </c>
      <c r="G1346" s="2">
        <v>5</v>
      </c>
      <c r="H1346" s="2">
        <v>5</v>
      </c>
      <c r="I1346" s="2">
        <v>0</v>
      </c>
      <c r="J1346" s="2">
        <v>30</v>
      </c>
      <c r="K1346" s="2">
        <v>0</v>
      </c>
      <c r="L1346" s="2">
        <v>0</v>
      </c>
      <c r="M1346" s="2">
        <v>0</v>
      </c>
      <c r="N1346" s="2">
        <v>0</v>
      </c>
      <c r="O1346" s="2">
        <v>0</v>
      </c>
      <c r="P1346" s="2" t="s">
        <v>443</v>
      </c>
      <c r="Q1346" s="2" t="str">
        <f t="shared" si="180"/>
        <v>SI_A_EN_MEGA_ELECTRONBALL</v>
      </c>
      <c r="R1346" s="2" t="b">
        <v>0</v>
      </c>
      <c r="S1346" s="2" t="b">
        <v>1</v>
      </c>
      <c r="T1346" s="2">
        <v>2</v>
      </c>
      <c r="V1346" s="2" t="s">
        <v>263</v>
      </c>
      <c r="W1346" s="2">
        <v>3</v>
      </c>
      <c r="X1346" s="2" t="s">
        <v>264</v>
      </c>
      <c r="Y1346" s="2">
        <v>1.7</v>
      </c>
      <c r="Z1346" s="2" t="s">
        <v>259</v>
      </c>
      <c r="AA1346" s="2">
        <f t="shared" si="182"/>
        <v>1.7</v>
      </c>
    </row>
    <row r="1347" spans="1:27">
      <c r="A1347" s="4">
        <v>3202</v>
      </c>
      <c r="B1347" s="7" t="str">
        <f>VLOOKUP($A1347,SkillEnum!$A$2:$C$1020,2,FALSE)</f>
        <v>SI_A_EN_MEGA_ELECTRONBALL</v>
      </c>
      <c r="C1347" s="7">
        <v>6</v>
      </c>
      <c r="D1347" s="2" t="str">
        <f>VLOOKUP($C1347,SkillEnum!$D$2:$E$10,2,FALSE)</f>
        <v>ST_ACTIVE</v>
      </c>
      <c r="E1347" s="7" t="str">
        <f>VLOOKUP($A1347,SkillEnum!$A$2:$C$1020,3,FALSE)</f>
        <v>메가 일렉트론볼</v>
      </c>
      <c r="F1347" s="7" t="str">
        <f t="shared" si="181"/>
        <v>단축키를 눌러 3 초간 차지하여 마법공격력의 451 % 공격력을 가진 180 % 크기와 사정거리를 가진 일렉트론볼을 완성하고, 단축키에서 손을 떼는 것으로 발사한다. (점프 중에도 사용이 가능하다.)</v>
      </c>
      <c r="G1347" s="2">
        <v>6</v>
      </c>
      <c r="H1347" s="2">
        <v>5.5</v>
      </c>
      <c r="I1347" s="2">
        <v>0</v>
      </c>
      <c r="J1347" s="2">
        <v>30</v>
      </c>
      <c r="K1347" s="2">
        <v>0</v>
      </c>
      <c r="L1347" s="2">
        <v>0</v>
      </c>
      <c r="M1347" s="2">
        <v>0</v>
      </c>
      <c r="N1347" s="2">
        <v>0</v>
      </c>
      <c r="O1347" s="2">
        <v>0</v>
      </c>
      <c r="P1347" s="2" t="s">
        <v>443</v>
      </c>
      <c r="Q1347" s="2" t="str">
        <f t="shared" si="180"/>
        <v>SI_A_EN_MEGA_ELECTRONBALL</v>
      </c>
      <c r="R1347" s="2" t="b">
        <v>0</v>
      </c>
      <c r="S1347" s="2" t="b">
        <v>1</v>
      </c>
      <c r="T1347" s="2">
        <v>2</v>
      </c>
      <c r="V1347" s="2" t="s">
        <v>263</v>
      </c>
      <c r="W1347" s="2">
        <v>3</v>
      </c>
      <c r="X1347" s="2" t="s">
        <v>264</v>
      </c>
      <c r="Y1347" s="2">
        <v>1.8</v>
      </c>
      <c r="Z1347" s="2" t="s">
        <v>259</v>
      </c>
      <c r="AA1347" s="2">
        <f t="shared" si="182"/>
        <v>1.8</v>
      </c>
    </row>
    <row r="1348" spans="1:27">
      <c r="A1348" s="4">
        <v>3202</v>
      </c>
      <c r="B1348" s="7" t="str">
        <f>VLOOKUP($A1348,SkillEnum!$A$2:$C$1020,2,FALSE)</f>
        <v>SI_A_EN_MEGA_ELECTRONBALL</v>
      </c>
      <c r="C1348" s="7">
        <v>6</v>
      </c>
      <c r="D1348" s="2" t="str">
        <f>VLOOKUP($C1348,SkillEnum!$D$2:$E$10,2,FALSE)</f>
        <v>ST_ACTIVE</v>
      </c>
      <c r="E1348" s="7" t="str">
        <f>VLOOKUP($A1348,SkillEnum!$A$2:$C$1020,3,FALSE)</f>
        <v>메가 일렉트론볼</v>
      </c>
      <c r="F1348" s="7" t="str">
        <f t="shared" si="181"/>
        <v>단축키를 눌러 3 초간 차지하여 마법공격력의 492 % 공격력을 가진 190 % 크기와 사정거리를 가진 일렉트론볼을 완성하고, 단축키에서 손을 떼는 것으로 발사한다. (점프 중에도 사용이 가능하다.)</v>
      </c>
      <c r="G1348" s="2">
        <v>7</v>
      </c>
      <c r="H1348" s="2">
        <v>6</v>
      </c>
      <c r="I1348" s="2">
        <v>0</v>
      </c>
      <c r="J1348" s="2">
        <v>30</v>
      </c>
      <c r="K1348" s="2">
        <v>0</v>
      </c>
      <c r="L1348" s="2">
        <v>0</v>
      </c>
      <c r="M1348" s="2">
        <v>0</v>
      </c>
      <c r="N1348" s="2">
        <v>0</v>
      </c>
      <c r="O1348" s="2">
        <v>0</v>
      </c>
      <c r="P1348" s="2" t="s">
        <v>443</v>
      </c>
      <c r="Q1348" s="2" t="str">
        <f t="shared" si="180"/>
        <v>SI_A_EN_MEGA_ELECTRONBALL</v>
      </c>
      <c r="R1348" s="2" t="b">
        <v>0</v>
      </c>
      <c r="S1348" s="2" t="b">
        <v>1</v>
      </c>
      <c r="T1348" s="2">
        <v>2</v>
      </c>
      <c r="V1348" s="2" t="s">
        <v>263</v>
      </c>
      <c r="W1348" s="2">
        <v>3</v>
      </c>
      <c r="X1348" s="2" t="s">
        <v>264</v>
      </c>
      <c r="Y1348" s="2">
        <v>1.9</v>
      </c>
      <c r="Z1348" s="2" t="s">
        <v>259</v>
      </c>
      <c r="AA1348" s="2">
        <f t="shared" si="182"/>
        <v>1.9</v>
      </c>
    </row>
    <row r="1349" spans="1:27">
      <c r="A1349" s="4">
        <v>3202</v>
      </c>
      <c r="B1349" s="7" t="str">
        <f>VLOOKUP($A1349,SkillEnum!$A$2:$C$1020,2,FALSE)</f>
        <v>SI_A_EN_MEGA_ELECTRONBALL</v>
      </c>
      <c r="C1349" s="7">
        <v>6</v>
      </c>
      <c r="D1349" s="2" t="str">
        <f>VLOOKUP($C1349,SkillEnum!$D$2:$E$10,2,FALSE)</f>
        <v>ST_ACTIVE</v>
      </c>
      <c r="E1349" s="7" t="str">
        <f>VLOOKUP($A1349,SkillEnum!$A$2:$C$1020,3,FALSE)</f>
        <v>메가 일렉트론볼</v>
      </c>
      <c r="F1349" s="7" t="str">
        <f t="shared" si="181"/>
        <v>단축키를 눌러 3 초간 차지하여 마법공격력의 533 % 공격력을 가진 200 % 크기와 사정거리를 가진 일렉트론볼을 완성하고, 단축키에서 손을 떼는 것으로 발사한다. (점프 중에도 사용이 가능하다.)</v>
      </c>
      <c r="G1349" s="2">
        <v>8</v>
      </c>
      <c r="H1349" s="2">
        <v>6.5</v>
      </c>
      <c r="I1349" s="2">
        <v>0</v>
      </c>
      <c r="J1349" s="2">
        <v>30</v>
      </c>
      <c r="K1349" s="2">
        <v>0</v>
      </c>
      <c r="L1349" s="2">
        <v>0</v>
      </c>
      <c r="M1349" s="2">
        <v>0</v>
      </c>
      <c r="N1349" s="2">
        <v>0</v>
      </c>
      <c r="O1349" s="2">
        <v>0</v>
      </c>
      <c r="P1349" s="2" t="s">
        <v>443</v>
      </c>
      <c r="Q1349" s="2" t="str">
        <f t="shared" si="180"/>
        <v>SI_A_EN_MEGA_ELECTRONBALL</v>
      </c>
      <c r="R1349" s="2" t="b">
        <v>0</v>
      </c>
      <c r="S1349" s="2" t="b">
        <v>1</v>
      </c>
      <c r="T1349" s="2">
        <v>2</v>
      </c>
      <c r="V1349" s="2" t="s">
        <v>263</v>
      </c>
      <c r="W1349" s="2">
        <v>3</v>
      </c>
      <c r="X1349" s="2" t="s">
        <v>264</v>
      </c>
      <c r="Y1349" s="2">
        <v>2</v>
      </c>
      <c r="Z1349" s="2" t="s">
        <v>259</v>
      </c>
      <c r="AA1349" s="2">
        <f t="shared" si="182"/>
        <v>2</v>
      </c>
    </row>
    <row r="1350" spans="1:27">
      <c r="A1350" s="4">
        <v>3202</v>
      </c>
      <c r="B1350" s="7" t="str">
        <f>VLOOKUP($A1350,SkillEnum!$A$2:$C$1020,2,FALSE)</f>
        <v>SI_A_EN_MEGA_ELECTRONBALL</v>
      </c>
      <c r="C1350" s="7">
        <v>6</v>
      </c>
      <c r="D1350" s="2" t="str">
        <f>VLOOKUP($C1350,SkillEnum!$D$2:$E$10,2,FALSE)</f>
        <v>ST_ACTIVE</v>
      </c>
      <c r="E1350" s="7" t="str">
        <f>VLOOKUP($A1350,SkillEnum!$A$2:$C$1020,3,FALSE)</f>
        <v>메가 일렉트론볼</v>
      </c>
      <c r="F1350" s="7" t="str">
        <f t="shared" si="181"/>
        <v>단축키를 눌러 3 초간 차지하여 마법공격력의 574 % 공격력을 가진 210 % 크기와 사정거리를 가진 일렉트론볼을 완성하고, 단축키에서 손을 떼는 것으로 발사한다. (점프 중에도 사용이 가능하다.)</v>
      </c>
      <c r="G1350" s="2">
        <v>9</v>
      </c>
      <c r="H1350" s="2">
        <v>7</v>
      </c>
      <c r="I1350" s="2">
        <v>0</v>
      </c>
      <c r="J1350" s="2">
        <v>30</v>
      </c>
      <c r="K1350" s="2">
        <v>0</v>
      </c>
      <c r="L1350" s="2">
        <v>0</v>
      </c>
      <c r="M1350" s="2">
        <v>0</v>
      </c>
      <c r="N1350" s="2">
        <v>0</v>
      </c>
      <c r="O1350" s="2">
        <v>0</v>
      </c>
      <c r="P1350" s="2" t="s">
        <v>443</v>
      </c>
      <c r="Q1350" s="2" t="str">
        <f t="shared" si="180"/>
        <v>SI_A_EN_MEGA_ELECTRONBALL</v>
      </c>
      <c r="R1350" s="2" t="b">
        <v>0</v>
      </c>
      <c r="S1350" s="2" t="b">
        <v>1</v>
      </c>
      <c r="T1350" s="2">
        <v>2</v>
      </c>
      <c r="V1350" s="2" t="s">
        <v>263</v>
      </c>
      <c r="W1350" s="2">
        <v>3</v>
      </c>
      <c r="X1350" s="2" t="s">
        <v>264</v>
      </c>
      <c r="Y1350" s="2">
        <v>2.1</v>
      </c>
      <c r="Z1350" s="2" t="s">
        <v>259</v>
      </c>
      <c r="AA1350" s="2">
        <f t="shared" si="182"/>
        <v>2.1</v>
      </c>
    </row>
    <row r="1351" spans="1:27" s="5" customFormat="1">
      <c r="A1351" s="6">
        <v>3202</v>
      </c>
      <c r="B1351" s="8" t="str">
        <f>VLOOKUP($A1351,SkillEnum!$A$2:$C$1020,2,FALSE)</f>
        <v>SI_A_EN_MEGA_ELECTRONBALL</v>
      </c>
      <c r="C1351" s="8">
        <v>6</v>
      </c>
      <c r="D1351" s="5" t="str">
        <f>VLOOKUP($C1351,SkillEnum!$D$2:$E$10,2,FALSE)</f>
        <v>ST_ACTIVE</v>
      </c>
      <c r="E1351" s="8" t="str">
        <f>VLOOKUP($A1351,SkillEnum!$A$2:$C$1020,3,FALSE)</f>
        <v>메가 일렉트론볼</v>
      </c>
      <c r="F1351" s="8" t="str">
        <f t="shared" si="181"/>
        <v>단축키를 눌러 3 초간 차지하여 마법공격력의 615 % 공격력을 가진 220 % 크기와 사정거리를 가진 일렉트론볼을 완성하고, 단축키에서 손을 떼는 것으로 발사한다. (점프 중에도 사용이 가능하다.)</v>
      </c>
      <c r="G1351" s="5">
        <v>10</v>
      </c>
      <c r="H1351" s="5">
        <v>7.5</v>
      </c>
      <c r="I1351" s="5">
        <v>0</v>
      </c>
      <c r="J1351" s="5">
        <v>30</v>
      </c>
      <c r="K1351" s="5">
        <v>0</v>
      </c>
      <c r="L1351" s="5">
        <v>0</v>
      </c>
      <c r="M1351" s="5">
        <v>0</v>
      </c>
      <c r="N1351" s="5">
        <v>0</v>
      </c>
      <c r="O1351" s="5">
        <v>0</v>
      </c>
      <c r="P1351" s="2" t="s">
        <v>443</v>
      </c>
      <c r="Q1351" s="2" t="str">
        <f t="shared" si="180"/>
        <v>SI_A_EN_MEGA_ELECTRONBALL</v>
      </c>
      <c r="R1351" s="5" t="b">
        <v>0</v>
      </c>
      <c r="S1351" s="2" t="b">
        <v>1</v>
      </c>
      <c r="T1351" s="2">
        <v>2</v>
      </c>
      <c r="U1351" s="2"/>
      <c r="V1351" s="5" t="s">
        <v>263</v>
      </c>
      <c r="W1351" s="5">
        <v>3</v>
      </c>
      <c r="X1351" s="5" t="s">
        <v>264</v>
      </c>
      <c r="Y1351" s="5">
        <v>2.2000000000000002</v>
      </c>
      <c r="Z1351" s="5" t="s">
        <v>259</v>
      </c>
      <c r="AA1351" s="5">
        <f t="shared" si="182"/>
        <v>2.2000000000000002</v>
      </c>
    </row>
    <row r="1352" spans="1:27">
      <c r="A1352" s="4">
        <v>3203</v>
      </c>
      <c r="B1352" s="7" t="str">
        <f>VLOOKUP($A1352,SkillEnum!$A$2:$C$1020,2,FALSE)</f>
        <v>SI_A_EEG_METAL_DUST_AURA</v>
      </c>
      <c r="C1352" s="7">
        <v>6</v>
      </c>
      <c r="D1352" s="2" t="str">
        <f>VLOOKUP($C1352,SkillEnum!$D$2:$E$10,2,FALSE)</f>
        <v>ST_ACTIVE</v>
      </c>
      <c r="E1352" s="11" t="str">
        <f>VLOOKUP($A1352,SkillEnum!$A$2:$C$1020,3,FALSE)</f>
        <v>메탈 더스트 오라</v>
      </c>
      <c r="F1352" s="11" t="str">
        <f>"몸에서 금속 부스러기가 생성되어 나와 마법공격력의 "&amp;ROUND(H1352*100,0)&amp;" %로 순간적으로 타격하고, 20초간 몸 주위를 돌면서 급접한 적들에게 1초 간격으로 마법공격력의 "&amp;ROUND(H1352*10,0)&amp;" % 피해를 입힌다."</f>
        <v>몸에서 금속 부스러기가 생성되어 나와 마법공격력의 120 %로 순간적으로 타격하고, 20초간 몸 주위를 돌면서 급접한 적들에게 1초 간격으로 마법공격력의 12 % 피해를 입힌다.</v>
      </c>
      <c r="G1352" s="10">
        <v>1</v>
      </c>
      <c r="H1352" s="2">
        <v>1.2</v>
      </c>
      <c r="I1352" s="2">
        <v>0</v>
      </c>
      <c r="J1352" s="10">
        <v>30</v>
      </c>
      <c r="K1352" s="2">
        <v>0</v>
      </c>
      <c r="L1352" s="2">
        <v>0</v>
      </c>
      <c r="M1352" s="2">
        <v>0</v>
      </c>
      <c r="N1352" s="2">
        <v>0</v>
      </c>
      <c r="O1352" s="2">
        <v>0</v>
      </c>
      <c r="P1352" s="2" t="s">
        <v>443</v>
      </c>
      <c r="Q1352" s="2" t="str">
        <f t="shared" ref="Q1352:Q1361" si="183">B1352</f>
        <v>SI_A_EEG_METAL_DUST_AURA</v>
      </c>
      <c r="R1352" s="2" t="b">
        <v>0</v>
      </c>
      <c r="S1352" s="2" t="b">
        <v>1</v>
      </c>
      <c r="T1352" s="2">
        <v>2</v>
      </c>
      <c r="U1352" s="2" t="b">
        <v>1</v>
      </c>
      <c r="Z1352" s="10"/>
      <c r="AA1352" s="10"/>
    </row>
    <row r="1353" spans="1:27">
      <c r="A1353" s="4">
        <v>3203</v>
      </c>
      <c r="B1353" s="7" t="str">
        <f>VLOOKUP($A1353,SkillEnum!$A$2:$C$1020,2,FALSE)</f>
        <v>SI_A_EEG_METAL_DUST_AURA</v>
      </c>
      <c r="C1353" s="7">
        <v>6</v>
      </c>
      <c r="D1353" s="2" t="str">
        <f>VLOOKUP($C1353,SkillEnum!$D$2:$E$10,2,FALSE)</f>
        <v>ST_ACTIVE</v>
      </c>
      <c r="E1353" s="7" t="str">
        <f>VLOOKUP($A1353,SkillEnum!$A$2:$C$1020,3,FALSE)</f>
        <v>메탈 더스트 오라</v>
      </c>
      <c r="F1353" s="7" t="str">
        <f t="shared" ref="F1353:F1361" si="184">"몸에서 금속 부스러기가 생성되어 나와 마법공격력의 "&amp;ROUND(H1353*100,0)&amp;" %로 순간적으로 타격하고, 20초간 몸 주위를 돌면서 급접한 적들에게 1초 간격으로 마법공격력의 "&amp;ROUND(H1353*10,0)&amp;" % 피해를 입힌다."</f>
        <v>몸에서 금속 부스러기가 생성되어 나와 마법공격력의 140 %로 순간적으로 타격하고, 20초간 몸 주위를 돌면서 급접한 적들에게 1초 간격으로 마법공격력의 14 % 피해를 입힌다.</v>
      </c>
      <c r="G1353" s="2">
        <v>2</v>
      </c>
      <c r="H1353" s="2">
        <v>1.4</v>
      </c>
      <c r="I1353" s="2">
        <v>0</v>
      </c>
      <c r="J1353" s="2">
        <v>30</v>
      </c>
      <c r="K1353" s="2">
        <v>0</v>
      </c>
      <c r="L1353" s="2">
        <v>0</v>
      </c>
      <c r="M1353" s="2">
        <v>0</v>
      </c>
      <c r="N1353" s="2">
        <v>0</v>
      </c>
      <c r="O1353" s="2">
        <v>0</v>
      </c>
      <c r="P1353" s="2" t="s">
        <v>443</v>
      </c>
      <c r="Q1353" s="2" t="str">
        <f t="shared" si="183"/>
        <v>SI_A_EEG_METAL_DUST_AURA</v>
      </c>
      <c r="R1353" s="2" t="b">
        <v>0</v>
      </c>
      <c r="S1353" s="2" t="b">
        <v>1</v>
      </c>
      <c r="T1353" s="2">
        <v>2</v>
      </c>
      <c r="U1353" s="2" t="b">
        <v>1</v>
      </c>
    </row>
    <row r="1354" spans="1:27">
      <c r="A1354" s="4">
        <v>3203</v>
      </c>
      <c r="B1354" s="7" t="str">
        <f>VLOOKUP($A1354,SkillEnum!$A$2:$C$1020,2,FALSE)</f>
        <v>SI_A_EEG_METAL_DUST_AURA</v>
      </c>
      <c r="C1354" s="7">
        <v>6</v>
      </c>
      <c r="D1354" s="2" t="str">
        <f>VLOOKUP($C1354,SkillEnum!$D$2:$E$10,2,FALSE)</f>
        <v>ST_ACTIVE</v>
      </c>
      <c r="E1354" s="7" t="str">
        <f>VLOOKUP($A1354,SkillEnum!$A$2:$C$1020,3,FALSE)</f>
        <v>메탈 더스트 오라</v>
      </c>
      <c r="F1354" s="7" t="str">
        <f t="shared" si="184"/>
        <v>몸에서 금속 부스러기가 생성되어 나와 마법공격력의 160 %로 순간적으로 타격하고, 20초간 몸 주위를 돌면서 급접한 적들에게 1초 간격으로 마법공격력의 16 % 피해를 입힌다.</v>
      </c>
      <c r="G1354" s="2">
        <v>3</v>
      </c>
      <c r="H1354" s="2">
        <v>1.6</v>
      </c>
      <c r="I1354" s="2">
        <v>0</v>
      </c>
      <c r="J1354" s="2">
        <v>30</v>
      </c>
      <c r="K1354" s="2">
        <v>0</v>
      </c>
      <c r="L1354" s="2">
        <v>0</v>
      </c>
      <c r="M1354" s="2">
        <v>0</v>
      </c>
      <c r="N1354" s="2">
        <v>0</v>
      </c>
      <c r="O1354" s="2">
        <v>0</v>
      </c>
      <c r="P1354" s="2" t="s">
        <v>443</v>
      </c>
      <c r="Q1354" s="2" t="str">
        <f t="shared" si="183"/>
        <v>SI_A_EEG_METAL_DUST_AURA</v>
      </c>
      <c r="R1354" s="2" t="b">
        <v>0</v>
      </c>
      <c r="S1354" s="2" t="b">
        <v>1</v>
      </c>
      <c r="T1354" s="2">
        <v>2</v>
      </c>
      <c r="U1354" s="2" t="b">
        <v>1</v>
      </c>
    </row>
    <row r="1355" spans="1:27">
      <c r="A1355" s="4">
        <v>3203</v>
      </c>
      <c r="B1355" s="7" t="str">
        <f>VLOOKUP($A1355,SkillEnum!$A$2:$C$1020,2,FALSE)</f>
        <v>SI_A_EEG_METAL_DUST_AURA</v>
      </c>
      <c r="C1355" s="7">
        <v>6</v>
      </c>
      <c r="D1355" s="2" t="str">
        <f>VLOOKUP($C1355,SkillEnum!$D$2:$E$10,2,FALSE)</f>
        <v>ST_ACTIVE</v>
      </c>
      <c r="E1355" s="7" t="str">
        <f>VLOOKUP($A1355,SkillEnum!$A$2:$C$1020,3,FALSE)</f>
        <v>메탈 더스트 오라</v>
      </c>
      <c r="F1355" s="7" t="str">
        <f t="shared" si="184"/>
        <v>몸에서 금속 부스러기가 생성되어 나와 마법공격력의 180 %로 순간적으로 타격하고, 20초간 몸 주위를 돌면서 급접한 적들에게 1초 간격으로 마법공격력의 18 % 피해를 입힌다.</v>
      </c>
      <c r="G1355" s="2">
        <v>4</v>
      </c>
      <c r="H1355" s="2">
        <v>1.8</v>
      </c>
      <c r="I1355" s="2">
        <v>0</v>
      </c>
      <c r="J1355" s="2">
        <v>30</v>
      </c>
      <c r="K1355" s="2">
        <v>0</v>
      </c>
      <c r="L1355" s="2">
        <v>0</v>
      </c>
      <c r="M1355" s="2">
        <v>0</v>
      </c>
      <c r="N1355" s="2">
        <v>0</v>
      </c>
      <c r="O1355" s="2">
        <v>0</v>
      </c>
      <c r="P1355" s="2" t="s">
        <v>443</v>
      </c>
      <c r="Q1355" s="2" t="str">
        <f t="shared" si="183"/>
        <v>SI_A_EEG_METAL_DUST_AURA</v>
      </c>
      <c r="R1355" s="2" t="b">
        <v>0</v>
      </c>
      <c r="S1355" s="2" t="b">
        <v>1</v>
      </c>
      <c r="T1355" s="2">
        <v>2</v>
      </c>
      <c r="U1355" s="2" t="b">
        <v>1</v>
      </c>
    </row>
    <row r="1356" spans="1:27">
      <c r="A1356" s="4">
        <v>3203</v>
      </c>
      <c r="B1356" s="7" t="str">
        <f>VLOOKUP($A1356,SkillEnum!$A$2:$C$1020,2,FALSE)</f>
        <v>SI_A_EEG_METAL_DUST_AURA</v>
      </c>
      <c r="C1356" s="7">
        <v>6</v>
      </c>
      <c r="D1356" s="2" t="str">
        <f>VLOOKUP($C1356,SkillEnum!$D$2:$E$10,2,FALSE)</f>
        <v>ST_ACTIVE</v>
      </c>
      <c r="E1356" s="7" t="str">
        <f>VLOOKUP($A1356,SkillEnum!$A$2:$C$1020,3,FALSE)</f>
        <v>메탈 더스트 오라</v>
      </c>
      <c r="F1356" s="7" t="str">
        <f t="shared" si="184"/>
        <v>몸에서 금속 부스러기가 생성되어 나와 마법공격력의 200 %로 순간적으로 타격하고, 20초간 몸 주위를 돌면서 급접한 적들에게 1초 간격으로 마법공격력의 20 % 피해를 입힌다.</v>
      </c>
      <c r="G1356" s="2">
        <v>5</v>
      </c>
      <c r="H1356" s="2">
        <v>2</v>
      </c>
      <c r="I1356" s="2">
        <v>0</v>
      </c>
      <c r="J1356" s="2">
        <v>30</v>
      </c>
      <c r="K1356" s="2">
        <v>0</v>
      </c>
      <c r="L1356" s="2">
        <v>0</v>
      </c>
      <c r="M1356" s="2">
        <v>0</v>
      </c>
      <c r="N1356" s="2">
        <v>0</v>
      </c>
      <c r="O1356" s="2">
        <v>0</v>
      </c>
      <c r="P1356" s="2" t="s">
        <v>443</v>
      </c>
      <c r="Q1356" s="2" t="str">
        <f t="shared" si="183"/>
        <v>SI_A_EEG_METAL_DUST_AURA</v>
      </c>
      <c r="R1356" s="2" t="b">
        <v>0</v>
      </c>
      <c r="S1356" s="2" t="b">
        <v>1</v>
      </c>
      <c r="T1356" s="2">
        <v>2</v>
      </c>
      <c r="U1356" s="2" t="b">
        <v>1</v>
      </c>
    </row>
    <row r="1357" spans="1:27">
      <c r="A1357" s="4">
        <v>3203</v>
      </c>
      <c r="B1357" s="7" t="str">
        <f>VLOOKUP($A1357,SkillEnum!$A$2:$C$1020,2,FALSE)</f>
        <v>SI_A_EEG_METAL_DUST_AURA</v>
      </c>
      <c r="C1357" s="7">
        <v>6</v>
      </c>
      <c r="D1357" s="2" t="str">
        <f>VLOOKUP($C1357,SkillEnum!$D$2:$E$10,2,FALSE)</f>
        <v>ST_ACTIVE</v>
      </c>
      <c r="E1357" s="7" t="str">
        <f>VLOOKUP($A1357,SkillEnum!$A$2:$C$1020,3,FALSE)</f>
        <v>메탈 더스트 오라</v>
      </c>
      <c r="F1357" s="7" t="str">
        <f t="shared" si="184"/>
        <v>몸에서 금속 부스러기가 생성되어 나와 마법공격력의 220 %로 순간적으로 타격하고, 20초간 몸 주위를 돌면서 급접한 적들에게 1초 간격으로 마법공격력의 22 % 피해를 입힌다.</v>
      </c>
      <c r="G1357" s="2">
        <v>6</v>
      </c>
      <c r="H1357" s="2">
        <v>2.2000000000000002</v>
      </c>
      <c r="I1357" s="2">
        <v>0</v>
      </c>
      <c r="J1357" s="2">
        <v>30</v>
      </c>
      <c r="K1357" s="2">
        <v>0</v>
      </c>
      <c r="L1357" s="2">
        <v>0</v>
      </c>
      <c r="M1357" s="2">
        <v>0</v>
      </c>
      <c r="N1357" s="2">
        <v>0</v>
      </c>
      <c r="O1357" s="2">
        <v>0</v>
      </c>
      <c r="P1357" s="2" t="s">
        <v>443</v>
      </c>
      <c r="Q1357" s="2" t="str">
        <f t="shared" si="183"/>
        <v>SI_A_EEG_METAL_DUST_AURA</v>
      </c>
      <c r="R1357" s="2" t="b">
        <v>0</v>
      </c>
      <c r="S1357" s="2" t="b">
        <v>1</v>
      </c>
      <c r="T1357" s="2">
        <v>2</v>
      </c>
      <c r="U1357" s="2" t="b">
        <v>1</v>
      </c>
    </row>
    <row r="1358" spans="1:27">
      <c r="A1358" s="4">
        <v>3203</v>
      </c>
      <c r="B1358" s="7" t="str">
        <f>VLOOKUP($A1358,SkillEnum!$A$2:$C$1020,2,FALSE)</f>
        <v>SI_A_EEG_METAL_DUST_AURA</v>
      </c>
      <c r="C1358" s="7">
        <v>6</v>
      </c>
      <c r="D1358" s="2" t="str">
        <f>VLOOKUP($C1358,SkillEnum!$D$2:$E$10,2,FALSE)</f>
        <v>ST_ACTIVE</v>
      </c>
      <c r="E1358" s="7" t="str">
        <f>VLOOKUP($A1358,SkillEnum!$A$2:$C$1020,3,FALSE)</f>
        <v>메탈 더스트 오라</v>
      </c>
      <c r="F1358" s="7" t="str">
        <f t="shared" si="184"/>
        <v>몸에서 금속 부스러기가 생성되어 나와 마법공격력의 240 %로 순간적으로 타격하고, 20초간 몸 주위를 돌면서 급접한 적들에게 1초 간격으로 마법공격력의 24 % 피해를 입힌다.</v>
      </c>
      <c r="G1358" s="2">
        <v>7</v>
      </c>
      <c r="H1358" s="2">
        <v>2.4</v>
      </c>
      <c r="I1358" s="2">
        <v>0</v>
      </c>
      <c r="J1358" s="2">
        <v>30</v>
      </c>
      <c r="K1358" s="2">
        <v>0</v>
      </c>
      <c r="L1358" s="2">
        <v>0</v>
      </c>
      <c r="M1358" s="2">
        <v>0</v>
      </c>
      <c r="N1358" s="2">
        <v>0</v>
      </c>
      <c r="O1358" s="2">
        <v>0</v>
      </c>
      <c r="P1358" s="2" t="s">
        <v>443</v>
      </c>
      <c r="Q1358" s="2" t="str">
        <f t="shared" si="183"/>
        <v>SI_A_EEG_METAL_DUST_AURA</v>
      </c>
      <c r="R1358" s="2" t="b">
        <v>0</v>
      </c>
      <c r="S1358" s="2" t="b">
        <v>1</v>
      </c>
      <c r="T1358" s="2">
        <v>2</v>
      </c>
      <c r="U1358" s="2" t="b">
        <v>1</v>
      </c>
    </row>
    <row r="1359" spans="1:27">
      <c r="A1359" s="4">
        <v>3203</v>
      </c>
      <c r="B1359" s="7" t="str">
        <f>VLOOKUP($A1359,SkillEnum!$A$2:$C$1020,2,FALSE)</f>
        <v>SI_A_EEG_METAL_DUST_AURA</v>
      </c>
      <c r="C1359" s="7">
        <v>6</v>
      </c>
      <c r="D1359" s="2" t="str">
        <f>VLOOKUP($C1359,SkillEnum!$D$2:$E$10,2,FALSE)</f>
        <v>ST_ACTIVE</v>
      </c>
      <c r="E1359" s="7" t="str">
        <f>VLOOKUP($A1359,SkillEnum!$A$2:$C$1020,3,FALSE)</f>
        <v>메탈 더스트 오라</v>
      </c>
      <c r="F1359" s="7" t="str">
        <f t="shared" si="184"/>
        <v>몸에서 금속 부스러기가 생성되어 나와 마법공격력의 260 %로 순간적으로 타격하고, 20초간 몸 주위를 돌면서 급접한 적들에게 1초 간격으로 마법공격력의 26 % 피해를 입힌다.</v>
      </c>
      <c r="G1359" s="2">
        <v>8</v>
      </c>
      <c r="H1359" s="2">
        <v>2.6</v>
      </c>
      <c r="I1359" s="2">
        <v>0</v>
      </c>
      <c r="J1359" s="2">
        <v>30</v>
      </c>
      <c r="K1359" s="2">
        <v>0</v>
      </c>
      <c r="L1359" s="2">
        <v>0</v>
      </c>
      <c r="M1359" s="2">
        <v>0</v>
      </c>
      <c r="N1359" s="2">
        <v>0</v>
      </c>
      <c r="O1359" s="2">
        <v>0</v>
      </c>
      <c r="P1359" s="2" t="s">
        <v>443</v>
      </c>
      <c r="Q1359" s="2" t="str">
        <f t="shared" si="183"/>
        <v>SI_A_EEG_METAL_DUST_AURA</v>
      </c>
      <c r="R1359" s="2" t="b">
        <v>0</v>
      </c>
      <c r="S1359" s="2" t="b">
        <v>1</v>
      </c>
      <c r="T1359" s="2">
        <v>2</v>
      </c>
      <c r="U1359" s="2" t="b">
        <v>1</v>
      </c>
    </row>
    <row r="1360" spans="1:27">
      <c r="A1360" s="4">
        <v>3203</v>
      </c>
      <c r="B1360" s="7" t="str">
        <f>VLOOKUP($A1360,SkillEnum!$A$2:$C$1020,2,FALSE)</f>
        <v>SI_A_EEG_METAL_DUST_AURA</v>
      </c>
      <c r="C1360" s="7">
        <v>6</v>
      </c>
      <c r="D1360" s="2" t="str">
        <f>VLOOKUP($C1360,SkillEnum!$D$2:$E$10,2,FALSE)</f>
        <v>ST_ACTIVE</v>
      </c>
      <c r="E1360" s="7" t="str">
        <f>VLOOKUP($A1360,SkillEnum!$A$2:$C$1020,3,FALSE)</f>
        <v>메탈 더스트 오라</v>
      </c>
      <c r="F1360" s="7" t="str">
        <f t="shared" si="184"/>
        <v>몸에서 금속 부스러기가 생성되어 나와 마법공격력의 280 %로 순간적으로 타격하고, 20초간 몸 주위를 돌면서 급접한 적들에게 1초 간격으로 마법공격력의 28 % 피해를 입힌다.</v>
      </c>
      <c r="G1360" s="2">
        <v>9</v>
      </c>
      <c r="H1360" s="2">
        <v>2.8</v>
      </c>
      <c r="I1360" s="2">
        <v>0</v>
      </c>
      <c r="J1360" s="2">
        <v>30</v>
      </c>
      <c r="K1360" s="2">
        <v>0</v>
      </c>
      <c r="L1360" s="2">
        <v>0</v>
      </c>
      <c r="M1360" s="2">
        <v>0</v>
      </c>
      <c r="N1360" s="2">
        <v>0</v>
      </c>
      <c r="O1360" s="2">
        <v>0</v>
      </c>
      <c r="P1360" s="2" t="s">
        <v>443</v>
      </c>
      <c r="Q1360" s="2" t="str">
        <f t="shared" si="183"/>
        <v>SI_A_EEG_METAL_DUST_AURA</v>
      </c>
      <c r="R1360" s="2" t="b">
        <v>0</v>
      </c>
      <c r="S1360" s="2" t="b">
        <v>1</v>
      </c>
      <c r="T1360" s="2">
        <v>2</v>
      </c>
      <c r="U1360" s="2" t="b">
        <v>1</v>
      </c>
    </row>
    <row r="1361" spans="1:27" s="5" customFormat="1">
      <c r="A1361" s="6">
        <v>3203</v>
      </c>
      <c r="B1361" s="8" t="str">
        <f>VLOOKUP($A1361,SkillEnum!$A$2:$C$1020,2,FALSE)</f>
        <v>SI_A_EEG_METAL_DUST_AURA</v>
      </c>
      <c r="C1361" s="8">
        <v>6</v>
      </c>
      <c r="D1361" s="5" t="str">
        <f>VLOOKUP($C1361,SkillEnum!$D$2:$E$10,2,FALSE)</f>
        <v>ST_ACTIVE</v>
      </c>
      <c r="E1361" s="8" t="str">
        <f>VLOOKUP($A1361,SkillEnum!$A$2:$C$1020,3,FALSE)</f>
        <v>메탈 더스트 오라</v>
      </c>
      <c r="F1361" s="8" t="str">
        <f t="shared" si="184"/>
        <v>몸에서 금속 부스러기가 생성되어 나와 마법공격력의 300 %로 순간적으로 타격하고, 20초간 몸 주위를 돌면서 급접한 적들에게 1초 간격으로 마법공격력의 30 % 피해를 입힌다.</v>
      </c>
      <c r="G1361" s="5">
        <v>10</v>
      </c>
      <c r="H1361" s="5">
        <v>3</v>
      </c>
      <c r="I1361" s="5">
        <v>0</v>
      </c>
      <c r="J1361" s="5">
        <v>30</v>
      </c>
      <c r="K1361" s="5">
        <v>0</v>
      </c>
      <c r="L1361" s="5">
        <v>0</v>
      </c>
      <c r="M1361" s="5">
        <v>0</v>
      </c>
      <c r="N1361" s="5">
        <v>0</v>
      </c>
      <c r="O1361" s="5">
        <v>0</v>
      </c>
      <c r="P1361" s="2" t="s">
        <v>443</v>
      </c>
      <c r="Q1361" s="2" t="str">
        <f t="shared" si="183"/>
        <v>SI_A_EEG_METAL_DUST_AURA</v>
      </c>
      <c r="R1361" s="5" t="b">
        <v>0</v>
      </c>
      <c r="S1361" s="2" t="b">
        <v>1</v>
      </c>
      <c r="T1361" s="2">
        <v>2</v>
      </c>
      <c r="U1361" s="2" t="b">
        <v>1</v>
      </c>
    </row>
    <row r="1362" spans="1:27">
      <c r="A1362" s="4">
        <v>3204</v>
      </c>
      <c r="B1362" s="7" t="str">
        <f>VLOOKUP($A1362,SkillEnum!$A$2:$C$1020,2,FALSE)</f>
        <v xml:space="preserve">SI_A_EAT_OBERON_GUARD </v>
      </c>
      <c r="C1362" s="7">
        <v>6</v>
      </c>
      <c r="D1362" s="2" t="str">
        <f>VLOOKUP($C1362,SkillEnum!$D$2:$E$10,2,FALSE)</f>
        <v>ST_ACTIVE</v>
      </c>
      <c r="E1362" s="11" t="str">
        <f>VLOOKUP($A1362,SkillEnum!$A$2:$C$1020,3,FALSE)</f>
        <v>오베론 가드</v>
      </c>
      <c r="F1362" s="11" t="str">
        <f>"오베론이 나타나 후방에서 적들이 접근하지 못하도록 "&amp;W1362&amp;"초간 유지되는 "&amp;ROUND(Y1362*4,0)&amp;"M 높이의 빛의 기둥을 만든다. 빛의 기둥에 닿은 적은 마법공격력의 "&amp;ROUND(H1362*100,0)&amp;" % 피해를 입으며 4M 튕겨 난다."</f>
        <v>오베론이 나타나 후방에서 적들이 접근하지 못하도록 3초간 유지되는 2M 높이의 빛의 기둥을 만든다. 빛의 기둥에 닿은 적은 마법공격력의 70 % 피해를 입으며 4M 튕겨 난다.</v>
      </c>
      <c r="G1362" s="10">
        <v>1</v>
      </c>
      <c r="H1362" s="2">
        <v>0.7</v>
      </c>
      <c r="I1362" s="2">
        <v>0</v>
      </c>
      <c r="J1362" s="10">
        <v>30</v>
      </c>
      <c r="K1362" s="2">
        <v>0</v>
      </c>
      <c r="L1362" s="2">
        <v>0</v>
      </c>
      <c r="M1362" s="2">
        <v>0</v>
      </c>
      <c r="N1362" s="2">
        <v>0</v>
      </c>
      <c r="O1362" s="2">
        <v>0</v>
      </c>
      <c r="P1362" s="2" t="s">
        <v>443</v>
      </c>
      <c r="Q1362" s="2" t="str">
        <f t="shared" ref="Q1362:Q1371" si="185">B1362</f>
        <v xml:space="preserve">SI_A_EAT_OBERON_GUARD </v>
      </c>
      <c r="R1362" s="2" t="b">
        <v>0</v>
      </c>
      <c r="S1362" s="2" t="b">
        <v>1</v>
      </c>
      <c r="T1362" s="2">
        <v>2</v>
      </c>
      <c r="U1362" s="2" t="b">
        <v>1</v>
      </c>
      <c r="V1362" s="2" t="s">
        <v>262</v>
      </c>
      <c r="W1362" s="2">
        <v>3</v>
      </c>
      <c r="X1362" s="2" t="s">
        <v>264</v>
      </c>
      <c r="Y1362" s="2">
        <v>0.6</v>
      </c>
      <c r="Z1362" s="10"/>
      <c r="AA1362" s="10"/>
    </row>
    <row r="1363" spans="1:27">
      <c r="A1363" s="4">
        <v>3204</v>
      </c>
      <c r="B1363" s="7" t="str">
        <f>VLOOKUP($A1363,SkillEnum!$A$2:$C$1020,2,FALSE)</f>
        <v xml:space="preserve">SI_A_EAT_OBERON_GUARD </v>
      </c>
      <c r="C1363" s="7">
        <v>6</v>
      </c>
      <c r="D1363" s="2" t="str">
        <f>VLOOKUP($C1363,SkillEnum!$D$2:$E$10,2,FALSE)</f>
        <v>ST_ACTIVE</v>
      </c>
      <c r="E1363" s="7" t="str">
        <f>VLOOKUP($A1363,SkillEnum!$A$2:$C$1020,3,FALSE)</f>
        <v>오베론 가드</v>
      </c>
      <c r="F1363" s="7" t="str">
        <f t="shared" ref="F1363:F1371" si="186">"오베론이 나타나 후방에서 적들이 접근하지 못하도록 "&amp;W1363&amp;"초간 유지되는 "&amp;ROUND(Y1363*4,0)&amp;"M 높이의 빛의 기둥을 만든다. 빛의 기둥에 닿은 적은 마법공격력의 "&amp;ROUND(H1363*100,0)&amp;" % 피해를 입으며 4M 튕겨 난다."</f>
        <v>오베론이 나타나 후방에서 적들이 접근하지 못하도록 4초간 유지되는 2M 높이의 빛의 기둥을 만든다. 빛의 기둥에 닿은 적은 마법공격력의 90 % 피해를 입으며 4M 튕겨 난다.</v>
      </c>
      <c r="G1363" s="2">
        <v>2</v>
      </c>
      <c r="H1363" s="2">
        <v>0.9</v>
      </c>
      <c r="I1363" s="2">
        <v>0</v>
      </c>
      <c r="J1363" s="2">
        <v>30</v>
      </c>
      <c r="K1363" s="2">
        <v>0</v>
      </c>
      <c r="L1363" s="2">
        <v>0</v>
      </c>
      <c r="M1363" s="2">
        <v>0</v>
      </c>
      <c r="N1363" s="2">
        <v>0</v>
      </c>
      <c r="O1363" s="2">
        <v>0</v>
      </c>
      <c r="P1363" s="2" t="s">
        <v>443</v>
      </c>
      <c r="Q1363" s="2" t="str">
        <f t="shared" si="185"/>
        <v xml:space="preserve">SI_A_EAT_OBERON_GUARD </v>
      </c>
      <c r="R1363" s="2" t="b">
        <v>0</v>
      </c>
      <c r="S1363" s="2" t="b">
        <v>1</v>
      </c>
      <c r="T1363" s="2">
        <v>2</v>
      </c>
      <c r="U1363" s="2" t="b">
        <v>1</v>
      </c>
      <c r="V1363" s="2" t="s">
        <v>262</v>
      </c>
      <c r="W1363" s="2">
        <v>4</v>
      </c>
      <c r="X1363" s="2" t="s">
        <v>264</v>
      </c>
      <c r="Y1363" s="2">
        <v>0.6</v>
      </c>
    </row>
    <row r="1364" spans="1:27">
      <c r="A1364" s="4">
        <v>3204</v>
      </c>
      <c r="B1364" s="7" t="str">
        <f>VLOOKUP($A1364,SkillEnum!$A$2:$C$1020,2,FALSE)</f>
        <v xml:space="preserve">SI_A_EAT_OBERON_GUARD </v>
      </c>
      <c r="C1364" s="7">
        <v>6</v>
      </c>
      <c r="D1364" s="2" t="str">
        <f>VLOOKUP($C1364,SkillEnum!$D$2:$E$10,2,FALSE)</f>
        <v>ST_ACTIVE</v>
      </c>
      <c r="E1364" s="7" t="str">
        <f>VLOOKUP($A1364,SkillEnum!$A$2:$C$1020,3,FALSE)</f>
        <v>오베론 가드</v>
      </c>
      <c r="F1364" s="7" t="str">
        <f t="shared" si="186"/>
        <v>오베론이 나타나 후방에서 적들이 접근하지 못하도록 5초간 유지되는 2M 높이의 빛의 기둥을 만든다. 빛의 기둥에 닿은 적은 마법공격력의 110 % 피해를 입으며 4M 튕겨 난다.</v>
      </c>
      <c r="G1364" s="2">
        <v>3</v>
      </c>
      <c r="H1364" s="2">
        <v>1.1000000000000001</v>
      </c>
      <c r="I1364" s="2">
        <v>0</v>
      </c>
      <c r="J1364" s="2">
        <v>30</v>
      </c>
      <c r="K1364" s="2">
        <v>0</v>
      </c>
      <c r="L1364" s="2">
        <v>0</v>
      </c>
      <c r="M1364" s="2">
        <v>0</v>
      </c>
      <c r="N1364" s="2">
        <v>0</v>
      </c>
      <c r="O1364" s="2">
        <v>0</v>
      </c>
      <c r="P1364" s="2" t="s">
        <v>443</v>
      </c>
      <c r="Q1364" s="2" t="str">
        <f t="shared" si="185"/>
        <v xml:space="preserve">SI_A_EAT_OBERON_GUARD </v>
      </c>
      <c r="R1364" s="2" t="b">
        <v>0</v>
      </c>
      <c r="S1364" s="2" t="b">
        <v>1</v>
      </c>
      <c r="T1364" s="2">
        <v>2</v>
      </c>
      <c r="U1364" s="2" t="b">
        <v>1</v>
      </c>
      <c r="V1364" s="2" t="s">
        <v>262</v>
      </c>
      <c r="W1364" s="2">
        <v>5</v>
      </c>
      <c r="X1364" s="2" t="s">
        <v>264</v>
      </c>
      <c r="Y1364" s="2">
        <v>0.6</v>
      </c>
    </row>
    <row r="1365" spans="1:27">
      <c r="A1365" s="4">
        <v>3204</v>
      </c>
      <c r="B1365" s="7" t="str">
        <f>VLOOKUP($A1365,SkillEnum!$A$2:$C$1020,2,FALSE)</f>
        <v xml:space="preserve">SI_A_EAT_OBERON_GUARD </v>
      </c>
      <c r="C1365" s="7">
        <v>6</v>
      </c>
      <c r="D1365" s="2" t="str">
        <f>VLOOKUP($C1365,SkillEnum!$D$2:$E$10,2,FALSE)</f>
        <v>ST_ACTIVE</v>
      </c>
      <c r="E1365" s="7" t="str">
        <f>VLOOKUP($A1365,SkillEnum!$A$2:$C$1020,3,FALSE)</f>
        <v>오베론 가드</v>
      </c>
      <c r="F1365" s="7" t="str">
        <f t="shared" si="186"/>
        <v>오베론이 나타나 후방에서 적들이 접근하지 못하도록 5초간 유지되는 3M 높이의 빛의 기둥을 만든다. 빛의 기둥에 닿은 적은 마법공격력의 130 % 피해를 입으며 4M 튕겨 난다.</v>
      </c>
      <c r="G1365" s="2">
        <v>4</v>
      </c>
      <c r="H1365" s="2">
        <v>1.3</v>
      </c>
      <c r="I1365" s="2">
        <v>0</v>
      </c>
      <c r="J1365" s="2">
        <v>30</v>
      </c>
      <c r="K1365" s="2">
        <v>0</v>
      </c>
      <c r="L1365" s="2">
        <v>0</v>
      </c>
      <c r="M1365" s="2">
        <v>0</v>
      </c>
      <c r="N1365" s="2">
        <v>0</v>
      </c>
      <c r="O1365" s="2">
        <v>0</v>
      </c>
      <c r="P1365" s="2" t="s">
        <v>443</v>
      </c>
      <c r="Q1365" s="2" t="str">
        <f t="shared" si="185"/>
        <v xml:space="preserve">SI_A_EAT_OBERON_GUARD </v>
      </c>
      <c r="R1365" s="2" t="b">
        <v>0</v>
      </c>
      <c r="S1365" s="2" t="b">
        <v>1</v>
      </c>
      <c r="T1365" s="2">
        <v>2</v>
      </c>
      <c r="U1365" s="2" t="b">
        <v>1</v>
      </c>
      <c r="V1365" s="2" t="s">
        <v>262</v>
      </c>
      <c r="W1365" s="2">
        <v>5</v>
      </c>
      <c r="X1365" s="2" t="s">
        <v>264</v>
      </c>
      <c r="Y1365" s="2">
        <v>0.8</v>
      </c>
    </row>
    <row r="1366" spans="1:27">
      <c r="A1366" s="4">
        <v>3204</v>
      </c>
      <c r="B1366" s="7" t="str">
        <f>VLOOKUP($A1366,SkillEnum!$A$2:$C$1020,2,FALSE)</f>
        <v xml:space="preserve">SI_A_EAT_OBERON_GUARD </v>
      </c>
      <c r="C1366" s="7">
        <v>6</v>
      </c>
      <c r="D1366" s="2" t="str">
        <f>VLOOKUP($C1366,SkillEnum!$D$2:$E$10,2,FALSE)</f>
        <v>ST_ACTIVE</v>
      </c>
      <c r="E1366" s="7" t="str">
        <f>VLOOKUP($A1366,SkillEnum!$A$2:$C$1020,3,FALSE)</f>
        <v>오베론 가드</v>
      </c>
      <c r="F1366" s="7" t="str">
        <f t="shared" si="186"/>
        <v>오베론이 나타나 후방에서 적들이 접근하지 못하도록 5초간 유지되는 4M 높이의 빛의 기둥을 만든다. 빛의 기둥에 닿은 적은 마법공격력의 150 % 피해를 입으며 4M 튕겨 난다.</v>
      </c>
      <c r="G1366" s="2">
        <v>5</v>
      </c>
      <c r="H1366" s="2">
        <v>1.5</v>
      </c>
      <c r="I1366" s="2">
        <v>0</v>
      </c>
      <c r="J1366" s="2">
        <v>30</v>
      </c>
      <c r="K1366" s="2">
        <v>0</v>
      </c>
      <c r="L1366" s="2">
        <v>0</v>
      </c>
      <c r="M1366" s="2">
        <v>0</v>
      </c>
      <c r="N1366" s="2">
        <v>0</v>
      </c>
      <c r="O1366" s="2">
        <v>0</v>
      </c>
      <c r="P1366" s="2" t="s">
        <v>443</v>
      </c>
      <c r="Q1366" s="2" t="str">
        <f t="shared" si="185"/>
        <v xml:space="preserve">SI_A_EAT_OBERON_GUARD </v>
      </c>
      <c r="R1366" s="2" t="b">
        <v>0</v>
      </c>
      <c r="S1366" s="2" t="b">
        <v>1</v>
      </c>
      <c r="T1366" s="2">
        <v>2</v>
      </c>
      <c r="U1366" s="2" t="b">
        <v>1</v>
      </c>
      <c r="V1366" s="2" t="s">
        <v>262</v>
      </c>
      <c r="W1366" s="2">
        <v>5</v>
      </c>
      <c r="X1366" s="2" t="s">
        <v>264</v>
      </c>
      <c r="Y1366" s="2">
        <v>1</v>
      </c>
    </row>
    <row r="1367" spans="1:27">
      <c r="A1367" s="4">
        <v>3204</v>
      </c>
      <c r="B1367" s="7" t="str">
        <f>VLOOKUP($A1367,SkillEnum!$A$2:$C$1020,2,FALSE)</f>
        <v xml:space="preserve">SI_A_EAT_OBERON_GUARD </v>
      </c>
      <c r="C1367" s="7">
        <v>6</v>
      </c>
      <c r="D1367" s="2" t="str">
        <f>VLOOKUP($C1367,SkillEnum!$D$2:$E$10,2,FALSE)</f>
        <v>ST_ACTIVE</v>
      </c>
      <c r="E1367" s="7" t="str">
        <f>VLOOKUP($A1367,SkillEnum!$A$2:$C$1020,3,FALSE)</f>
        <v>오베론 가드</v>
      </c>
      <c r="F1367" s="7" t="str">
        <f t="shared" si="186"/>
        <v>오베론이 나타나 후방에서 적들이 접근하지 못하도록 5초간 유지되는 4M 높이의 빛의 기둥을 만든다. 빛의 기둥에 닿은 적은 마법공격력의 200 % 피해를 입으며 4M 튕겨 난다.</v>
      </c>
      <c r="G1367" s="2">
        <v>6</v>
      </c>
      <c r="H1367" s="2">
        <v>2</v>
      </c>
      <c r="I1367" s="2">
        <v>0</v>
      </c>
      <c r="J1367" s="2">
        <v>30</v>
      </c>
      <c r="K1367" s="2">
        <v>0</v>
      </c>
      <c r="L1367" s="2">
        <v>0</v>
      </c>
      <c r="M1367" s="2">
        <v>0</v>
      </c>
      <c r="N1367" s="2">
        <v>0</v>
      </c>
      <c r="O1367" s="2">
        <v>0</v>
      </c>
      <c r="P1367" s="2" t="s">
        <v>443</v>
      </c>
      <c r="Q1367" s="2" t="str">
        <f t="shared" si="185"/>
        <v xml:space="preserve">SI_A_EAT_OBERON_GUARD </v>
      </c>
      <c r="R1367" s="2" t="b">
        <v>0</v>
      </c>
      <c r="S1367" s="2" t="b">
        <v>1</v>
      </c>
      <c r="T1367" s="2">
        <v>2</v>
      </c>
      <c r="U1367" s="2" t="b">
        <v>1</v>
      </c>
      <c r="V1367" s="2" t="s">
        <v>262</v>
      </c>
      <c r="W1367" s="2">
        <v>5</v>
      </c>
      <c r="X1367" s="2" t="s">
        <v>264</v>
      </c>
      <c r="Y1367" s="2">
        <v>1</v>
      </c>
    </row>
    <row r="1368" spans="1:27">
      <c r="A1368" s="4">
        <v>3204</v>
      </c>
      <c r="B1368" s="7" t="str">
        <f>VLOOKUP($A1368,SkillEnum!$A$2:$C$1020,2,FALSE)</f>
        <v xml:space="preserve">SI_A_EAT_OBERON_GUARD </v>
      </c>
      <c r="C1368" s="7">
        <v>6</v>
      </c>
      <c r="D1368" s="2" t="str">
        <f>VLOOKUP($C1368,SkillEnum!$D$2:$E$10,2,FALSE)</f>
        <v>ST_ACTIVE</v>
      </c>
      <c r="E1368" s="7" t="str">
        <f>VLOOKUP($A1368,SkillEnum!$A$2:$C$1020,3,FALSE)</f>
        <v>오베론 가드</v>
      </c>
      <c r="F1368" s="7" t="str">
        <f t="shared" si="186"/>
        <v>오베론이 나타나 후방에서 적들이 접근하지 못하도록 5초간 유지되는 4M 높이의 빛의 기둥을 만든다. 빛의 기둥에 닿은 적은 마법공격력의 250 % 피해를 입으며 4M 튕겨 난다.</v>
      </c>
      <c r="G1368" s="2">
        <v>7</v>
      </c>
      <c r="H1368" s="2">
        <v>2.5</v>
      </c>
      <c r="I1368" s="2">
        <v>0</v>
      </c>
      <c r="J1368" s="2">
        <v>30</v>
      </c>
      <c r="K1368" s="2">
        <v>0</v>
      </c>
      <c r="L1368" s="2">
        <v>0</v>
      </c>
      <c r="M1368" s="2">
        <v>0</v>
      </c>
      <c r="N1368" s="2">
        <v>0</v>
      </c>
      <c r="O1368" s="2">
        <v>0</v>
      </c>
      <c r="P1368" s="2" t="s">
        <v>443</v>
      </c>
      <c r="Q1368" s="2" t="str">
        <f t="shared" si="185"/>
        <v xml:space="preserve">SI_A_EAT_OBERON_GUARD </v>
      </c>
      <c r="R1368" s="2" t="b">
        <v>0</v>
      </c>
      <c r="S1368" s="2" t="b">
        <v>1</v>
      </c>
      <c r="T1368" s="2">
        <v>2</v>
      </c>
      <c r="U1368" s="2" t="b">
        <v>1</v>
      </c>
      <c r="V1368" s="2" t="s">
        <v>262</v>
      </c>
      <c r="W1368" s="2">
        <v>5</v>
      </c>
      <c r="X1368" s="2" t="s">
        <v>264</v>
      </c>
      <c r="Y1368" s="2">
        <v>1</v>
      </c>
    </row>
    <row r="1369" spans="1:27">
      <c r="A1369" s="4">
        <v>3204</v>
      </c>
      <c r="B1369" s="7" t="str">
        <f>VLOOKUP($A1369,SkillEnum!$A$2:$C$1020,2,FALSE)</f>
        <v xml:space="preserve">SI_A_EAT_OBERON_GUARD </v>
      </c>
      <c r="C1369" s="7">
        <v>6</v>
      </c>
      <c r="D1369" s="2" t="str">
        <f>VLOOKUP($C1369,SkillEnum!$D$2:$E$10,2,FALSE)</f>
        <v>ST_ACTIVE</v>
      </c>
      <c r="E1369" s="7" t="str">
        <f>VLOOKUP($A1369,SkillEnum!$A$2:$C$1020,3,FALSE)</f>
        <v>오베론 가드</v>
      </c>
      <c r="F1369" s="7" t="str">
        <f t="shared" si="186"/>
        <v>오베론이 나타나 후방에서 적들이 접근하지 못하도록 5초간 유지되는 4M 높이의 빛의 기둥을 만든다. 빛의 기둥에 닿은 적은 마법공격력의 300 % 피해를 입으며 4M 튕겨 난다.</v>
      </c>
      <c r="G1369" s="2">
        <v>8</v>
      </c>
      <c r="H1369" s="2">
        <v>3</v>
      </c>
      <c r="I1369" s="2">
        <v>0</v>
      </c>
      <c r="J1369" s="2">
        <v>30</v>
      </c>
      <c r="K1369" s="2">
        <v>0</v>
      </c>
      <c r="L1369" s="2">
        <v>0</v>
      </c>
      <c r="M1369" s="2">
        <v>0</v>
      </c>
      <c r="N1369" s="2">
        <v>0</v>
      </c>
      <c r="O1369" s="2">
        <v>0</v>
      </c>
      <c r="P1369" s="2" t="s">
        <v>443</v>
      </c>
      <c r="Q1369" s="2" t="str">
        <f t="shared" si="185"/>
        <v xml:space="preserve">SI_A_EAT_OBERON_GUARD </v>
      </c>
      <c r="R1369" s="2" t="b">
        <v>0</v>
      </c>
      <c r="S1369" s="2" t="b">
        <v>1</v>
      </c>
      <c r="T1369" s="2">
        <v>2</v>
      </c>
      <c r="U1369" s="2" t="b">
        <v>1</v>
      </c>
      <c r="V1369" s="2" t="s">
        <v>262</v>
      </c>
      <c r="W1369" s="2">
        <v>5</v>
      </c>
      <c r="X1369" s="2" t="s">
        <v>264</v>
      </c>
      <c r="Y1369" s="2">
        <v>1</v>
      </c>
    </row>
    <row r="1370" spans="1:27">
      <c r="A1370" s="4">
        <v>3204</v>
      </c>
      <c r="B1370" s="7" t="str">
        <f>VLOOKUP($A1370,SkillEnum!$A$2:$C$1020,2,FALSE)</f>
        <v xml:space="preserve">SI_A_EAT_OBERON_GUARD </v>
      </c>
      <c r="C1370" s="7">
        <v>6</v>
      </c>
      <c r="D1370" s="2" t="str">
        <f>VLOOKUP($C1370,SkillEnum!$D$2:$E$10,2,FALSE)</f>
        <v>ST_ACTIVE</v>
      </c>
      <c r="E1370" s="7" t="str">
        <f>VLOOKUP($A1370,SkillEnum!$A$2:$C$1020,3,FALSE)</f>
        <v>오베론 가드</v>
      </c>
      <c r="F1370" s="7" t="str">
        <f t="shared" si="186"/>
        <v>오베론이 나타나 후방에서 적들이 접근하지 못하도록 5초간 유지되는 4M 높이의 빛의 기둥을 만든다. 빛의 기둥에 닿은 적은 마법공격력의 350 % 피해를 입으며 4M 튕겨 난다.</v>
      </c>
      <c r="G1370" s="2">
        <v>9</v>
      </c>
      <c r="H1370" s="2">
        <v>3.5</v>
      </c>
      <c r="I1370" s="2">
        <v>0</v>
      </c>
      <c r="J1370" s="2">
        <v>30</v>
      </c>
      <c r="K1370" s="2">
        <v>0</v>
      </c>
      <c r="L1370" s="2">
        <v>0</v>
      </c>
      <c r="M1370" s="2">
        <v>0</v>
      </c>
      <c r="N1370" s="2">
        <v>0</v>
      </c>
      <c r="O1370" s="2">
        <v>0</v>
      </c>
      <c r="P1370" s="2" t="s">
        <v>443</v>
      </c>
      <c r="Q1370" s="2" t="str">
        <f t="shared" si="185"/>
        <v xml:space="preserve">SI_A_EAT_OBERON_GUARD </v>
      </c>
      <c r="R1370" s="2" t="b">
        <v>0</v>
      </c>
      <c r="S1370" s="2" t="b">
        <v>1</v>
      </c>
      <c r="T1370" s="2">
        <v>2</v>
      </c>
      <c r="U1370" s="2" t="b">
        <v>1</v>
      </c>
      <c r="V1370" s="2" t="s">
        <v>262</v>
      </c>
      <c r="W1370" s="2">
        <v>5</v>
      </c>
      <c r="X1370" s="2" t="s">
        <v>264</v>
      </c>
      <c r="Y1370" s="2">
        <v>1</v>
      </c>
    </row>
    <row r="1371" spans="1:27" s="5" customFormat="1">
      <c r="A1371" s="6">
        <v>3204</v>
      </c>
      <c r="B1371" s="8" t="str">
        <f>VLOOKUP($A1371,SkillEnum!$A$2:$C$1020,2,FALSE)</f>
        <v xml:space="preserve">SI_A_EAT_OBERON_GUARD </v>
      </c>
      <c r="C1371" s="8">
        <v>6</v>
      </c>
      <c r="D1371" s="5" t="str">
        <f>VLOOKUP($C1371,SkillEnum!$D$2:$E$10,2,FALSE)</f>
        <v>ST_ACTIVE</v>
      </c>
      <c r="E1371" s="8" t="str">
        <f>VLOOKUP($A1371,SkillEnum!$A$2:$C$1020,3,FALSE)</f>
        <v>오베론 가드</v>
      </c>
      <c r="F1371" s="8" t="str">
        <f t="shared" si="186"/>
        <v>오베론이 나타나 후방에서 적들이 접근하지 못하도록 5초간 유지되는 4M 높이의 빛의 기둥을 만든다. 빛의 기둥에 닿은 적은 마법공격력의 400 % 피해를 입으며 4M 튕겨 난다.</v>
      </c>
      <c r="G1371" s="5">
        <v>10</v>
      </c>
      <c r="H1371" s="5">
        <v>4</v>
      </c>
      <c r="I1371" s="5">
        <v>0</v>
      </c>
      <c r="J1371" s="5">
        <v>30</v>
      </c>
      <c r="K1371" s="5">
        <v>0</v>
      </c>
      <c r="L1371" s="5">
        <v>0</v>
      </c>
      <c r="M1371" s="5">
        <v>0</v>
      </c>
      <c r="N1371" s="5">
        <v>0</v>
      </c>
      <c r="O1371" s="5">
        <v>0</v>
      </c>
      <c r="P1371" s="2" t="s">
        <v>443</v>
      </c>
      <c r="Q1371" s="2" t="str">
        <f t="shared" si="185"/>
        <v xml:space="preserve">SI_A_EAT_OBERON_GUARD </v>
      </c>
      <c r="R1371" s="5" t="b">
        <v>0</v>
      </c>
      <c r="S1371" s="2" t="b">
        <v>1</v>
      </c>
      <c r="T1371" s="2">
        <v>2</v>
      </c>
      <c r="U1371" s="2" t="b">
        <v>1</v>
      </c>
      <c r="V1371" s="5" t="s">
        <v>262</v>
      </c>
      <c r="W1371" s="5">
        <v>5</v>
      </c>
      <c r="X1371" s="5" t="s">
        <v>264</v>
      </c>
      <c r="Y1371" s="5">
        <v>1</v>
      </c>
    </row>
    <row r="1372" spans="1:27">
      <c r="A1372" s="4">
        <v>3400</v>
      </c>
      <c r="B1372" s="7" t="str">
        <f>VLOOKUP($A1372,SkillEnum!$A$2:$C$1020,2,FALSE)</f>
        <v>SI_P_EN_CLOAKING_UP</v>
      </c>
      <c r="C1372" s="7">
        <v>8</v>
      </c>
      <c r="D1372" s="2" t="str">
        <f>VLOOKUP($C1372,SkillEnum!$D$2:$E$10,2,FALSE)</f>
        <v>ST_PASSIVE</v>
      </c>
      <c r="E1372" s="11" t="str">
        <f>VLOOKUP($A1372,SkillEnum!$A$2:$C$1020,3,FALSE)</f>
        <v>클로킹 연마</v>
      </c>
      <c r="F1372" s="11" t="str">
        <f t="shared" ref="F1372:F1381" si="187">"클로킹의 지속시간이 "&amp;Y1372&amp;" 초 증가한다."</f>
        <v>클로킹의 지속시간이 0.5 초 증가한다.</v>
      </c>
      <c r="G1372" s="10">
        <v>1</v>
      </c>
      <c r="H1372" s="2">
        <v>1</v>
      </c>
      <c r="I1372" s="2">
        <v>0</v>
      </c>
      <c r="J1372" s="10">
        <v>0</v>
      </c>
      <c r="K1372" s="2">
        <v>0</v>
      </c>
      <c r="L1372" s="2">
        <v>0</v>
      </c>
      <c r="M1372" s="2">
        <v>0</v>
      </c>
      <c r="N1372" s="2">
        <v>0</v>
      </c>
      <c r="O1372" s="2">
        <v>0</v>
      </c>
      <c r="P1372" s="2" t="s">
        <v>443</v>
      </c>
      <c r="Q1372" s="2" t="str">
        <f t="shared" si="180"/>
        <v>SI_P_EN_CLOAKING_UP</v>
      </c>
      <c r="R1372" s="2" t="b">
        <v>0</v>
      </c>
      <c r="S1372" s="2" t="b">
        <v>1</v>
      </c>
      <c r="T1372" s="2">
        <v>0</v>
      </c>
      <c r="V1372" s="2" t="s">
        <v>266</v>
      </c>
      <c r="W1372" s="10">
        <v>3200</v>
      </c>
      <c r="X1372" s="2" t="s">
        <v>262</v>
      </c>
      <c r="Y1372" s="2">
        <v>0.5</v>
      </c>
    </row>
    <row r="1373" spans="1:27">
      <c r="A1373" s="4">
        <v>3400</v>
      </c>
      <c r="B1373" s="7" t="str">
        <f>VLOOKUP($A1373,SkillEnum!$A$2:$C$1020,2,FALSE)</f>
        <v>SI_P_EN_CLOAKING_UP</v>
      </c>
      <c r="C1373" s="7">
        <v>8</v>
      </c>
      <c r="D1373" s="2" t="str">
        <f>VLOOKUP($C1373,SkillEnum!$D$2:$E$10,2,FALSE)</f>
        <v>ST_PASSIVE</v>
      </c>
      <c r="E1373" s="7" t="str">
        <f>VLOOKUP($A1373,SkillEnum!$A$2:$C$1020,3,FALSE)</f>
        <v>클로킹 연마</v>
      </c>
      <c r="F1373" s="7" t="str">
        <f t="shared" si="187"/>
        <v>클로킹의 지속시간이 1 초 증가한다.</v>
      </c>
      <c r="G1373" s="2">
        <v>2</v>
      </c>
      <c r="H1373" s="2">
        <v>1</v>
      </c>
      <c r="I1373" s="2">
        <v>0</v>
      </c>
      <c r="J1373" s="2">
        <v>0</v>
      </c>
      <c r="K1373" s="2">
        <v>0</v>
      </c>
      <c r="L1373" s="2">
        <v>0</v>
      </c>
      <c r="M1373" s="2">
        <v>0</v>
      </c>
      <c r="N1373" s="2">
        <v>0</v>
      </c>
      <c r="O1373" s="2">
        <v>0</v>
      </c>
      <c r="P1373" s="2" t="s">
        <v>443</v>
      </c>
      <c r="Q1373" s="2" t="str">
        <f t="shared" si="180"/>
        <v>SI_P_EN_CLOAKING_UP</v>
      </c>
      <c r="R1373" s="2" t="b">
        <v>0</v>
      </c>
      <c r="S1373" s="2" t="b">
        <v>1</v>
      </c>
      <c r="T1373" s="2">
        <v>0</v>
      </c>
      <c r="V1373" s="2" t="s">
        <v>265</v>
      </c>
      <c r="W1373" s="2">
        <v>3200</v>
      </c>
      <c r="X1373" s="2" t="s">
        <v>262</v>
      </c>
      <c r="Y1373" s="2">
        <v>1</v>
      </c>
    </row>
    <row r="1374" spans="1:27">
      <c r="A1374" s="4">
        <v>3400</v>
      </c>
      <c r="B1374" s="7" t="str">
        <f>VLOOKUP($A1374,SkillEnum!$A$2:$C$1020,2,FALSE)</f>
        <v>SI_P_EN_CLOAKING_UP</v>
      </c>
      <c r="C1374" s="7">
        <v>8</v>
      </c>
      <c r="D1374" s="2" t="str">
        <f>VLOOKUP($C1374,SkillEnum!$D$2:$E$10,2,FALSE)</f>
        <v>ST_PASSIVE</v>
      </c>
      <c r="E1374" s="7" t="str">
        <f>VLOOKUP($A1374,SkillEnum!$A$2:$C$1020,3,FALSE)</f>
        <v>클로킹 연마</v>
      </c>
      <c r="F1374" s="7" t="str">
        <f t="shared" si="187"/>
        <v>클로킹의 지속시간이 1.5 초 증가한다.</v>
      </c>
      <c r="G1374" s="2">
        <v>3</v>
      </c>
      <c r="H1374" s="2">
        <v>1</v>
      </c>
      <c r="I1374" s="2">
        <v>0</v>
      </c>
      <c r="J1374" s="2">
        <v>0</v>
      </c>
      <c r="K1374" s="2">
        <v>0</v>
      </c>
      <c r="L1374" s="2">
        <v>0</v>
      </c>
      <c r="M1374" s="2">
        <v>0</v>
      </c>
      <c r="N1374" s="2">
        <v>0</v>
      </c>
      <c r="O1374" s="2">
        <v>0</v>
      </c>
      <c r="P1374" s="2" t="s">
        <v>443</v>
      </c>
      <c r="Q1374" s="2" t="str">
        <f t="shared" si="180"/>
        <v>SI_P_EN_CLOAKING_UP</v>
      </c>
      <c r="R1374" s="2" t="b">
        <v>0</v>
      </c>
      <c r="S1374" s="2" t="b">
        <v>1</v>
      </c>
      <c r="T1374" s="2">
        <v>0</v>
      </c>
      <c r="V1374" s="2" t="s">
        <v>265</v>
      </c>
      <c r="W1374" s="2">
        <v>3200</v>
      </c>
      <c r="X1374" s="2" t="s">
        <v>262</v>
      </c>
      <c r="Y1374" s="2">
        <v>1.5</v>
      </c>
    </row>
    <row r="1375" spans="1:27">
      <c r="A1375" s="4">
        <v>3400</v>
      </c>
      <c r="B1375" s="7" t="str">
        <f>VLOOKUP($A1375,SkillEnum!$A$2:$C$1020,2,FALSE)</f>
        <v>SI_P_EN_CLOAKING_UP</v>
      </c>
      <c r="C1375" s="7">
        <v>8</v>
      </c>
      <c r="D1375" s="2" t="str">
        <f>VLOOKUP($C1375,SkillEnum!$D$2:$E$10,2,FALSE)</f>
        <v>ST_PASSIVE</v>
      </c>
      <c r="E1375" s="7" t="str">
        <f>VLOOKUP($A1375,SkillEnum!$A$2:$C$1020,3,FALSE)</f>
        <v>클로킹 연마</v>
      </c>
      <c r="F1375" s="7" t="str">
        <f t="shared" si="187"/>
        <v>클로킹의 지속시간이 2 초 증가한다.</v>
      </c>
      <c r="G1375" s="2">
        <v>4</v>
      </c>
      <c r="H1375" s="2">
        <v>1</v>
      </c>
      <c r="I1375" s="2">
        <v>0</v>
      </c>
      <c r="J1375" s="2">
        <v>0</v>
      </c>
      <c r="K1375" s="2">
        <v>0</v>
      </c>
      <c r="L1375" s="2">
        <v>0</v>
      </c>
      <c r="M1375" s="2">
        <v>0</v>
      </c>
      <c r="N1375" s="2">
        <v>0</v>
      </c>
      <c r="O1375" s="2">
        <v>0</v>
      </c>
      <c r="P1375" s="2" t="s">
        <v>443</v>
      </c>
      <c r="Q1375" s="2" t="str">
        <f t="shared" si="180"/>
        <v>SI_P_EN_CLOAKING_UP</v>
      </c>
      <c r="R1375" s="2" t="b">
        <v>0</v>
      </c>
      <c r="S1375" s="2" t="b">
        <v>1</v>
      </c>
      <c r="T1375" s="2">
        <v>0</v>
      </c>
      <c r="V1375" s="2" t="s">
        <v>265</v>
      </c>
      <c r="W1375" s="2">
        <v>3200</v>
      </c>
      <c r="X1375" s="2" t="s">
        <v>262</v>
      </c>
      <c r="Y1375" s="2">
        <v>2</v>
      </c>
    </row>
    <row r="1376" spans="1:27">
      <c r="A1376" s="4">
        <v>3400</v>
      </c>
      <c r="B1376" s="7" t="str">
        <f>VLOOKUP($A1376,SkillEnum!$A$2:$C$1020,2,FALSE)</f>
        <v>SI_P_EN_CLOAKING_UP</v>
      </c>
      <c r="C1376" s="7">
        <v>8</v>
      </c>
      <c r="D1376" s="2" t="str">
        <f>VLOOKUP($C1376,SkillEnum!$D$2:$E$10,2,FALSE)</f>
        <v>ST_PASSIVE</v>
      </c>
      <c r="E1376" s="7" t="str">
        <f>VLOOKUP($A1376,SkillEnum!$A$2:$C$1020,3,FALSE)</f>
        <v>클로킹 연마</v>
      </c>
      <c r="F1376" s="7" t="str">
        <f t="shared" si="187"/>
        <v>클로킹의 지속시간이 2.5 초 증가한다.</v>
      </c>
      <c r="G1376" s="2">
        <v>5</v>
      </c>
      <c r="H1376" s="2">
        <v>1</v>
      </c>
      <c r="I1376" s="2">
        <v>0</v>
      </c>
      <c r="J1376" s="2">
        <v>0</v>
      </c>
      <c r="K1376" s="2">
        <v>0</v>
      </c>
      <c r="L1376" s="2">
        <v>0</v>
      </c>
      <c r="M1376" s="2">
        <v>0</v>
      </c>
      <c r="N1376" s="2">
        <v>0</v>
      </c>
      <c r="O1376" s="2">
        <v>0</v>
      </c>
      <c r="P1376" s="2" t="s">
        <v>443</v>
      </c>
      <c r="Q1376" s="2" t="str">
        <f t="shared" si="180"/>
        <v>SI_P_EN_CLOAKING_UP</v>
      </c>
      <c r="R1376" s="2" t="b">
        <v>0</v>
      </c>
      <c r="S1376" s="2" t="b">
        <v>1</v>
      </c>
      <c r="T1376" s="2">
        <v>0</v>
      </c>
      <c r="V1376" s="2" t="s">
        <v>265</v>
      </c>
      <c r="W1376" s="2">
        <v>3200</v>
      </c>
      <c r="X1376" s="2" t="s">
        <v>262</v>
      </c>
      <c r="Y1376" s="2">
        <v>2.5</v>
      </c>
    </row>
    <row r="1377" spans="1:25">
      <c r="A1377" s="4">
        <v>3400</v>
      </c>
      <c r="B1377" s="7" t="str">
        <f>VLOOKUP($A1377,SkillEnum!$A$2:$C$1020,2,FALSE)</f>
        <v>SI_P_EN_CLOAKING_UP</v>
      </c>
      <c r="C1377" s="7">
        <v>8</v>
      </c>
      <c r="D1377" s="2" t="str">
        <f>VLOOKUP($C1377,SkillEnum!$D$2:$E$10,2,FALSE)</f>
        <v>ST_PASSIVE</v>
      </c>
      <c r="E1377" s="7" t="str">
        <f>VLOOKUP($A1377,SkillEnum!$A$2:$C$1020,3,FALSE)</f>
        <v>클로킹 연마</v>
      </c>
      <c r="F1377" s="7" t="str">
        <f t="shared" si="187"/>
        <v>클로킹의 지속시간이 3 초 증가한다.</v>
      </c>
      <c r="G1377" s="2">
        <v>6</v>
      </c>
      <c r="H1377" s="2">
        <v>1</v>
      </c>
      <c r="I1377" s="2">
        <v>0</v>
      </c>
      <c r="J1377" s="2">
        <v>0</v>
      </c>
      <c r="K1377" s="2">
        <v>0</v>
      </c>
      <c r="L1377" s="2">
        <v>0</v>
      </c>
      <c r="M1377" s="2">
        <v>0</v>
      </c>
      <c r="N1377" s="2">
        <v>0</v>
      </c>
      <c r="O1377" s="2">
        <v>0</v>
      </c>
      <c r="P1377" s="2" t="s">
        <v>443</v>
      </c>
      <c r="Q1377" s="2" t="str">
        <f t="shared" si="180"/>
        <v>SI_P_EN_CLOAKING_UP</v>
      </c>
      <c r="R1377" s="2" t="b">
        <v>0</v>
      </c>
      <c r="S1377" s="2" t="b">
        <v>1</v>
      </c>
      <c r="T1377" s="2">
        <v>0</v>
      </c>
      <c r="V1377" s="2" t="s">
        <v>265</v>
      </c>
      <c r="W1377" s="2">
        <v>3200</v>
      </c>
      <c r="X1377" s="2" t="s">
        <v>262</v>
      </c>
      <c r="Y1377" s="2">
        <v>3</v>
      </c>
    </row>
    <row r="1378" spans="1:25">
      <c r="A1378" s="4">
        <v>3400</v>
      </c>
      <c r="B1378" s="7" t="str">
        <f>VLOOKUP($A1378,SkillEnum!$A$2:$C$1020,2,FALSE)</f>
        <v>SI_P_EN_CLOAKING_UP</v>
      </c>
      <c r="C1378" s="7">
        <v>8</v>
      </c>
      <c r="D1378" s="2" t="str">
        <f>VLOOKUP($C1378,SkillEnum!$D$2:$E$10,2,FALSE)</f>
        <v>ST_PASSIVE</v>
      </c>
      <c r="E1378" s="7" t="str">
        <f>VLOOKUP($A1378,SkillEnum!$A$2:$C$1020,3,FALSE)</f>
        <v>클로킹 연마</v>
      </c>
      <c r="F1378" s="7" t="str">
        <f t="shared" si="187"/>
        <v>클로킹의 지속시간이 3.5 초 증가한다.</v>
      </c>
      <c r="G1378" s="2">
        <v>7</v>
      </c>
      <c r="H1378" s="2">
        <v>1</v>
      </c>
      <c r="I1378" s="2">
        <v>0</v>
      </c>
      <c r="J1378" s="2">
        <v>0</v>
      </c>
      <c r="K1378" s="2">
        <v>0</v>
      </c>
      <c r="L1378" s="2">
        <v>0</v>
      </c>
      <c r="M1378" s="2">
        <v>0</v>
      </c>
      <c r="N1378" s="2">
        <v>0</v>
      </c>
      <c r="O1378" s="2">
        <v>0</v>
      </c>
      <c r="P1378" s="2" t="s">
        <v>443</v>
      </c>
      <c r="Q1378" s="2" t="str">
        <f t="shared" si="180"/>
        <v>SI_P_EN_CLOAKING_UP</v>
      </c>
      <c r="R1378" s="2" t="b">
        <v>0</v>
      </c>
      <c r="S1378" s="2" t="b">
        <v>1</v>
      </c>
      <c r="T1378" s="2">
        <v>0</v>
      </c>
      <c r="V1378" s="2" t="s">
        <v>265</v>
      </c>
      <c r="W1378" s="2">
        <v>3200</v>
      </c>
      <c r="X1378" s="2" t="s">
        <v>262</v>
      </c>
      <c r="Y1378" s="2">
        <v>3.5</v>
      </c>
    </row>
    <row r="1379" spans="1:25">
      <c r="A1379" s="4">
        <v>3400</v>
      </c>
      <c r="B1379" s="7" t="str">
        <f>VLOOKUP($A1379,SkillEnum!$A$2:$C$1020,2,FALSE)</f>
        <v>SI_P_EN_CLOAKING_UP</v>
      </c>
      <c r="C1379" s="7">
        <v>8</v>
      </c>
      <c r="D1379" s="2" t="str">
        <f>VLOOKUP($C1379,SkillEnum!$D$2:$E$10,2,FALSE)</f>
        <v>ST_PASSIVE</v>
      </c>
      <c r="E1379" s="7" t="str">
        <f>VLOOKUP($A1379,SkillEnum!$A$2:$C$1020,3,FALSE)</f>
        <v>클로킹 연마</v>
      </c>
      <c r="F1379" s="7" t="str">
        <f t="shared" si="187"/>
        <v>클로킹의 지속시간이 4 초 증가한다.</v>
      </c>
      <c r="G1379" s="2">
        <v>8</v>
      </c>
      <c r="H1379" s="2">
        <v>1</v>
      </c>
      <c r="I1379" s="2">
        <v>0</v>
      </c>
      <c r="J1379" s="2">
        <v>0</v>
      </c>
      <c r="K1379" s="2">
        <v>0</v>
      </c>
      <c r="L1379" s="2">
        <v>0</v>
      </c>
      <c r="M1379" s="2">
        <v>0</v>
      </c>
      <c r="N1379" s="2">
        <v>0</v>
      </c>
      <c r="O1379" s="2">
        <v>0</v>
      </c>
      <c r="P1379" s="2" t="s">
        <v>443</v>
      </c>
      <c r="Q1379" s="2" t="str">
        <f t="shared" si="180"/>
        <v>SI_P_EN_CLOAKING_UP</v>
      </c>
      <c r="R1379" s="2" t="b">
        <v>0</v>
      </c>
      <c r="S1379" s="2" t="b">
        <v>1</v>
      </c>
      <c r="T1379" s="2">
        <v>0</v>
      </c>
      <c r="V1379" s="2" t="s">
        <v>265</v>
      </c>
      <c r="W1379" s="2">
        <v>3200</v>
      </c>
      <c r="X1379" s="2" t="s">
        <v>262</v>
      </c>
      <c r="Y1379" s="2">
        <v>4</v>
      </c>
    </row>
    <row r="1380" spans="1:25">
      <c r="A1380" s="4">
        <v>3400</v>
      </c>
      <c r="B1380" s="7" t="str">
        <f>VLOOKUP($A1380,SkillEnum!$A$2:$C$1020,2,FALSE)</f>
        <v>SI_P_EN_CLOAKING_UP</v>
      </c>
      <c r="C1380" s="7">
        <v>8</v>
      </c>
      <c r="D1380" s="2" t="str">
        <f>VLOOKUP($C1380,SkillEnum!$D$2:$E$10,2,FALSE)</f>
        <v>ST_PASSIVE</v>
      </c>
      <c r="E1380" s="7" t="str">
        <f>VLOOKUP($A1380,SkillEnum!$A$2:$C$1020,3,FALSE)</f>
        <v>클로킹 연마</v>
      </c>
      <c r="F1380" s="7" t="str">
        <f t="shared" si="187"/>
        <v>클로킹의 지속시간이 4.5 초 증가한다.</v>
      </c>
      <c r="G1380" s="2">
        <v>9</v>
      </c>
      <c r="H1380" s="2">
        <v>1</v>
      </c>
      <c r="I1380" s="2">
        <v>0</v>
      </c>
      <c r="J1380" s="2">
        <v>0</v>
      </c>
      <c r="K1380" s="2">
        <v>0</v>
      </c>
      <c r="L1380" s="2">
        <v>0</v>
      </c>
      <c r="M1380" s="2">
        <v>0</v>
      </c>
      <c r="N1380" s="2">
        <v>0</v>
      </c>
      <c r="O1380" s="2">
        <v>0</v>
      </c>
      <c r="P1380" s="2" t="s">
        <v>443</v>
      </c>
      <c r="Q1380" s="2" t="str">
        <f t="shared" si="180"/>
        <v>SI_P_EN_CLOAKING_UP</v>
      </c>
      <c r="R1380" s="2" t="b">
        <v>0</v>
      </c>
      <c r="S1380" s="2" t="b">
        <v>1</v>
      </c>
      <c r="T1380" s="2">
        <v>0</v>
      </c>
      <c r="V1380" s="2" t="s">
        <v>265</v>
      </c>
      <c r="W1380" s="2">
        <v>3200</v>
      </c>
      <c r="X1380" s="2" t="s">
        <v>262</v>
      </c>
      <c r="Y1380" s="2">
        <v>4.5</v>
      </c>
    </row>
    <row r="1381" spans="1:25" s="5" customFormat="1">
      <c r="A1381" s="6">
        <v>3400</v>
      </c>
      <c r="B1381" s="8" t="str">
        <f>VLOOKUP($A1381,SkillEnum!$A$2:$C$1020,2,FALSE)</f>
        <v>SI_P_EN_CLOAKING_UP</v>
      </c>
      <c r="C1381" s="8">
        <v>8</v>
      </c>
      <c r="D1381" s="5" t="str">
        <f>VLOOKUP($C1381,SkillEnum!$D$2:$E$10,2,FALSE)</f>
        <v>ST_PASSIVE</v>
      </c>
      <c r="E1381" s="8" t="str">
        <f>VLOOKUP($A1381,SkillEnum!$A$2:$C$1020,3,FALSE)</f>
        <v>클로킹 연마</v>
      </c>
      <c r="F1381" s="7" t="str">
        <f t="shared" si="187"/>
        <v>클로킹의 지속시간이 5 초 증가한다.</v>
      </c>
      <c r="G1381" s="5">
        <v>10</v>
      </c>
      <c r="H1381" s="5">
        <v>1</v>
      </c>
      <c r="I1381" s="5">
        <v>0</v>
      </c>
      <c r="J1381" s="5">
        <v>0</v>
      </c>
      <c r="K1381" s="5">
        <v>0</v>
      </c>
      <c r="L1381" s="5">
        <v>0</v>
      </c>
      <c r="M1381" s="5">
        <v>0</v>
      </c>
      <c r="N1381" s="5">
        <v>0</v>
      </c>
      <c r="O1381" s="5">
        <v>0</v>
      </c>
      <c r="P1381" s="2" t="s">
        <v>443</v>
      </c>
      <c r="Q1381" s="2" t="str">
        <f t="shared" si="180"/>
        <v>SI_P_EN_CLOAKING_UP</v>
      </c>
      <c r="R1381" s="5" t="b">
        <v>0</v>
      </c>
      <c r="S1381" s="2" t="b">
        <v>1</v>
      </c>
      <c r="T1381" s="2">
        <v>0</v>
      </c>
      <c r="U1381" s="2"/>
      <c r="V1381" s="5" t="s">
        <v>265</v>
      </c>
      <c r="W1381" s="5">
        <v>3200</v>
      </c>
      <c r="X1381" s="5" t="s">
        <v>262</v>
      </c>
      <c r="Y1381" s="5">
        <v>5</v>
      </c>
    </row>
    <row r="1382" spans="1:25">
      <c r="A1382" s="4">
        <v>3401</v>
      </c>
      <c r="B1382" s="7" t="str">
        <f>VLOOKUP($A1382,SkillEnum!$A$2:$C$1020,2,FALSE)</f>
        <v>SI_P_EN_ELECTRONBALL_UP</v>
      </c>
      <c r="C1382" s="7">
        <v>8</v>
      </c>
      <c r="D1382" s="2" t="str">
        <f>VLOOKUP($C1382,SkillEnum!$D$2:$E$10,2,FALSE)</f>
        <v>ST_PASSIVE</v>
      </c>
      <c r="E1382" s="36" t="str">
        <f>VLOOKUP($A1382,SkillEnum!$A$2:$C$1020,3,FALSE)</f>
        <v>일렉트론볼 연마</v>
      </c>
      <c r="F1382" s="11" t="str">
        <f>"일렉트론볼의 사정거리가 "&amp;ROUND((W1382-1)*100,0)&amp;" % 증가한다."</f>
        <v>일렉트론볼의 사정거리가 10 % 증가한다.</v>
      </c>
      <c r="G1382" s="10">
        <v>1</v>
      </c>
      <c r="H1382" s="2">
        <v>1</v>
      </c>
      <c r="I1382" s="2">
        <v>0</v>
      </c>
      <c r="J1382" s="10">
        <v>0</v>
      </c>
      <c r="K1382" s="2">
        <v>0</v>
      </c>
      <c r="L1382" s="2">
        <v>0</v>
      </c>
      <c r="M1382" s="2">
        <v>0</v>
      </c>
      <c r="N1382" s="2">
        <v>0</v>
      </c>
      <c r="O1382" s="2">
        <v>0</v>
      </c>
      <c r="P1382" s="2" t="s">
        <v>444</v>
      </c>
      <c r="Q1382" s="2" t="str">
        <f t="shared" si="180"/>
        <v>SI_P_EN_ELECTRONBALL_UP</v>
      </c>
      <c r="R1382" s="2" t="b">
        <v>0</v>
      </c>
      <c r="S1382" s="2" t="b">
        <v>1</v>
      </c>
      <c r="T1382" s="2">
        <v>0</v>
      </c>
      <c r="V1382" s="10" t="s">
        <v>259</v>
      </c>
      <c r="W1382" s="2">
        <v>1.1000000000000001</v>
      </c>
      <c r="X1382" s="10"/>
    </row>
    <row r="1383" spans="1:25">
      <c r="A1383" s="4">
        <v>3401</v>
      </c>
      <c r="B1383" s="7" t="str">
        <f>VLOOKUP($A1383,SkillEnum!$A$2:$C$1020,2,FALSE)</f>
        <v>SI_P_EN_ELECTRONBALL_UP</v>
      </c>
      <c r="C1383" s="7">
        <v>8</v>
      </c>
      <c r="D1383" s="2" t="str">
        <f>VLOOKUP($C1383,SkillEnum!$D$2:$E$10,2,FALSE)</f>
        <v>ST_PASSIVE</v>
      </c>
      <c r="E1383" s="37" t="str">
        <f>VLOOKUP($A1383,SkillEnum!$A$2:$C$1020,3,FALSE)</f>
        <v>일렉트론볼 연마</v>
      </c>
      <c r="F1383" s="7" t="str">
        <f t="shared" ref="F1383:F1391" si="188">"일렉트론볼의 사정거리가 "&amp;ROUND((W1383-1)*100,0)&amp;" % 증가한다."</f>
        <v>일렉트론볼의 사정거리가 20 % 증가한다.</v>
      </c>
      <c r="G1383" s="2">
        <v>2</v>
      </c>
      <c r="H1383" s="2">
        <v>1</v>
      </c>
      <c r="I1383" s="2">
        <v>0</v>
      </c>
      <c r="J1383" s="2">
        <v>0</v>
      </c>
      <c r="K1383" s="2">
        <v>0</v>
      </c>
      <c r="L1383" s="2">
        <v>0</v>
      </c>
      <c r="M1383" s="2">
        <v>0</v>
      </c>
      <c r="N1383" s="2">
        <v>0</v>
      </c>
      <c r="O1383" s="2">
        <v>0</v>
      </c>
      <c r="P1383" s="2" t="s">
        <v>444</v>
      </c>
      <c r="Q1383" s="2" t="str">
        <f t="shared" si="180"/>
        <v>SI_P_EN_ELECTRONBALL_UP</v>
      </c>
      <c r="R1383" s="2" t="b">
        <v>0</v>
      </c>
      <c r="S1383" s="2" t="b">
        <v>1</v>
      </c>
      <c r="T1383" s="2">
        <v>0</v>
      </c>
      <c r="V1383" s="2" t="s">
        <v>259</v>
      </c>
      <c r="W1383" s="2">
        <v>1.2</v>
      </c>
    </row>
    <row r="1384" spans="1:25">
      <c r="A1384" s="4">
        <v>3401</v>
      </c>
      <c r="B1384" s="7" t="str">
        <f>VLOOKUP($A1384,SkillEnum!$A$2:$C$1020,2,FALSE)</f>
        <v>SI_P_EN_ELECTRONBALL_UP</v>
      </c>
      <c r="C1384" s="7">
        <v>8</v>
      </c>
      <c r="D1384" s="2" t="str">
        <f>VLOOKUP($C1384,SkillEnum!$D$2:$E$10,2,FALSE)</f>
        <v>ST_PASSIVE</v>
      </c>
      <c r="E1384" s="37" t="str">
        <f>VLOOKUP($A1384,SkillEnum!$A$2:$C$1020,3,FALSE)</f>
        <v>일렉트론볼 연마</v>
      </c>
      <c r="F1384" s="7" t="str">
        <f t="shared" si="188"/>
        <v>일렉트론볼의 사정거리가 30 % 증가한다.</v>
      </c>
      <c r="G1384" s="2">
        <v>3</v>
      </c>
      <c r="H1384" s="2">
        <v>1</v>
      </c>
      <c r="I1384" s="2">
        <v>0</v>
      </c>
      <c r="J1384" s="2">
        <v>0</v>
      </c>
      <c r="K1384" s="2">
        <v>0</v>
      </c>
      <c r="L1384" s="2">
        <v>0</v>
      </c>
      <c r="M1384" s="2">
        <v>0</v>
      </c>
      <c r="N1384" s="2">
        <v>0</v>
      </c>
      <c r="O1384" s="2">
        <v>0</v>
      </c>
      <c r="P1384" s="2" t="s">
        <v>444</v>
      </c>
      <c r="Q1384" s="2" t="str">
        <f t="shared" si="180"/>
        <v>SI_P_EN_ELECTRONBALL_UP</v>
      </c>
      <c r="R1384" s="2" t="b">
        <v>0</v>
      </c>
      <c r="S1384" s="2" t="b">
        <v>1</v>
      </c>
      <c r="T1384" s="2">
        <v>0</v>
      </c>
      <c r="V1384" s="2" t="s">
        <v>259</v>
      </c>
      <c r="W1384" s="2">
        <v>1.3</v>
      </c>
    </row>
    <row r="1385" spans="1:25">
      <c r="A1385" s="4">
        <v>3401</v>
      </c>
      <c r="B1385" s="7" t="str">
        <f>VLOOKUP($A1385,SkillEnum!$A$2:$C$1020,2,FALSE)</f>
        <v>SI_P_EN_ELECTRONBALL_UP</v>
      </c>
      <c r="C1385" s="7">
        <v>8</v>
      </c>
      <c r="D1385" s="2" t="str">
        <f>VLOOKUP($C1385,SkillEnum!$D$2:$E$10,2,FALSE)</f>
        <v>ST_PASSIVE</v>
      </c>
      <c r="E1385" s="37" t="str">
        <f>VLOOKUP($A1385,SkillEnum!$A$2:$C$1020,3,FALSE)</f>
        <v>일렉트론볼 연마</v>
      </c>
      <c r="F1385" s="7" t="str">
        <f t="shared" si="188"/>
        <v>일렉트론볼의 사정거리가 40 % 증가한다.</v>
      </c>
      <c r="G1385" s="2">
        <v>4</v>
      </c>
      <c r="H1385" s="2">
        <v>1</v>
      </c>
      <c r="I1385" s="2">
        <v>0</v>
      </c>
      <c r="J1385" s="2">
        <v>0</v>
      </c>
      <c r="K1385" s="2">
        <v>0</v>
      </c>
      <c r="L1385" s="2">
        <v>0</v>
      </c>
      <c r="M1385" s="2">
        <v>0</v>
      </c>
      <c r="N1385" s="2">
        <v>0</v>
      </c>
      <c r="O1385" s="2">
        <v>0</v>
      </c>
      <c r="P1385" s="2" t="s">
        <v>444</v>
      </c>
      <c r="Q1385" s="2" t="str">
        <f t="shared" si="180"/>
        <v>SI_P_EN_ELECTRONBALL_UP</v>
      </c>
      <c r="R1385" s="2" t="b">
        <v>0</v>
      </c>
      <c r="S1385" s="2" t="b">
        <v>1</v>
      </c>
      <c r="T1385" s="2">
        <v>0</v>
      </c>
      <c r="V1385" s="2" t="s">
        <v>259</v>
      </c>
      <c r="W1385" s="2">
        <v>1.4</v>
      </c>
    </row>
    <row r="1386" spans="1:25">
      <c r="A1386" s="4">
        <v>3401</v>
      </c>
      <c r="B1386" s="7" t="str">
        <f>VLOOKUP($A1386,SkillEnum!$A$2:$C$1020,2,FALSE)</f>
        <v>SI_P_EN_ELECTRONBALL_UP</v>
      </c>
      <c r="C1386" s="7">
        <v>8</v>
      </c>
      <c r="D1386" s="2" t="str">
        <f>VLOOKUP($C1386,SkillEnum!$D$2:$E$10,2,FALSE)</f>
        <v>ST_PASSIVE</v>
      </c>
      <c r="E1386" s="37" t="str">
        <f>VLOOKUP($A1386,SkillEnum!$A$2:$C$1020,3,FALSE)</f>
        <v>일렉트론볼 연마</v>
      </c>
      <c r="F1386" s="7" t="str">
        <f t="shared" si="188"/>
        <v>일렉트론볼의 사정거리가 50 % 증가한다.</v>
      </c>
      <c r="G1386" s="2">
        <v>5</v>
      </c>
      <c r="H1386" s="2">
        <v>1</v>
      </c>
      <c r="I1386" s="2">
        <v>0</v>
      </c>
      <c r="J1386" s="2">
        <v>0</v>
      </c>
      <c r="K1386" s="2">
        <v>0</v>
      </c>
      <c r="L1386" s="2">
        <v>0</v>
      </c>
      <c r="M1386" s="2">
        <v>0</v>
      </c>
      <c r="N1386" s="2">
        <v>0</v>
      </c>
      <c r="O1386" s="2">
        <v>0</v>
      </c>
      <c r="P1386" s="2" t="s">
        <v>444</v>
      </c>
      <c r="Q1386" s="2" t="str">
        <f t="shared" si="180"/>
        <v>SI_P_EN_ELECTRONBALL_UP</v>
      </c>
      <c r="R1386" s="2" t="b">
        <v>0</v>
      </c>
      <c r="S1386" s="2" t="b">
        <v>1</v>
      </c>
      <c r="T1386" s="2">
        <v>0</v>
      </c>
      <c r="V1386" s="2" t="s">
        <v>259</v>
      </c>
      <c r="W1386" s="2">
        <v>1.5</v>
      </c>
    </row>
    <row r="1387" spans="1:25">
      <c r="A1387" s="4">
        <v>3401</v>
      </c>
      <c r="B1387" s="7" t="str">
        <f>VLOOKUP($A1387,SkillEnum!$A$2:$C$1020,2,FALSE)</f>
        <v>SI_P_EN_ELECTRONBALL_UP</v>
      </c>
      <c r="C1387" s="7">
        <v>8</v>
      </c>
      <c r="D1387" s="2" t="str">
        <f>VLOOKUP($C1387,SkillEnum!$D$2:$E$10,2,FALSE)</f>
        <v>ST_PASSIVE</v>
      </c>
      <c r="E1387" s="37" t="str">
        <f>VLOOKUP($A1387,SkillEnum!$A$2:$C$1020,3,FALSE)</f>
        <v>일렉트론볼 연마</v>
      </c>
      <c r="F1387" s="7" t="str">
        <f t="shared" si="188"/>
        <v>일렉트론볼의 사정거리가 60 % 증가한다.</v>
      </c>
      <c r="G1387" s="2">
        <v>6</v>
      </c>
      <c r="H1387" s="2">
        <v>1</v>
      </c>
      <c r="I1387" s="2">
        <v>0</v>
      </c>
      <c r="J1387" s="2">
        <v>0</v>
      </c>
      <c r="K1387" s="2">
        <v>0</v>
      </c>
      <c r="L1387" s="2">
        <v>0</v>
      </c>
      <c r="M1387" s="2">
        <v>0</v>
      </c>
      <c r="N1387" s="2">
        <v>0</v>
      </c>
      <c r="O1387" s="2">
        <v>0</v>
      </c>
      <c r="P1387" s="2" t="s">
        <v>444</v>
      </c>
      <c r="Q1387" s="2" t="str">
        <f t="shared" si="180"/>
        <v>SI_P_EN_ELECTRONBALL_UP</v>
      </c>
      <c r="R1387" s="2" t="b">
        <v>0</v>
      </c>
      <c r="S1387" s="2" t="b">
        <v>1</v>
      </c>
      <c r="T1387" s="2">
        <v>0</v>
      </c>
      <c r="V1387" s="2" t="s">
        <v>259</v>
      </c>
      <c r="W1387" s="2">
        <v>1.6</v>
      </c>
    </row>
    <row r="1388" spans="1:25">
      <c r="A1388" s="4">
        <v>3401</v>
      </c>
      <c r="B1388" s="7" t="str">
        <f>VLOOKUP($A1388,SkillEnum!$A$2:$C$1020,2,FALSE)</f>
        <v>SI_P_EN_ELECTRONBALL_UP</v>
      </c>
      <c r="C1388" s="7">
        <v>8</v>
      </c>
      <c r="D1388" s="2" t="str">
        <f>VLOOKUP($C1388,SkillEnum!$D$2:$E$10,2,FALSE)</f>
        <v>ST_PASSIVE</v>
      </c>
      <c r="E1388" s="37" t="str">
        <f>VLOOKUP($A1388,SkillEnum!$A$2:$C$1020,3,FALSE)</f>
        <v>일렉트론볼 연마</v>
      </c>
      <c r="F1388" s="7" t="str">
        <f t="shared" si="188"/>
        <v>일렉트론볼의 사정거리가 70 % 증가한다.</v>
      </c>
      <c r="G1388" s="2">
        <v>7</v>
      </c>
      <c r="H1388" s="2">
        <v>1</v>
      </c>
      <c r="I1388" s="2">
        <v>0</v>
      </c>
      <c r="J1388" s="2">
        <v>0</v>
      </c>
      <c r="K1388" s="2">
        <v>0</v>
      </c>
      <c r="L1388" s="2">
        <v>0</v>
      </c>
      <c r="M1388" s="2">
        <v>0</v>
      </c>
      <c r="N1388" s="2">
        <v>0</v>
      </c>
      <c r="O1388" s="2">
        <v>0</v>
      </c>
      <c r="P1388" s="2" t="s">
        <v>444</v>
      </c>
      <c r="Q1388" s="2" t="str">
        <f t="shared" si="180"/>
        <v>SI_P_EN_ELECTRONBALL_UP</v>
      </c>
      <c r="R1388" s="2" t="b">
        <v>0</v>
      </c>
      <c r="S1388" s="2" t="b">
        <v>1</v>
      </c>
      <c r="T1388" s="2">
        <v>0</v>
      </c>
      <c r="V1388" s="2" t="s">
        <v>259</v>
      </c>
      <c r="W1388" s="2">
        <v>1.7</v>
      </c>
    </row>
    <row r="1389" spans="1:25">
      <c r="A1389" s="4">
        <v>3401</v>
      </c>
      <c r="B1389" s="7" t="str">
        <f>VLOOKUP($A1389,SkillEnum!$A$2:$C$1020,2,FALSE)</f>
        <v>SI_P_EN_ELECTRONBALL_UP</v>
      </c>
      <c r="C1389" s="7">
        <v>8</v>
      </c>
      <c r="D1389" s="2" t="str">
        <f>VLOOKUP($C1389,SkillEnum!$D$2:$E$10,2,FALSE)</f>
        <v>ST_PASSIVE</v>
      </c>
      <c r="E1389" s="37" t="str">
        <f>VLOOKUP($A1389,SkillEnum!$A$2:$C$1020,3,FALSE)</f>
        <v>일렉트론볼 연마</v>
      </c>
      <c r="F1389" s="7" t="str">
        <f t="shared" si="188"/>
        <v>일렉트론볼의 사정거리가 80 % 증가한다.</v>
      </c>
      <c r="G1389" s="2">
        <v>8</v>
      </c>
      <c r="H1389" s="2">
        <v>1</v>
      </c>
      <c r="I1389" s="2">
        <v>0</v>
      </c>
      <c r="J1389" s="2">
        <v>0</v>
      </c>
      <c r="K1389" s="2">
        <v>0</v>
      </c>
      <c r="L1389" s="2">
        <v>0</v>
      </c>
      <c r="M1389" s="2">
        <v>0</v>
      </c>
      <c r="N1389" s="2">
        <v>0</v>
      </c>
      <c r="O1389" s="2">
        <v>0</v>
      </c>
      <c r="P1389" s="2" t="s">
        <v>444</v>
      </c>
      <c r="Q1389" s="2" t="str">
        <f t="shared" si="180"/>
        <v>SI_P_EN_ELECTRONBALL_UP</v>
      </c>
      <c r="R1389" s="2" t="b">
        <v>0</v>
      </c>
      <c r="S1389" s="2" t="b">
        <v>1</v>
      </c>
      <c r="T1389" s="2">
        <v>0</v>
      </c>
      <c r="V1389" s="2" t="s">
        <v>259</v>
      </c>
      <c r="W1389" s="2">
        <v>1.8</v>
      </c>
    </row>
    <row r="1390" spans="1:25">
      <c r="A1390" s="4">
        <v>3401</v>
      </c>
      <c r="B1390" s="7" t="str">
        <f>VLOOKUP($A1390,SkillEnum!$A$2:$C$1020,2,FALSE)</f>
        <v>SI_P_EN_ELECTRONBALL_UP</v>
      </c>
      <c r="C1390" s="7">
        <v>8</v>
      </c>
      <c r="D1390" s="2" t="str">
        <f>VLOOKUP($C1390,SkillEnum!$D$2:$E$10,2,FALSE)</f>
        <v>ST_PASSIVE</v>
      </c>
      <c r="E1390" s="37" t="str">
        <f>VLOOKUP($A1390,SkillEnum!$A$2:$C$1020,3,FALSE)</f>
        <v>일렉트론볼 연마</v>
      </c>
      <c r="F1390" s="7" t="str">
        <f t="shared" si="188"/>
        <v>일렉트론볼의 사정거리가 90 % 증가한다.</v>
      </c>
      <c r="G1390" s="2">
        <v>9</v>
      </c>
      <c r="H1390" s="2">
        <v>1</v>
      </c>
      <c r="I1390" s="2">
        <v>0</v>
      </c>
      <c r="J1390" s="2">
        <v>0</v>
      </c>
      <c r="K1390" s="2">
        <v>0</v>
      </c>
      <c r="L1390" s="2">
        <v>0</v>
      </c>
      <c r="M1390" s="2">
        <v>0</v>
      </c>
      <c r="N1390" s="2">
        <v>0</v>
      </c>
      <c r="O1390" s="2">
        <v>0</v>
      </c>
      <c r="P1390" s="2" t="s">
        <v>444</v>
      </c>
      <c r="Q1390" s="2" t="str">
        <f t="shared" si="180"/>
        <v>SI_P_EN_ELECTRONBALL_UP</v>
      </c>
      <c r="R1390" s="2" t="b">
        <v>0</v>
      </c>
      <c r="S1390" s="2" t="b">
        <v>1</v>
      </c>
      <c r="T1390" s="2">
        <v>0</v>
      </c>
      <c r="V1390" s="2" t="s">
        <v>259</v>
      </c>
      <c r="W1390" s="2">
        <v>1.9</v>
      </c>
    </row>
    <row r="1391" spans="1:25" s="5" customFormat="1">
      <c r="A1391" s="6">
        <v>3401</v>
      </c>
      <c r="B1391" s="8" t="str">
        <f>VLOOKUP($A1391,SkillEnum!$A$2:$C$1020,2,FALSE)</f>
        <v>SI_P_EN_ELECTRONBALL_UP</v>
      </c>
      <c r="C1391" s="8">
        <v>8</v>
      </c>
      <c r="D1391" s="5" t="str">
        <f>VLOOKUP($C1391,SkillEnum!$D$2:$E$10,2,FALSE)</f>
        <v>ST_PASSIVE</v>
      </c>
      <c r="E1391" s="38" t="str">
        <f>VLOOKUP($A1391,SkillEnum!$A$2:$C$1020,3,FALSE)</f>
        <v>일렉트론볼 연마</v>
      </c>
      <c r="F1391" s="8" t="str">
        <f t="shared" si="188"/>
        <v>일렉트론볼의 사정거리가 100 % 증가한다.</v>
      </c>
      <c r="G1391" s="5">
        <v>10</v>
      </c>
      <c r="H1391" s="5">
        <v>1</v>
      </c>
      <c r="I1391" s="5">
        <v>0</v>
      </c>
      <c r="J1391" s="5">
        <v>0</v>
      </c>
      <c r="K1391" s="5">
        <v>0</v>
      </c>
      <c r="L1391" s="5">
        <v>0</v>
      </c>
      <c r="M1391" s="5">
        <v>0</v>
      </c>
      <c r="N1391" s="5">
        <v>0</v>
      </c>
      <c r="O1391" s="5">
        <v>0</v>
      </c>
      <c r="P1391" s="2" t="s">
        <v>444</v>
      </c>
      <c r="Q1391" s="2" t="str">
        <f t="shared" si="180"/>
        <v>SI_P_EN_ELECTRONBALL_UP</v>
      </c>
      <c r="R1391" s="5" t="b">
        <v>0</v>
      </c>
      <c r="S1391" s="2" t="b">
        <v>1</v>
      </c>
      <c r="T1391" s="2">
        <v>0</v>
      </c>
      <c r="U1391" s="2"/>
      <c r="V1391" s="5" t="s">
        <v>259</v>
      </c>
      <c r="W1391" s="5">
        <v>2</v>
      </c>
    </row>
    <row r="1392" spans="1:25">
      <c r="A1392" s="4">
        <v>3402</v>
      </c>
      <c r="B1392" s="7" t="str">
        <f>VLOOKUP($A1392,SkillEnum!$A$2:$C$1020,2,FALSE)</f>
        <v>SI_P_EN_QUEENS_CONTROL</v>
      </c>
      <c r="C1392" s="7">
        <v>8</v>
      </c>
      <c r="D1392" s="2" t="str">
        <f>VLOOKUP($C1392,SkillEnum!$D$2:$E$10,2,FALSE)</f>
        <v>ST_PASSIVE</v>
      </c>
      <c r="E1392" s="11" t="str">
        <f>VLOOKUP($A1392,SkillEnum!$A$2:$C$1020,3,FALSE)</f>
        <v>여왕의 지배력</v>
      </c>
      <c r="F1392" s="7" t="str">
        <f>"소환수가 사용하는 스킬의 공격력이 "&amp;ROUND((W1392-1)*100,0)&amp;" % 증가한다."</f>
        <v>소환수가 사용하는 스킬의 공격력이 2 % 증가한다.</v>
      </c>
      <c r="G1392" s="10">
        <v>1</v>
      </c>
      <c r="H1392" s="2">
        <v>1</v>
      </c>
      <c r="I1392" s="2">
        <v>0</v>
      </c>
      <c r="J1392" s="10">
        <v>0</v>
      </c>
      <c r="K1392" s="2">
        <v>0</v>
      </c>
      <c r="L1392" s="2">
        <v>0</v>
      </c>
      <c r="M1392" s="2">
        <v>0</v>
      </c>
      <c r="N1392" s="2">
        <v>0</v>
      </c>
      <c r="O1392" s="2">
        <v>0</v>
      </c>
      <c r="P1392" s="2" t="s">
        <v>444</v>
      </c>
      <c r="Q1392" s="2" t="str">
        <f t="shared" si="180"/>
        <v>SI_P_EN_QUEENS_CONTROL</v>
      </c>
      <c r="R1392" s="2" t="b">
        <v>0</v>
      </c>
      <c r="S1392" s="2" t="b">
        <v>1</v>
      </c>
      <c r="T1392" s="2">
        <v>0</v>
      </c>
      <c r="V1392" s="10" t="s">
        <v>268</v>
      </c>
      <c r="W1392" s="2">
        <v>1.02</v>
      </c>
    </row>
    <row r="1393" spans="1:25">
      <c r="A1393" s="4">
        <v>3402</v>
      </c>
      <c r="B1393" s="7" t="str">
        <f>VLOOKUP($A1393,SkillEnum!$A$2:$C$1020,2,FALSE)</f>
        <v>SI_P_EN_QUEENS_CONTROL</v>
      </c>
      <c r="C1393" s="7">
        <v>8</v>
      </c>
      <c r="D1393" s="2" t="str">
        <f>VLOOKUP($C1393,SkillEnum!$D$2:$E$10,2,FALSE)</f>
        <v>ST_PASSIVE</v>
      </c>
      <c r="E1393" s="7" t="str">
        <f>VLOOKUP($A1393,SkillEnum!$A$2:$C$1020,3,FALSE)</f>
        <v>여왕의 지배력</v>
      </c>
      <c r="F1393" s="7" t="str">
        <f t="shared" ref="F1393:F1401" si="189">"소환수가 사용하는 스킬의 공격력이 "&amp;ROUND((W1393-1)*100,0)&amp;" % 증가한다."</f>
        <v>소환수가 사용하는 스킬의 공격력이 4 % 증가한다.</v>
      </c>
      <c r="G1393" s="2">
        <v>2</v>
      </c>
      <c r="H1393" s="2">
        <v>1</v>
      </c>
      <c r="I1393" s="2">
        <v>0</v>
      </c>
      <c r="J1393" s="2">
        <v>0</v>
      </c>
      <c r="K1393" s="2">
        <v>0</v>
      </c>
      <c r="L1393" s="2">
        <v>0</v>
      </c>
      <c r="M1393" s="2">
        <v>0</v>
      </c>
      <c r="N1393" s="2">
        <v>0</v>
      </c>
      <c r="O1393" s="2">
        <v>0</v>
      </c>
      <c r="P1393" s="2" t="s">
        <v>444</v>
      </c>
      <c r="Q1393" s="2" t="str">
        <f t="shared" si="180"/>
        <v>SI_P_EN_QUEENS_CONTROL</v>
      </c>
      <c r="R1393" s="2" t="b">
        <v>0</v>
      </c>
      <c r="S1393" s="2" t="b">
        <v>1</v>
      </c>
      <c r="T1393" s="2">
        <v>0</v>
      </c>
      <c r="V1393" s="2" t="s">
        <v>268</v>
      </c>
      <c r="W1393" s="2">
        <v>1.04</v>
      </c>
    </row>
    <row r="1394" spans="1:25">
      <c r="A1394" s="4">
        <v>3402</v>
      </c>
      <c r="B1394" s="7" t="str">
        <f>VLOOKUP($A1394,SkillEnum!$A$2:$C$1020,2,FALSE)</f>
        <v>SI_P_EN_QUEENS_CONTROL</v>
      </c>
      <c r="C1394" s="7">
        <v>8</v>
      </c>
      <c r="D1394" s="2" t="str">
        <f>VLOOKUP($C1394,SkillEnum!$D$2:$E$10,2,FALSE)</f>
        <v>ST_PASSIVE</v>
      </c>
      <c r="E1394" s="7" t="str">
        <f>VLOOKUP($A1394,SkillEnum!$A$2:$C$1020,3,FALSE)</f>
        <v>여왕의 지배력</v>
      </c>
      <c r="F1394" s="7" t="str">
        <f t="shared" si="189"/>
        <v>소환수가 사용하는 스킬의 공격력이 6 % 증가한다.</v>
      </c>
      <c r="G1394" s="2">
        <v>3</v>
      </c>
      <c r="H1394" s="2">
        <v>1</v>
      </c>
      <c r="I1394" s="2">
        <v>0</v>
      </c>
      <c r="J1394" s="2">
        <v>0</v>
      </c>
      <c r="K1394" s="2">
        <v>0</v>
      </c>
      <c r="L1394" s="2">
        <v>0</v>
      </c>
      <c r="M1394" s="2">
        <v>0</v>
      </c>
      <c r="N1394" s="2">
        <v>0</v>
      </c>
      <c r="O1394" s="2">
        <v>0</v>
      </c>
      <c r="P1394" s="2" t="s">
        <v>444</v>
      </c>
      <c r="Q1394" s="2" t="str">
        <f t="shared" si="180"/>
        <v>SI_P_EN_QUEENS_CONTROL</v>
      </c>
      <c r="R1394" s="2" t="b">
        <v>0</v>
      </c>
      <c r="S1394" s="2" t="b">
        <v>1</v>
      </c>
      <c r="T1394" s="2">
        <v>0</v>
      </c>
      <c r="V1394" s="2" t="s">
        <v>268</v>
      </c>
      <c r="W1394" s="2">
        <v>1.06</v>
      </c>
    </row>
    <row r="1395" spans="1:25">
      <c r="A1395" s="4">
        <v>3402</v>
      </c>
      <c r="B1395" s="7" t="str">
        <f>VLOOKUP($A1395,SkillEnum!$A$2:$C$1020,2,FALSE)</f>
        <v>SI_P_EN_QUEENS_CONTROL</v>
      </c>
      <c r="C1395" s="7">
        <v>8</v>
      </c>
      <c r="D1395" s="2" t="str">
        <f>VLOOKUP($C1395,SkillEnum!$D$2:$E$10,2,FALSE)</f>
        <v>ST_PASSIVE</v>
      </c>
      <c r="E1395" s="7" t="str">
        <f>VLOOKUP($A1395,SkillEnum!$A$2:$C$1020,3,FALSE)</f>
        <v>여왕의 지배력</v>
      </c>
      <c r="F1395" s="7" t="str">
        <f t="shared" si="189"/>
        <v>소환수가 사용하는 스킬의 공격력이 8 % 증가한다.</v>
      </c>
      <c r="G1395" s="2">
        <v>4</v>
      </c>
      <c r="H1395" s="2">
        <v>1</v>
      </c>
      <c r="I1395" s="2">
        <v>0</v>
      </c>
      <c r="J1395" s="2">
        <v>0</v>
      </c>
      <c r="K1395" s="2">
        <v>0</v>
      </c>
      <c r="L1395" s="2">
        <v>0</v>
      </c>
      <c r="M1395" s="2">
        <v>0</v>
      </c>
      <c r="N1395" s="2">
        <v>0</v>
      </c>
      <c r="O1395" s="2">
        <v>0</v>
      </c>
      <c r="P1395" s="2" t="s">
        <v>444</v>
      </c>
      <c r="Q1395" s="2" t="str">
        <f t="shared" si="180"/>
        <v>SI_P_EN_QUEENS_CONTROL</v>
      </c>
      <c r="R1395" s="2" t="b">
        <v>0</v>
      </c>
      <c r="S1395" s="2" t="b">
        <v>1</v>
      </c>
      <c r="T1395" s="2">
        <v>0</v>
      </c>
      <c r="V1395" s="2" t="s">
        <v>268</v>
      </c>
      <c r="W1395" s="2">
        <v>1.08</v>
      </c>
    </row>
    <row r="1396" spans="1:25">
      <c r="A1396" s="4">
        <v>3402</v>
      </c>
      <c r="B1396" s="7" t="str">
        <f>VLOOKUP($A1396,SkillEnum!$A$2:$C$1020,2,FALSE)</f>
        <v>SI_P_EN_QUEENS_CONTROL</v>
      </c>
      <c r="C1396" s="7">
        <v>8</v>
      </c>
      <c r="D1396" s="2" t="str">
        <f>VLOOKUP($C1396,SkillEnum!$D$2:$E$10,2,FALSE)</f>
        <v>ST_PASSIVE</v>
      </c>
      <c r="E1396" s="7" t="str">
        <f>VLOOKUP($A1396,SkillEnum!$A$2:$C$1020,3,FALSE)</f>
        <v>여왕의 지배력</v>
      </c>
      <c r="F1396" s="7" t="str">
        <f t="shared" si="189"/>
        <v>소환수가 사용하는 스킬의 공격력이 10 % 증가한다.</v>
      </c>
      <c r="G1396" s="2">
        <v>5</v>
      </c>
      <c r="H1396" s="2">
        <v>1</v>
      </c>
      <c r="I1396" s="2">
        <v>0</v>
      </c>
      <c r="J1396" s="2">
        <v>0</v>
      </c>
      <c r="K1396" s="2">
        <v>0</v>
      </c>
      <c r="L1396" s="2">
        <v>0</v>
      </c>
      <c r="M1396" s="2">
        <v>0</v>
      </c>
      <c r="N1396" s="2">
        <v>0</v>
      </c>
      <c r="O1396" s="2">
        <v>0</v>
      </c>
      <c r="P1396" s="2" t="s">
        <v>444</v>
      </c>
      <c r="Q1396" s="2" t="str">
        <f t="shared" si="180"/>
        <v>SI_P_EN_QUEENS_CONTROL</v>
      </c>
      <c r="R1396" s="2" t="b">
        <v>0</v>
      </c>
      <c r="S1396" s="2" t="b">
        <v>1</v>
      </c>
      <c r="T1396" s="2">
        <v>0</v>
      </c>
      <c r="V1396" s="2" t="s">
        <v>268</v>
      </c>
      <c r="W1396" s="2">
        <v>1.1000000000000001</v>
      </c>
    </row>
    <row r="1397" spans="1:25">
      <c r="A1397" s="4">
        <v>3402</v>
      </c>
      <c r="B1397" s="7" t="str">
        <f>VLOOKUP($A1397,SkillEnum!$A$2:$C$1020,2,FALSE)</f>
        <v>SI_P_EN_QUEENS_CONTROL</v>
      </c>
      <c r="C1397" s="7">
        <v>8</v>
      </c>
      <c r="D1397" s="2" t="str">
        <f>VLOOKUP($C1397,SkillEnum!$D$2:$E$10,2,FALSE)</f>
        <v>ST_PASSIVE</v>
      </c>
      <c r="E1397" s="7" t="str">
        <f>VLOOKUP($A1397,SkillEnum!$A$2:$C$1020,3,FALSE)</f>
        <v>여왕의 지배력</v>
      </c>
      <c r="F1397" s="7" t="str">
        <f t="shared" si="189"/>
        <v>소환수가 사용하는 스킬의 공격력이 12 % 증가한다.</v>
      </c>
      <c r="G1397" s="2">
        <v>6</v>
      </c>
      <c r="H1397" s="2">
        <v>1</v>
      </c>
      <c r="I1397" s="2">
        <v>0</v>
      </c>
      <c r="J1397" s="2">
        <v>0</v>
      </c>
      <c r="K1397" s="2">
        <v>0</v>
      </c>
      <c r="L1397" s="2">
        <v>0</v>
      </c>
      <c r="M1397" s="2">
        <v>0</v>
      </c>
      <c r="N1397" s="2">
        <v>0</v>
      </c>
      <c r="O1397" s="2">
        <v>0</v>
      </c>
      <c r="P1397" s="2" t="s">
        <v>444</v>
      </c>
      <c r="Q1397" s="2" t="str">
        <f t="shared" si="180"/>
        <v>SI_P_EN_QUEENS_CONTROL</v>
      </c>
      <c r="R1397" s="2" t="b">
        <v>0</v>
      </c>
      <c r="S1397" s="2" t="b">
        <v>1</v>
      </c>
      <c r="T1397" s="2">
        <v>0</v>
      </c>
      <c r="V1397" s="2" t="s">
        <v>268</v>
      </c>
      <c r="W1397" s="2">
        <v>1.1200000000000001</v>
      </c>
    </row>
    <row r="1398" spans="1:25">
      <c r="A1398" s="4">
        <v>3402</v>
      </c>
      <c r="B1398" s="7" t="str">
        <f>VLOOKUP($A1398,SkillEnum!$A$2:$C$1020,2,FALSE)</f>
        <v>SI_P_EN_QUEENS_CONTROL</v>
      </c>
      <c r="C1398" s="7">
        <v>8</v>
      </c>
      <c r="D1398" s="2" t="str">
        <f>VLOOKUP($C1398,SkillEnum!$D$2:$E$10,2,FALSE)</f>
        <v>ST_PASSIVE</v>
      </c>
      <c r="E1398" s="7" t="str">
        <f>VLOOKUP($A1398,SkillEnum!$A$2:$C$1020,3,FALSE)</f>
        <v>여왕의 지배력</v>
      </c>
      <c r="F1398" s="7" t="str">
        <f t="shared" si="189"/>
        <v>소환수가 사용하는 스킬의 공격력이 14 % 증가한다.</v>
      </c>
      <c r="G1398" s="2">
        <v>7</v>
      </c>
      <c r="H1398" s="2">
        <v>1</v>
      </c>
      <c r="I1398" s="2">
        <v>0</v>
      </c>
      <c r="J1398" s="2">
        <v>0</v>
      </c>
      <c r="K1398" s="2">
        <v>0</v>
      </c>
      <c r="L1398" s="2">
        <v>0</v>
      </c>
      <c r="M1398" s="2">
        <v>0</v>
      </c>
      <c r="N1398" s="2">
        <v>0</v>
      </c>
      <c r="O1398" s="2">
        <v>0</v>
      </c>
      <c r="P1398" s="2" t="s">
        <v>444</v>
      </c>
      <c r="Q1398" s="2" t="str">
        <f t="shared" si="180"/>
        <v>SI_P_EN_QUEENS_CONTROL</v>
      </c>
      <c r="R1398" s="2" t="b">
        <v>0</v>
      </c>
      <c r="S1398" s="2" t="b">
        <v>1</v>
      </c>
      <c r="T1398" s="2">
        <v>0</v>
      </c>
      <c r="V1398" s="2" t="s">
        <v>268</v>
      </c>
      <c r="W1398" s="2">
        <v>1.1399999999999999</v>
      </c>
    </row>
    <row r="1399" spans="1:25">
      <c r="A1399" s="4">
        <v>3402</v>
      </c>
      <c r="B1399" s="7" t="str">
        <f>VLOOKUP($A1399,SkillEnum!$A$2:$C$1020,2,FALSE)</f>
        <v>SI_P_EN_QUEENS_CONTROL</v>
      </c>
      <c r="C1399" s="7">
        <v>8</v>
      </c>
      <c r="D1399" s="2" t="str">
        <f>VLOOKUP($C1399,SkillEnum!$D$2:$E$10,2,FALSE)</f>
        <v>ST_PASSIVE</v>
      </c>
      <c r="E1399" s="7" t="str">
        <f>VLOOKUP($A1399,SkillEnum!$A$2:$C$1020,3,FALSE)</f>
        <v>여왕의 지배력</v>
      </c>
      <c r="F1399" s="7" t="str">
        <f t="shared" si="189"/>
        <v>소환수가 사용하는 스킬의 공격력이 16 % 증가한다.</v>
      </c>
      <c r="G1399" s="2">
        <v>8</v>
      </c>
      <c r="H1399" s="2">
        <v>1</v>
      </c>
      <c r="I1399" s="2">
        <v>0</v>
      </c>
      <c r="J1399" s="2">
        <v>0</v>
      </c>
      <c r="K1399" s="2">
        <v>0</v>
      </c>
      <c r="L1399" s="2">
        <v>0</v>
      </c>
      <c r="M1399" s="2">
        <v>0</v>
      </c>
      <c r="N1399" s="2">
        <v>0</v>
      </c>
      <c r="O1399" s="2">
        <v>0</v>
      </c>
      <c r="P1399" s="2" t="s">
        <v>444</v>
      </c>
      <c r="Q1399" s="2" t="str">
        <f t="shared" si="180"/>
        <v>SI_P_EN_QUEENS_CONTROL</v>
      </c>
      <c r="R1399" s="2" t="b">
        <v>0</v>
      </c>
      <c r="S1399" s="2" t="b">
        <v>1</v>
      </c>
      <c r="T1399" s="2">
        <v>0</v>
      </c>
      <c r="V1399" s="2" t="s">
        <v>268</v>
      </c>
      <c r="W1399" s="2">
        <v>1.1599999999999999</v>
      </c>
    </row>
    <row r="1400" spans="1:25">
      <c r="A1400" s="4">
        <v>3402</v>
      </c>
      <c r="B1400" s="7" t="str">
        <f>VLOOKUP($A1400,SkillEnum!$A$2:$C$1020,2,FALSE)</f>
        <v>SI_P_EN_QUEENS_CONTROL</v>
      </c>
      <c r="C1400" s="7">
        <v>8</v>
      </c>
      <c r="D1400" s="2" t="str">
        <f>VLOOKUP($C1400,SkillEnum!$D$2:$E$10,2,FALSE)</f>
        <v>ST_PASSIVE</v>
      </c>
      <c r="E1400" s="7" t="str">
        <f>VLOOKUP($A1400,SkillEnum!$A$2:$C$1020,3,FALSE)</f>
        <v>여왕의 지배력</v>
      </c>
      <c r="F1400" s="7" t="str">
        <f t="shared" si="189"/>
        <v>소환수가 사용하는 스킬의 공격력이 18 % 증가한다.</v>
      </c>
      <c r="G1400" s="2">
        <v>9</v>
      </c>
      <c r="H1400" s="2">
        <v>1</v>
      </c>
      <c r="I1400" s="2">
        <v>0</v>
      </c>
      <c r="J1400" s="2">
        <v>0</v>
      </c>
      <c r="K1400" s="2">
        <v>0</v>
      </c>
      <c r="L1400" s="2">
        <v>0</v>
      </c>
      <c r="M1400" s="2">
        <v>0</v>
      </c>
      <c r="N1400" s="2">
        <v>0</v>
      </c>
      <c r="O1400" s="2">
        <v>0</v>
      </c>
      <c r="P1400" s="2" t="s">
        <v>444</v>
      </c>
      <c r="Q1400" s="2" t="str">
        <f t="shared" si="180"/>
        <v>SI_P_EN_QUEENS_CONTROL</v>
      </c>
      <c r="R1400" s="2" t="b">
        <v>0</v>
      </c>
      <c r="S1400" s="2" t="b">
        <v>1</v>
      </c>
      <c r="T1400" s="2">
        <v>0</v>
      </c>
      <c r="V1400" s="2" t="s">
        <v>268</v>
      </c>
      <c r="W1400" s="2">
        <v>1.18</v>
      </c>
    </row>
    <row r="1401" spans="1:25" s="5" customFormat="1">
      <c r="A1401" s="6">
        <v>3402</v>
      </c>
      <c r="B1401" s="8" t="str">
        <f>VLOOKUP($A1401,SkillEnum!$A$2:$C$1020,2,FALSE)</f>
        <v>SI_P_EN_QUEENS_CONTROL</v>
      </c>
      <c r="C1401" s="8">
        <v>8</v>
      </c>
      <c r="D1401" s="5" t="str">
        <f>VLOOKUP($C1401,SkillEnum!$D$2:$E$10,2,FALSE)</f>
        <v>ST_PASSIVE</v>
      </c>
      <c r="E1401" s="8" t="str">
        <f>VLOOKUP($A1401,SkillEnum!$A$2:$C$1020,3,FALSE)</f>
        <v>여왕의 지배력</v>
      </c>
      <c r="F1401" s="8" t="str">
        <f t="shared" si="189"/>
        <v>소환수가 사용하는 스킬의 공격력이 20 % 증가한다.</v>
      </c>
      <c r="G1401" s="5">
        <v>10</v>
      </c>
      <c r="H1401" s="5">
        <v>1</v>
      </c>
      <c r="I1401" s="5">
        <v>0</v>
      </c>
      <c r="J1401" s="5">
        <v>0</v>
      </c>
      <c r="K1401" s="5">
        <v>0</v>
      </c>
      <c r="L1401" s="5">
        <v>0</v>
      </c>
      <c r="M1401" s="5">
        <v>0</v>
      </c>
      <c r="N1401" s="5">
        <v>0</v>
      </c>
      <c r="O1401" s="5">
        <v>0</v>
      </c>
      <c r="P1401" s="2" t="s">
        <v>444</v>
      </c>
      <c r="Q1401" s="2" t="str">
        <f t="shared" si="180"/>
        <v>SI_P_EN_QUEENS_CONTROL</v>
      </c>
      <c r="R1401" s="5" t="b">
        <v>0</v>
      </c>
      <c r="S1401" s="2" t="b">
        <v>1</v>
      </c>
      <c r="T1401" s="2">
        <v>0</v>
      </c>
      <c r="U1401" s="2"/>
      <c r="V1401" s="5" t="s">
        <v>268</v>
      </c>
      <c r="W1401" s="5">
        <v>1.2</v>
      </c>
    </row>
    <row r="1402" spans="1:25">
      <c r="A1402" s="4">
        <v>3403</v>
      </c>
      <c r="B1402" s="7" t="str">
        <f>VLOOKUP($A1402,SkillEnum!$A$2:$C$1020,2,FALSE)</f>
        <v>SI_P_EN_QUEENS_POTENTIAL</v>
      </c>
      <c r="C1402" s="7">
        <v>8</v>
      </c>
      <c r="D1402" s="2" t="str">
        <f>VLOOKUP($C1402,SkillEnum!$D$2:$E$10,2,FALSE)</f>
        <v>ST_PASSIVE</v>
      </c>
      <c r="E1402" s="11" t="str">
        <f>VLOOKUP($A1402,SkillEnum!$A$2:$C$1020,3,FALSE)</f>
        <v>여왕의 잠재력</v>
      </c>
      <c r="F1402" s="11" t="str">
        <f t="shared" ref="F1402:F1411" si="190">"최대 마나량이 "&amp;W1402&amp;" 증가하고, 일렉트론볼에 소모되는 마나가 "&amp;ROUND((1-Y1402)*100,0)&amp;" % 감소한다."</f>
        <v>최대 마나량이 20 증가하고, 일렉트론볼에 소모되는 마나가 4 % 감소한다.</v>
      </c>
      <c r="G1402" s="10">
        <v>1</v>
      </c>
      <c r="H1402" s="2">
        <v>1</v>
      </c>
      <c r="I1402" s="2">
        <v>0</v>
      </c>
      <c r="J1402" s="10">
        <v>0</v>
      </c>
      <c r="K1402" s="2">
        <v>0</v>
      </c>
      <c r="L1402" s="2">
        <v>0</v>
      </c>
      <c r="M1402" s="2">
        <v>0</v>
      </c>
      <c r="N1402" s="2">
        <v>0</v>
      </c>
      <c r="O1402" s="2">
        <v>0</v>
      </c>
      <c r="P1402" s="2" t="s">
        <v>444</v>
      </c>
      <c r="Q1402" s="2" t="str">
        <f t="shared" si="180"/>
        <v>SI_P_EN_QUEENS_POTENTIAL</v>
      </c>
      <c r="R1402" s="2" t="b">
        <v>0</v>
      </c>
      <c r="S1402" s="2" t="b">
        <v>1</v>
      </c>
      <c r="T1402" s="2">
        <v>0</v>
      </c>
      <c r="V1402" s="10" t="s">
        <v>235</v>
      </c>
      <c r="W1402" s="2">
        <v>20</v>
      </c>
      <c r="X1402" s="2" t="s">
        <v>270</v>
      </c>
      <c r="Y1402" s="2">
        <v>0.96</v>
      </c>
    </row>
    <row r="1403" spans="1:25">
      <c r="A1403" s="4">
        <v>3403</v>
      </c>
      <c r="B1403" s="7" t="str">
        <f>VLOOKUP($A1403,SkillEnum!$A$2:$C$1020,2,FALSE)</f>
        <v>SI_P_EN_QUEENS_POTENTIAL</v>
      </c>
      <c r="C1403" s="7">
        <v>8</v>
      </c>
      <c r="D1403" s="2" t="str">
        <f>VLOOKUP($C1403,SkillEnum!$D$2:$E$10,2,FALSE)</f>
        <v>ST_PASSIVE</v>
      </c>
      <c r="E1403" s="7" t="str">
        <f>VLOOKUP($A1403,SkillEnum!$A$2:$C$1020,3,FALSE)</f>
        <v>여왕의 잠재력</v>
      </c>
      <c r="F1403" s="7" t="str">
        <f t="shared" si="190"/>
        <v>최대 마나량이 40 증가하고, 일렉트론볼에 소모되는 마나가 8 % 감소한다.</v>
      </c>
      <c r="G1403" s="2">
        <v>2</v>
      </c>
      <c r="H1403" s="2">
        <v>1</v>
      </c>
      <c r="I1403" s="2">
        <v>0</v>
      </c>
      <c r="J1403" s="2">
        <v>0</v>
      </c>
      <c r="K1403" s="2">
        <v>0</v>
      </c>
      <c r="L1403" s="2">
        <v>0</v>
      </c>
      <c r="M1403" s="2">
        <v>0</v>
      </c>
      <c r="N1403" s="2">
        <v>0</v>
      </c>
      <c r="O1403" s="2">
        <v>0</v>
      </c>
      <c r="P1403" s="2" t="s">
        <v>444</v>
      </c>
      <c r="Q1403" s="2" t="str">
        <f t="shared" si="180"/>
        <v>SI_P_EN_QUEENS_POTENTIAL</v>
      </c>
      <c r="R1403" s="2" t="b">
        <v>0</v>
      </c>
      <c r="S1403" s="2" t="b">
        <v>1</v>
      </c>
      <c r="T1403" s="2">
        <v>0</v>
      </c>
      <c r="V1403" s="2" t="s">
        <v>235</v>
      </c>
      <c r="W1403" s="2">
        <v>40</v>
      </c>
      <c r="X1403" s="2" t="s">
        <v>270</v>
      </c>
      <c r="Y1403" s="2">
        <v>0.92</v>
      </c>
    </row>
    <row r="1404" spans="1:25">
      <c r="A1404" s="4">
        <v>3403</v>
      </c>
      <c r="B1404" s="7" t="str">
        <f>VLOOKUP($A1404,SkillEnum!$A$2:$C$1020,2,FALSE)</f>
        <v>SI_P_EN_QUEENS_POTENTIAL</v>
      </c>
      <c r="C1404" s="7">
        <v>8</v>
      </c>
      <c r="D1404" s="2" t="str">
        <f>VLOOKUP($C1404,SkillEnum!$D$2:$E$10,2,FALSE)</f>
        <v>ST_PASSIVE</v>
      </c>
      <c r="E1404" s="7" t="str">
        <f>VLOOKUP($A1404,SkillEnum!$A$2:$C$1020,3,FALSE)</f>
        <v>여왕의 잠재력</v>
      </c>
      <c r="F1404" s="7" t="str">
        <f t="shared" si="190"/>
        <v>최대 마나량이 60 증가하고, 일렉트론볼에 소모되는 마나가 12 % 감소한다.</v>
      </c>
      <c r="G1404" s="2">
        <v>3</v>
      </c>
      <c r="H1404" s="2">
        <v>1</v>
      </c>
      <c r="I1404" s="2">
        <v>0</v>
      </c>
      <c r="J1404" s="2">
        <v>0</v>
      </c>
      <c r="K1404" s="2">
        <v>0</v>
      </c>
      <c r="L1404" s="2">
        <v>0</v>
      </c>
      <c r="M1404" s="2">
        <v>0</v>
      </c>
      <c r="N1404" s="2">
        <v>0</v>
      </c>
      <c r="O1404" s="2">
        <v>0</v>
      </c>
      <c r="P1404" s="2" t="s">
        <v>444</v>
      </c>
      <c r="Q1404" s="2" t="str">
        <f t="shared" si="180"/>
        <v>SI_P_EN_QUEENS_POTENTIAL</v>
      </c>
      <c r="R1404" s="2" t="b">
        <v>0</v>
      </c>
      <c r="S1404" s="2" t="b">
        <v>1</v>
      </c>
      <c r="T1404" s="2">
        <v>0</v>
      </c>
      <c r="V1404" s="2" t="s">
        <v>235</v>
      </c>
      <c r="W1404" s="2">
        <v>60</v>
      </c>
      <c r="X1404" s="2" t="s">
        <v>270</v>
      </c>
      <c r="Y1404" s="2">
        <v>0.88</v>
      </c>
    </row>
    <row r="1405" spans="1:25">
      <c r="A1405" s="4">
        <v>3403</v>
      </c>
      <c r="B1405" s="7" t="str">
        <f>VLOOKUP($A1405,SkillEnum!$A$2:$C$1020,2,FALSE)</f>
        <v>SI_P_EN_QUEENS_POTENTIAL</v>
      </c>
      <c r="C1405" s="7">
        <v>8</v>
      </c>
      <c r="D1405" s="2" t="str">
        <f>VLOOKUP($C1405,SkillEnum!$D$2:$E$10,2,FALSE)</f>
        <v>ST_PASSIVE</v>
      </c>
      <c r="E1405" s="7" t="str">
        <f>VLOOKUP($A1405,SkillEnum!$A$2:$C$1020,3,FALSE)</f>
        <v>여왕의 잠재력</v>
      </c>
      <c r="F1405" s="7" t="str">
        <f t="shared" si="190"/>
        <v>최대 마나량이 80 증가하고, 일렉트론볼에 소모되는 마나가 16 % 감소한다.</v>
      </c>
      <c r="G1405" s="2">
        <v>4</v>
      </c>
      <c r="H1405" s="2">
        <v>1</v>
      </c>
      <c r="I1405" s="2">
        <v>0</v>
      </c>
      <c r="J1405" s="2">
        <v>0</v>
      </c>
      <c r="K1405" s="2">
        <v>0</v>
      </c>
      <c r="L1405" s="2">
        <v>0</v>
      </c>
      <c r="M1405" s="2">
        <v>0</v>
      </c>
      <c r="N1405" s="2">
        <v>0</v>
      </c>
      <c r="O1405" s="2">
        <v>0</v>
      </c>
      <c r="P1405" s="2" t="s">
        <v>444</v>
      </c>
      <c r="Q1405" s="2" t="str">
        <f t="shared" si="180"/>
        <v>SI_P_EN_QUEENS_POTENTIAL</v>
      </c>
      <c r="R1405" s="2" t="b">
        <v>0</v>
      </c>
      <c r="S1405" s="2" t="b">
        <v>1</v>
      </c>
      <c r="T1405" s="2">
        <v>0</v>
      </c>
      <c r="V1405" s="2" t="s">
        <v>235</v>
      </c>
      <c r="W1405" s="2">
        <v>80</v>
      </c>
      <c r="X1405" s="2" t="s">
        <v>270</v>
      </c>
      <c r="Y1405" s="2">
        <v>0.84</v>
      </c>
    </row>
    <row r="1406" spans="1:25">
      <c r="A1406" s="4">
        <v>3403</v>
      </c>
      <c r="B1406" s="7" t="str">
        <f>VLOOKUP($A1406,SkillEnum!$A$2:$C$1020,2,FALSE)</f>
        <v>SI_P_EN_QUEENS_POTENTIAL</v>
      </c>
      <c r="C1406" s="7">
        <v>8</v>
      </c>
      <c r="D1406" s="2" t="str">
        <f>VLOOKUP($C1406,SkillEnum!$D$2:$E$10,2,FALSE)</f>
        <v>ST_PASSIVE</v>
      </c>
      <c r="E1406" s="7" t="str">
        <f>VLOOKUP($A1406,SkillEnum!$A$2:$C$1020,3,FALSE)</f>
        <v>여왕의 잠재력</v>
      </c>
      <c r="F1406" s="7" t="str">
        <f t="shared" si="190"/>
        <v>최대 마나량이 100 증가하고, 일렉트론볼에 소모되는 마나가 20 % 감소한다.</v>
      </c>
      <c r="G1406" s="2">
        <v>5</v>
      </c>
      <c r="H1406" s="2">
        <v>1</v>
      </c>
      <c r="I1406" s="2">
        <v>0</v>
      </c>
      <c r="J1406" s="2">
        <v>0</v>
      </c>
      <c r="K1406" s="2">
        <v>0</v>
      </c>
      <c r="L1406" s="2">
        <v>0</v>
      </c>
      <c r="M1406" s="2">
        <v>0</v>
      </c>
      <c r="N1406" s="2">
        <v>0</v>
      </c>
      <c r="O1406" s="2">
        <v>0</v>
      </c>
      <c r="P1406" s="2" t="s">
        <v>444</v>
      </c>
      <c r="Q1406" s="2" t="str">
        <f t="shared" si="180"/>
        <v>SI_P_EN_QUEENS_POTENTIAL</v>
      </c>
      <c r="R1406" s="2" t="b">
        <v>0</v>
      </c>
      <c r="S1406" s="2" t="b">
        <v>1</v>
      </c>
      <c r="T1406" s="2">
        <v>0</v>
      </c>
      <c r="V1406" s="2" t="s">
        <v>235</v>
      </c>
      <c r="W1406" s="2">
        <v>100</v>
      </c>
      <c r="X1406" s="2" t="s">
        <v>270</v>
      </c>
      <c r="Y1406" s="2">
        <v>0.8</v>
      </c>
    </row>
    <row r="1407" spans="1:25">
      <c r="A1407" s="4">
        <v>3403</v>
      </c>
      <c r="B1407" s="7" t="str">
        <f>VLOOKUP($A1407,SkillEnum!$A$2:$C$1020,2,FALSE)</f>
        <v>SI_P_EN_QUEENS_POTENTIAL</v>
      </c>
      <c r="C1407" s="7">
        <v>8</v>
      </c>
      <c r="D1407" s="2" t="str">
        <f>VLOOKUP($C1407,SkillEnum!$D$2:$E$10,2,FALSE)</f>
        <v>ST_PASSIVE</v>
      </c>
      <c r="E1407" s="7" t="str">
        <f>VLOOKUP($A1407,SkillEnum!$A$2:$C$1020,3,FALSE)</f>
        <v>여왕의 잠재력</v>
      </c>
      <c r="F1407" s="7" t="str">
        <f t="shared" si="190"/>
        <v>최대 마나량이 120 증가하고, 일렉트론볼에 소모되는 마나가 24 % 감소한다.</v>
      </c>
      <c r="G1407" s="2">
        <v>6</v>
      </c>
      <c r="H1407" s="2">
        <v>1</v>
      </c>
      <c r="I1407" s="2">
        <v>0</v>
      </c>
      <c r="J1407" s="2">
        <v>0</v>
      </c>
      <c r="K1407" s="2">
        <v>0</v>
      </c>
      <c r="L1407" s="2">
        <v>0</v>
      </c>
      <c r="M1407" s="2">
        <v>0</v>
      </c>
      <c r="N1407" s="2">
        <v>0</v>
      </c>
      <c r="O1407" s="2">
        <v>0</v>
      </c>
      <c r="P1407" s="2" t="s">
        <v>444</v>
      </c>
      <c r="Q1407" s="2" t="str">
        <f t="shared" si="180"/>
        <v>SI_P_EN_QUEENS_POTENTIAL</v>
      </c>
      <c r="R1407" s="2" t="b">
        <v>0</v>
      </c>
      <c r="S1407" s="2" t="b">
        <v>1</v>
      </c>
      <c r="T1407" s="2">
        <v>0</v>
      </c>
      <c r="V1407" s="2" t="s">
        <v>235</v>
      </c>
      <c r="W1407" s="2">
        <v>120</v>
      </c>
      <c r="X1407" s="2" t="s">
        <v>270</v>
      </c>
      <c r="Y1407" s="2">
        <v>0.76</v>
      </c>
    </row>
    <row r="1408" spans="1:25">
      <c r="A1408" s="4">
        <v>3403</v>
      </c>
      <c r="B1408" s="7" t="str">
        <f>VLOOKUP($A1408,SkillEnum!$A$2:$C$1020,2,FALSE)</f>
        <v>SI_P_EN_QUEENS_POTENTIAL</v>
      </c>
      <c r="C1408" s="7">
        <v>8</v>
      </c>
      <c r="D1408" s="2" t="str">
        <f>VLOOKUP($C1408,SkillEnum!$D$2:$E$10,2,FALSE)</f>
        <v>ST_PASSIVE</v>
      </c>
      <c r="E1408" s="7" t="str">
        <f>VLOOKUP($A1408,SkillEnum!$A$2:$C$1020,3,FALSE)</f>
        <v>여왕의 잠재력</v>
      </c>
      <c r="F1408" s="7" t="str">
        <f t="shared" si="190"/>
        <v>최대 마나량이 140 증가하고, 일렉트론볼에 소모되는 마나가 28 % 감소한다.</v>
      </c>
      <c r="G1408" s="2">
        <v>7</v>
      </c>
      <c r="H1408" s="2">
        <v>1</v>
      </c>
      <c r="I1408" s="2">
        <v>0</v>
      </c>
      <c r="J1408" s="2">
        <v>0</v>
      </c>
      <c r="K1408" s="2">
        <v>0</v>
      </c>
      <c r="L1408" s="2">
        <v>0</v>
      </c>
      <c r="M1408" s="2">
        <v>0</v>
      </c>
      <c r="N1408" s="2">
        <v>0</v>
      </c>
      <c r="O1408" s="2">
        <v>0</v>
      </c>
      <c r="P1408" s="2" t="s">
        <v>444</v>
      </c>
      <c r="Q1408" s="2" t="str">
        <f t="shared" si="180"/>
        <v>SI_P_EN_QUEENS_POTENTIAL</v>
      </c>
      <c r="R1408" s="2" t="b">
        <v>0</v>
      </c>
      <c r="S1408" s="2" t="b">
        <v>1</v>
      </c>
      <c r="T1408" s="2">
        <v>0</v>
      </c>
      <c r="V1408" s="2" t="s">
        <v>235</v>
      </c>
      <c r="W1408" s="2">
        <v>140</v>
      </c>
      <c r="X1408" s="2" t="s">
        <v>270</v>
      </c>
      <c r="Y1408" s="2">
        <v>0.72</v>
      </c>
    </row>
    <row r="1409" spans="1:25">
      <c r="A1409" s="4">
        <v>3403</v>
      </c>
      <c r="B1409" s="7" t="str">
        <f>VLOOKUP($A1409,SkillEnum!$A$2:$C$1020,2,FALSE)</f>
        <v>SI_P_EN_QUEENS_POTENTIAL</v>
      </c>
      <c r="C1409" s="7">
        <v>8</v>
      </c>
      <c r="D1409" s="2" t="str">
        <f>VLOOKUP($C1409,SkillEnum!$D$2:$E$10,2,FALSE)</f>
        <v>ST_PASSIVE</v>
      </c>
      <c r="E1409" s="7" t="str">
        <f>VLOOKUP($A1409,SkillEnum!$A$2:$C$1020,3,FALSE)</f>
        <v>여왕의 잠재력</v>
      </c>
      <c r="F1409" s="7" t="str">
        <f t="shared" si="190"/>
        <v>최대 마나량이 160 증가하고, 일렉트론볼에 소모되는 마나가 32 % 감소한다.</v>
      </c>
      <c r="G1409" s="2">
        <v>8</v>
      </c>
      <c r="H1409" s="2">
        <v>1</v>
      </c>
      <c r="I1409" s="2">
        <v>0</v>
      </c>
      <c r="J1409" s="2">
        <v>0</v>
      </c>
      <c r="K1409" s="2">
        <v>0</v>
      </c>
      <c r="L1409" s="2">
        <v>0</v>
      </c>
      <c r="M1409" s="2">
        <v>0</v>
      </c>
      <c r="N1409" s="2">
        <v>0</v>
      </c>
      <c r="O1409" s="2">
        <v>0</v>
      </c>
      <c r="P1409" s="2" t="s">
        <v>444</v>
      </c>
      <c r="Q1409" s="2" t="str">
        <f t="shared" si="180"/>
        <v>SI_P_EN_QUEENS_POTENTIAL</v>
      </c>
      <c r="R1409" s="2" t="b">
        <v>0</v>
      </c>
      <c r="S1409" s="2" t="b">
        <v>1</v>
      </c>
      <c r="T1409" s="2">
        <v>0</v>
      </c>
      <c r="V1409" s="2" t="s">
        <v>235</v>
      </c>
      <c r="W1409" s="2">
        <v>160</v>
      </c>
      <c r="X1409" s="2" t="s">
        <v>270</v>
      </c>
      <c r="Y1409" s="2">
        <v>0.68</v>
      </c>
    </row>
    <row r="1410" spans="1:25">
      <c r="A1410" s="4">
        <v>3403</v>
      </c>
      <c r="B1410" s="7" t="str">
        <f>VLOOKUP($A1410,SkillEnum!$A$2:$C$1020,2,FALSE)</f>
        <v>SI_P_EN_QUEENS_POTENTIAL</v>
      </c>
      <c r="C1410" s="7">
        <v>8</v>
      </c>
      <c r="D1410" s="2" t="str">
        <f>VLOOKUP($C1410,SkillEnum!$D$2:$E$10,2,FALSE)</f>
        <v>ST_PASSIVE</v>
      </c>
      <c r="E1410" s="7" t="str">
        <f>VLOOKUP($A1410,SkillEnum!$A$2:$C$1020,3,FALSE)</f>
        <v>여왕의 잠재력</v>
      </c>
      <c r="F1410" s="7" t="str">
        <f t="shared" si="190"/>
        <v>최대 마나량이 180 증가하고, 일렉트론볼에 소모되는 마나가 36 % 감소한다.</v>
      </c>
      <c r="G1410" s="2">
        <v>9</v>
      </c>
      <c r="H1410" s="2">
        <v>1</v>
      </c>
      <c r="I1410" s="2">
        <v>0</v>
      </c>
      <c r="J1410" s="2">
        <v>0</v>
      </c>
      <c r="K1410" s="2">
        <v>0</v>
      </c>
      <c r="L1410" s="2">
        <v>0</v>
      </c>
      <c r="M1410" s="2">
        <v>0</v>
      </c>
      <c r="N1410" s="2">
        <v>0</v>
      </c>
      <c r="O1410" s="2">
        <v>0</v>
      </c>
      <c r="P1410" s="2" t="s">
        <v>444</v>
      </c>
      <c r="Q1410" s="2" t="str">
        <f t="shared" si="180"/>
        <v>SI_P_EN_QUEENS_POTENTIAL</v>
      </c>
      <c r="R1410" s="2" t="b">
        <v>0</v>
      </c>
      <c r="S1410" s="2" t="b">
        <v>1</v>
      </c>
      <c r="T1410" s="2">
        <v>0</v>
      </c>
      <c r="V1410" s="2" t="s">
        <v>235</v>
      </c>
      <c r="W1410" s="2">
        <v>180</v>
      </c>
      <c r="X1410" s="2" t="s">
        <v>270</v>
      </c>
      <c r="Y1410" s="2">
        <v>0.64</v>
      </c>
    </row>
    <row r="1411" spans="1:25" s="5" customFormat="1">
      <c r="A1411" s="6">
        <v>3403</v>
      </c>
      <c r="B1411" s="8" t="str">
        <f>VLOOKUP($A1411,SkillEnum!$A$2:$C$1020,2,FALSE)</f>
        <v>SI_P_EN_QUEENS_POTENTIAL</v>
      </c>
      <c r="C1411" s="8">
        <v>8</v>
      </c>
      <c r="D1411" s="5" t="str">
        <f>VLOOKUP($C1411,SkillEnum!$D$2:$E$10,2,FALSE)</f>
        <v>ST_PASSIVE</v>
      </c>
      <c r="E1411" s="8" t="str">
        <f>VLOOKUP($A1411,SkillEnum!$A$2:$C$1020,3,FALSE)</f>
        <v>여왕의 잠재력</v>
      </c>
      <c r="F1411" s="8" t="str">
        <f t="shared" si="190"/>
        <v>최대 마나량이 200 증가하고, 일렉트론볼에 소모되는 마나가 40 % 감소한다.</v>
      </c>
      <c r="G1411" s="5">
        <v>10</v>
      </c>
      <c r="H1411" s="5">
        <v>1</v>
      </c>
      <c r="I1411" s="5">
        <v>0</v>
      </c>
      <c r="J1411" s="5">
        <v>0</v>
      </c>
      <c r="K1411" s="5">
        <v>0</v>
      </c>
      <c r="L1411" s="5">
        <v>0</v>
      </c>
      <c r="M1411" s="5">
        <v>0</v>
      </c>
      <c r="N1411" s="5">
        <v>0</v>
      </c>
      <c r="O1411" s="5">
        <v>0</v>
      </c>
      <c r="P1411" s="2" t="s">
        <v>444</v>
      </c>
      <c r="Q1411" s="2" t="str">
        <f t="shared" si="180"/>
        <v>SI_P_EN_QUEENS_POTENTIAL</v>
      </c>
      <c r="R1411" s="5" t="b">
        <v>0</v>
      </c>
      <c r="S1411" s="2" t="b">
        <v>1</v>
      </c>
      <c r="T1411" s="2">
        <v>0</v>
      </c>
      <c r="U1411" s="2"/>
      <c r="V1411" s="5" t="s">
        <v>235</v>
      </c>
      <c r="W1411" s="5">
        <v>200</v>
      </c>
      <c r="X1411" s="5" t="s">
        <v>270</v>
      </c>
      <c r="Y1411" s="5">
        <v>0.6</v>
      </c>
    </row>
    <row r="1412" spans="1:25">
      <c r="E1412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T43"/>
  <sheetViews>
    <sheetView zoomScale="60" zoomScaleNormal="60" workbookViewId="0">
      <selection activeCell="I31" sqref="I31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34"/>
      <c r="C2" s="15"/>
      <c r="D2" s="16"/>
      <c r="E2" s="17"/>
      <c r="F2" s="21">
        <v>3</v>
      </c>
      <c r="G2" s="22">
        <v>5</v>
      </c>
      <c r="H2" s="23"/>
      <c r="I2" s="17"/>
      <c r="J2" s="34"/>
      <c r="K2" s="15"/>
      <c r="L2" s="16"/>
      <c r="M2" s="17"/>
      <c r="N2" s="14">
        <v>1000</v>
      </c>
      <c r="O2" s="15">
        <v>5</v>
      </c>
      <c r="P2" s="16"/>
      <c r="Q2" s="17"/>
      <c r="R2" s="14">
        <v>1200</v>
      </c>
      <c r="S2" s="15">
        <v>1</v>
      </c>
      <c r="T2" s="16"/>
    </row>
    <row r="3" spans="1:20" ht="99.95" customHeight="1" thickBot="1">
      <c r="B3" s="18" t="e">
        <f>VLOOKUP(B2,SkillTable!$A$2:$E$2200,5,FALSE)</f>
        <v>#N/A</v>
      </c>
      <c r="C3" s="19" t="str">
        <f>"MAX LV "&amp;C2</f>
        <v xml:space="preserve">MAX LV </v>
      </c>
      <c r="D3" s="20" t="e">
        <f>VLOOKUP(D2,SkillTable!$A$2:$E$2200,5,FALSE)</f>
        <v>#N/A</v>
      </c>
      <c r="E3" s="17"/>
      <c r="F3" s="18" t="str">
        <f>VLOOKUP(F2,SkillTable!$A$2:$E$2200,5,FALSE)</f>
        <v>기초 물리방어술</v>
      </c>
      <c r="G3" s="19" t="str">
        <f>"MAX LV "&amp;G2</f>
        <v>MAX LV 5</v>
      </c>
      <c r="H3" s="20" t="e">
        <f>VLOOKUP(H2,SkillTable!$A$2:$E$2200,5,FALSE)</f>
        <v>#N/A</v>
      </c>
      <c r="I3" s="17"/>
      <c r="J3" s="18" t="e">
        <f>VLOOKUP(J2,SkillTable!$A$2:$E$2200,5,FALSE)</f>
        <v>#N/A</v>
      </c>
      <c r="K3" s="19" t="str">
        <f>"MAX LV "&amp;K2</f>
        <v xml:space="preserve">MAX LV </v>
      </c>
      <c r="L3" s="20" t="e">
        <f>VLOOKUP(L2,SkillTable!$A$2:$E$2200,5,FALSE)</f>
        <v>#N/A</v>
      </c>
      <c r="M3" s="17"/>
      <c r="N3" s="18" t="str">
        <f>VLOOKUP(N2,SkillTable!$A$2:$E$2200,5,FALSE)</f>
        <v>메가 슬래시</v>
      </c>
      <c r="O3" s="19" t="str">
        <f>"MAX LV "&amp;O2</f>
        <v>MAX LV 5</v>
      </c>
      <c r="P3" s="20" t="e">
        <f>VLOOKUP(P2,SkillTable!$A$2:$E$2200,5,FALSE)</f>
        <v>#N/A</v>
      </c>
      <c r="Q3" s="17"/>
      <c r="R3" s="18" t="str">
        <f>VLOOKUP(R2,SkillTable!$A$2:$E$2200,5,FALSE)</f>
        <v>반격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14">
        <v>4</v>
      </c>
      <c r="C5" s="15">
        <v>5</v>
      </c>
      <c r="D5" s="16"/>
      <c r="E5" s="17"/>
      <c r="F5" s="34"/>
      <c r="G5" s="15"/>
      <c r="H5" s="16"/>
      <c r="I5" s="17"/>
      <c r="J5" s="34"/>
      <c r="K5" s="15"/>
      <c r="L5" s="16"/>
      <c r="M5" s="17"/>
      <c r="N5" s="14">
        <v>1002</v>
      </c>
      <c r="O5" s="15">
        <v>5</v>
      </c>
      <c r="P5" s="16"/>
      <c r="Q5" s="17"/>
      <c r="R5" s="14"/>
      <c r="S5" s="15"/>
      <c r="T5" s="16"/>
    </row>
    <row r="6" spans="1:20" ht="99.95" customHeight="1" thickBot="1">
      <c r="B6" s="18" t="str">
        <f>VLOOKUP(B5,SkillTable!$A$2:$E$2200,5,FALSE)</f>
        <v>기초 마법방어술</v>
      </c>
      <c r="C6" s="19" t="str">
        <f>"MAX LV "&amp;C5</f>
        <v>MAX LV 5</v>
      </c>
      <c r="D6" s="20" t="e">
        <f>VLOOKUP(D5,SkillTable!$A$2:$E$2200,5,FALSE)</f>
        <v>#N/A</v>
      </c>
      <c r="E6" s="17"/>
      <c r="F6" s="18" t="e">
        <f>VLOOKUP(F5,SkillTable!$A$2:$E$2200,5,FALSE)</f>
        <v>#N/A</v>
      </c>
      <c r="G6" s="19" t="str">
        <f>"MAX LV "&amp;G5</f>
        <v xml:space="preserve">MAX LV </v>
      </c>
      <c r="H6" s="20" t="e">
        <f>VLOOKUP(H5,SkillTable!$A$2:$E$2200,5,FALSE)</f>
        <v>#N/A</v>
      </c>
      <c r="I6" s="17"/>
      <c r="J6" s="18" t="e">
        <f>VLOOKUP(J5,SkillTable!$A$2:$E$2200,5,FALSE)</f>
        <v>#N/A</v>
      </c>
      <c r="K6" s="19" t="str">
        <f>"MAX LV "&amp;K5</f>
        <v xml:space="preserve">MAX LV </v>
      </c>
      <c r="L6" s="20" t="e">
        <f>VLOOKUP(L5,SkillTable!$A$2:$E$2200,5,FALSE)</f>
        <v>#N/A</v>
      </c>
      <c r="M6" s="17"/>
      <c r="N6" s="18" t="str">
        <f>VLOOKUP(N5,SkillTable!$A$2:$E$2200,5,FALSE)</f>
        <v>페이탈 퓨리</v>
      </c>
      <c r="O6" s="19" t="str">
        <f>"MAX LV "&amp;O5</f>
        <v>MAX LV 5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34"/>
      <c r="C8" s="15"/>
      <c r="D8" s="16"/>
      <c r="E8" s="17"/>
      <c r="F8" s="14">
        <v>1</v>
      </c>
      <c r="G8" s="15">
        <v>5</v>
      </c>
      <c r="H8" s="16">
        <v>3</v>
      </c>
      <c r="I8" s="17"/>
      <c r="J8" s="14">
        <v>1003</v>
      </c>
      <c r="K8" s="15">
        <v>5</v>
      </c>
      <c r="L8" s="16"/>
      <c r="M8" s="17"/>
      <c r="N8" s="34"/>
      <c r="O8" s="15"/>
      <c r="P8" s="16"/>
      <c r="Q8" s="17"/>
      <c r="R8" s="34"/>
      <c r="S8" s="15"/>
      <c r="T8" s="16"/>
    </row>
    <row r="9" spans="1:20" ht="99.95" customHeight="1" thickBot="1">
      <c r="B9" s="18" t="e">
        <f>VLOOKUP(B8,SkillTable!$A$2:$E$2200,5,FALSE)</f>
        <v>#N/A</v>
      </c>
      <c r="C9" s="19" t="str">
        <f>"MAX LV "&amp;C8</f>
        <v xml:space="preserve">MAX LV </v>
      </c>
      <c r="D9" s="20" t="e">
        <f>VLOOKUP(D8,SkillTable!$A$2:$E$2200,5,FALSE)</f>
        <v>#N/A</v>
      </c>
      <c r="E9" s="17"/>
      <c r="F9" s="18" t="str">
        <f>VLOOKUP(F8,SkillTable!$A$2:$E$2200,5,FALSE)</f>
        <v>기초 근력단련</v>
      </c>
      <c r="G9" s="19" t="str">
        <f>"MAX LV "&amp;G8</f>
        <v>MAX LV 5</v>
      </c>
      <c r="H9" s="20" t="str">
        <f>VLOOKUP(H8,SkillTable!$A$2:$E$2200,5,FALSE)</f>
        <v>기초 물리방어술</v>
      </c>
      <c r="I9" s="17"/>
      <c r="J9" s="18" t="str">
        <f>VLOOKUP(J8,SkillTable!$A$2:$E$2200,5,FALSE)</f>
        <v>플레임 게이저</v>
      </c>
      <c r="K9" s="19" t="str">
        <f>"MAX LV "&amp;K8</f>
        <v>MAX LV 5</v>
      </c>
      <c r="L9" s="20" t="e">
        <f>VLOOKUP(L8,SkillTable!$A$2:$E$2200,5,FALSE)</f>
        <v>#N/A</v>
      </c>
      <c r="M9" s="17"/>
      <c r="N9" s="18" t="e">
        <f>VLOOKUP(N8,SkillTable!$A$2:$E$2200,5,FALSE)</f>
        <v>#N/A</v>
      </c>
      <c r="O9" s="19" t="str">
        <f>"MAX LV "&amp;O8</f>
        <v xml:space="preserve">MAX LV 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14">
        <v>2</v>
      </c>
      <c r="C11" s="15">
        <v>5</v>
      </c>
      <c r="D11" s="16">
        <v>4</v>
      </c>
      <c r="E11" s="17"/>
      <c r="F11" s="34"/>
      <c r="G11" s="15"/>
      <c r="H11" s="16"/>
      <c r="I11" s="17"/>
      <c r="J11" s="34"/>
      <c r="K11" s="15"/>
      <c r="L11" s="16"/>
      <c r="M11" s="17"/>
      <c r="N11" s="34"/>
      <c r="O11" s="15"/>
      <c r="P11" s="16"/>
      <c r="Q11" s="17"/>
      <c r="R11" s="34"/>
      <c r="S11" s="15"/>
      <c r="T11" s="16"/>
    </row>
    <row r="12" spans="1:20" ht="99.95" customHeight="1" thickBot="1">
      <c r="B12" s="18" t="str">
        <f>VLOOKUP(B11,SkillTable!$A$2:$E$2200,5,FALSE)</f>
        <v>기초 마법수련</v>
      </c>
      <c r="C12" s="19" t="str">
        <f>"MAX LV "&amp;C11</f>
        <v>MAX LV 5</v>
      </c>
      <c r="D12" s="20" t="str">
        <f>VLOOKUP(D11,SkillTable!$A$2:$E$2200,5,FALSE)</f>
        <v>기초 마법방어술</v>
      </c>
      <c r="E12" s="17"/>
      <c r="F12" s="18" t="e">
        <f>VLOOKUP(F11,SkillTable!$A$2:$E$2200,5,FALSE)</f>
        <v>#N/A</v>
      </c>
      <c r="G12" s="19" t="str">
        <f>"MAX LV "&amp;G11</f>
        <v xml:space="preserve">MAX LV </v>
      </c>
      <c r="H12" s="20" t="e">
        <f>VLOOKUP(H11,SkillTable!$A$2:$E$2200,5,FALSE)</f>
        <v>#N/A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e">
        <f>VLOOKUP(N11,SkillTable!$A$2:$E$2200,5,FALSE)</f>
        <v>#N/A</v>
      </c>
      <c r="O12" s="19" t="str">
        <f>"MAX LV "&amp;O11</f>
        <v xml:space="preserve">MAX LV </v>
      </c>
      <c r="P12" s="20" t="e">
        <f>VLOOKUP(P11,SkillTable!$A$2:$E$2200,5,FALSE)</f>
        <v>#N/A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14">
        <v>301</v>
      </c>
      <c r="C14" s="15">
        <v>3</v>
      </c>
      <c r="D14" s="16"/>
      <c r="E14" s="17"/>
      <c r="F14" s="34"/>
      <c r="G14" s="15"/>
      <c r="H14" s="16"/>
      <c r="I14" s="17"/>
      <c r="J14" s="34"/>
      <c r="K14" s="15"/>
      <c r="L14" s="16"/>
      <c r="M14" s="17"/>
      <c r="N14" s="14">
        <v>1001</v>
      </c>
      <c r="O14" s="15">
        <v>5</v>
      </c>
      <c r="P14" s="16">
        <v>1002</v>
      </c>
      <c r="Q14" s="17"/>
      <c r="R14" s="34"/>
      <c r="S14" s="15"/>
      <c r="T14" s="16"/>
    </row>
    <row r="15" spans="1:20" ht="99.95" customHeight="1" thickBot="1">
      <c r="B15" s="18" t="str">
        <f>VLOOKUP(B14,SkillTable!$A$2:$E$2200,5,FALSE)</f>
        <v>매직 액셀레이터</v>
      </c>
      <c r="C15" s="19" t="str">
        <f>"MAX LV "&amp;C14</f>
        <v>MAX LV 3</v>
      </c>
      <c r="D15" s="20" t="e">
        <f>VLOOKUP(D14,SkillTable!$A$2:$E$2200,5,FALSE)</f>
        <v>#N/A</v>
      </c>
      <c r="E15" s="17"/>
      <c r="F15" s="18" t="e">
        <f>VLOOKUP(F14,SkillTable!$A$2:$E$2200,5,FALSE)</f>
        <v>#N/A</v>
      </c>
      <c r="G15" s="19" t="str">
        <f>"MAX LV "&amp;G14</f>
        <v xml:space="preserve">MAX LV </v>
      </c>
      <c r="H15" s="20" t="e">
        <f>VLOOKUP(H14,SkillTable!$A$2:$E$2200,5,FALSE)</f>
        <v>#N/A</v>
      </c>
      <c r="I15" s="17"/>
      <c r="J15" s="18" t="e">
        <f>VLOOKUP(J14,SkillTable!$A$2:$E$2200,5,FALSE)</f>
        <v>#N/A</v>
      </c>
      <c r="K15" s="19" t="str">
        <f>"MAX LV "&amp;K14</f>
        <v xml:space="preserve">MAX LV </v>
      </c>
      <c r="L15" s="20" t="e">
        <f>VLOOKUP(L14,SkillTable!$A$2:$E$2200,5,FALSE)</f>
        <v>#N/A</v>
      </c>
      <c r="M15" s="17"/>
      <c r="N15" s="18" t="str">
        <f>VLOOKUP(N14,SkillTable!$A$2:$E$2200,5,FALSE)</f>
        <v>어설트 슬래시</v>
      </c>
      <c r="O15" s="19" t="str">
        <f>"MAX LV "&amp;O14</f>
        <v>MAX LV 5</v>
      </c>
      <c r="P15" s="20" t="str">
        <f>VLOOKUP(P14,SkillTable!$A$2:$E$2200,5,FALSE)</f>
        <v>페이탈 퓨리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14">
        <v>302</v>
      </c>
      <c r="C17" s="15">
        <v>3</v>
      </c>
      <c r="D17" s="16"/>
      <c r="E17" s="17"/>
      <c r="F17" s="14">
        <v>300</v>
      </c>
      <c r="G17" s="15">
        <v>3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1400</v>
      </c>
      <c r="S17" s="15">
        <v>5</v>
      </c>
      <c r="T17" s="16">
        <v>1200</v>
      </c>
    </row>
    <row r="18" spans="1:20" ht="99.95" customHeight="1" thickBot="1">
      <c r="B18" s="18" t="str">
        <f>VLOOKUP(B17,SkillTable!$A$2:$E$2200,5,FALSE)</f>
        <v>실드 액셀레이터</v>
      </c>
      <c r="C18" s="19" t="str">
        <f>"MAX LV "&amp;C17</f>
        <v>MAX LV 3</v>
      </c>
      <c r="D18" s="20" t="e">
        <f>VLOOKUP(D17,SkillTable!$A$2:$E$2200,5,FALSE)</f>
        <v>#N/A</v>
      </c>
      <c r="E18" s="17"/>
      <c r="F18" s="18" t="str">
        <f>VLOOKUP(F17,SkillTable!$A$2:$E$2200,5,FALSE)</f>
        <v>파워 액셀레이터</v>
      </c>
      <c r="G18" s="19" t="str">
        <f>"MAX LV "&amp;G17</f>
        <v>MAX LV 3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반격 연마</v>
      </c>
      <c r="S18" s="19" t="str">
        <f>"MAX LV "&amp;S17</f>
        <v>MAX LV 5</v>
      </c>
      <c r="T18" s="20" t="str">
        <f>VLOOKUP(T17,SkillTable!$A$2:$E$2200,5,FALSE)</f>
        <v>반격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1005</v>
      </c>
      <c r="K20" s="15">
        <v>5</v>
      </c>
      <c r="L20" s="16">
        <v>1003</v>
      </c>
      <c r="M20" s="17"/>
      <c r="N20" s="14">
        <v>1004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트리플 게이저</v>
      </c>
      <c r="K21" s="19" t="str">
        <f>"MAX LV "&amp;K20</f>
        <v>MAX LV 5</v>
      </c>
      <c r="L21" s="20" t="str">
        <f>VLOOKUP(L20,SkillTable!$A$2:$E$2200,5,FALSE)</f>
        <v>플레임 게이저</v>
      </c>
      <c r="M21" s="17"/>
      <c r="N21" s="18" t="str">
        <f>VLOOKUP(N20,SkillTable!$A$2:$E$2200,5,FALSE)</f>
        <v>언리미티드 블레이드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14">
        <v>1202</v>
      </c>
      <c r="S23" s="15">
        <v>5</v>
      </c>
      <c r="T23" s="16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발차기</v>
      </c>
      <c r="S24" s="19" t="str">
        <f>"MAX LV "&amp;S23</f>
        <v>MAX LV 5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34"/>
      <c r="K26" s="15"/>
      <c r="L26" s="16"/>
      <c r="M26" s="17"/>
      <c r="N26" s="34"/>
      <c r="O26" s="15"/>
      <c r="P26" s="16"/>
      <c r="Q26" s="17"/>
      <c r="R26" s="34"/>
      <c r="S26" s="15"/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e">
        <f>VLOOKUP(J26,SkillTable!$A$2:$E$2200,5,FALSE)</f>
        <v>#N/A</v>
      </c>
      <c r="K27" s="19" t="str">
        <f>"MAX LV "&amp;K26</f>
        <v xml:space="preserve">MAX LV </v>
      </c>
      <c r="L27" s="20" t="e">
        <f>VLOOKUP(L26,SkillTable!$A$2:$E$2200,5,FALSE)</f>
        <v>#N/A</v>
      </c>
      <c r="M27" s="17"/>
      <c r="N27" s="18" t="e">
        <f>VLOOKUP(N26,SkillTable!$A$2:$E$2200,5,FALSE)</f>
        <v>#N/A</v>
      </c>
      <c r="O27" s="19" t="str">
        <f>"MAX LV "&amp;O26</f>
        <v xml:space="preserve">MAX LV </v>
      </c>
      <c r="P27" s="20" t="e">
        <f>VLOOKUP(P26,SkillTable!$A$2:$E$2200,5,FALSE)</f>
        <v>#N/A</v>
      </c>
      <c r="Q27" s="17"/>
      <c r="R27" s="18" t="e">
        <f>VLOOKUP(R26,SkillTable!$A$2:$E$2200,5,FALSE)</f>
        <v>#N/A</v>
      </c>
      <c r="S27" s="19" t="str">
        <f>"MAX LV "&amp;S26</f>
        <v xml:space="preserve">MAX LV 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34"/>
      <c r="C29" s="15"/>
      <c r="D29" s="16"/>
      <c r="E29" s="17"/>
      <c r="F29" s="34"/>
      <c r="G29" s="15"/>
      <c r="H29" s="16"/>
      <c r="I29" s="17"/>
      <c r="J29" s="34"/>
      <c r="K29" s="15"/>
      <c r="L29" s="16"/>
      <c r="M29" s="17"/>
      <c r="N29" s="34"/>
      <c r="O29" s="15"/>
      <c r="P29" s="16"/>
      <c r="Q29" s="17"/>
      <c r="R29" s="34"/>
      <c r="S29" s="15"/>
      <c r="T29" s="16"/>
    </row>
    <row r="30" spans="1:20" ht="99.95" customHeight="1" thickBot="1">
      <c r="B30" s="18" t="e">
        <f>VLOOKUP(B29,SkillTable!$A$2:$E$2200,5,FALSE)</f>
        <v>#N/A</v>
      </c>
      <c r="C30" s="19" t="str">
        <f>"MAX LV "&amp;C29</f>
        <v xml:space="preserve">MAX LV </v>
      </c>
      <c r="D30" s="20" t="e">
        <f>VLOOKUP(D29,SkillTable!$A$2:$E$2200,5,FALSE)</f>
        <v>#N/A</v>
      </c>
      <c r="E30" s="17"/>
      <c r="F30" s="18" t="e">
        <f>VLOOKUP(F29,SkillTable!$A$2:$E$2200,5,FALSE)</f>
        <v>#N/A</v>
      </c>
      <c r="G30" s="19" t="str">
        <f>"MAX LV "&amp;G29</f>
        <v xml:space="preserve">MAX LV </v>
      </c>
      <c r="H30" s="20" t="e">
        <f>VLOOKUP(H29,SkillTable!$A$2:$E$2200,5,FALSE)</f>
        <v>#N/A</v>
      </c>
      <c r="I30" s="17"/>
      <c r="J30" s="18" t="e">
        <f>VLOOKUP(J29,SkillTable!$A$2:$E$2200,5,FALSE)</f>
        <v>#N/A</v>
      </c>
      <c r="K30" s="19" t="str">
        <f>"MAX LV "&amp;K29</f>
        <v xml:space="preserve">MAX LV </v>
      </c>
      <c r="L30" s="20" t="e">
        <f>VLOOKUP(L29,SkillTable!$A$2:$E$2200,5,FALSE)</f>
        <v>#N/A</v>
      </c>
      <c r="M30" s="17"/>
      <c r="N30" s="18" t="e">
        <f>VLOOKUP(N29,SkillTable!$A$2:$E$2200,5,FALSE)</f>
        <v>#N/A</v>
      </c>
      <c r="O30" s="19" t="str">
        <f>"MAX LV "&amp;O29</f>
        <v xml:space="preserve">MAX LV 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34"/>
      <c r="K32" s="15"/>
      <c r="L32" s="16"/>
      <c r="M32" s="17"/>
      <c r="N32" s="34"/>
      <c r="O32" s="15"/>
      <c r="P32" s="16"/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e">
        <f>VLOOKUP(J32,SkillTable!$A$2:$E$2200,5,FALSE)</f>
        <v>#N/A</v>
      </c>
      <c r="K33" s="19" t="str">
        <f>"MAX LV "&amp;K32</f>
        <v xml:space="preserve">MAX LV </v>
      </c>
      <c r="L33" s="20" t="e">
        <f>VLOOKUP(L32,SkillTable!$A$2:$E$2200,5,FALSE)</f>
        <v>#N/A</v>
      </c>
      <c r="M33" s="17"/>
      <c r="N33" s="18" t="e">
        <f>VLOOKUP(N32,SkillTable!$A$2:$E$2200,5,FALSE)</f>
        <v>#N/A</v>
      </c>
      <c r="O33" s="19" t="str">
        <f>"MAX LV "&amp;O32</f>
        <v xml:space="preserve">MAX LV </v>
      </c>
      <c r="P33" s="20" t="e">
        <f>VLOOKUP(P32,SkillTable!$A$2:$E$2200,5,FALSE)</f>
        <v>#N/A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34"/>
      <c r="C35" s="15"/>
      <c r="D35" s="16"/>
      <c r="E35" s="17"/>
      <c r="F35" s="34"/>
      <c r="G35" s="15"/>
      <c r="H35" s="16"/>
      <c r="I35" s="17"/>
      <c r="J35" s="34"/>
      <c r="K35" s="15"/>
      <c r="L35" s="16"/>
      <c r="M35" s="17"/>
      <c r="N35" s="34"/>
      <c r="O35" s="15"/>
      <c r="P35" s="16"/>
      <c r="Q35" s="17"/>
      <c r="R35" s="34"/>
      <c r="S35" s="15"/>
      <c r="T35" s="16"/>
    </row>
    <row r="36" spans="1:20" ht="99.95" customHeight="1" thickBot="1">
      <c r="B36" s="18" t="e">
        <f>VLOOKUP(B35,SkillTable!$A$2:$E$2200,5,FALSE)</f>
        <v>#N/A</v>
      </c>
      <c r="C36" s="19" t="str">
        <f>"MAX LV "&amp;C35</f>
        <v xml:space="preserve">MAX LV </v>
      </c>
      <c r="D36" s="20" t="e">
        <f>VLOOKUP(D35,SkillTable!$A$2:$E$2200,5,FALSE)</f>
        <v>#N/A</v>
      </c>
      <c r="E36" s="17"/>
      <c r="F36" s="18" t="e">
        <f>VLOOKUP(F35,SkillTable!$A$2:$E$2200,5,FALSE)</f>
        <v>#N/A</v>
      </c>
      <c r="G36" s="19" t="str">
        <f>"MAX LV "&amp;G35</f>
        <v xml:space="preserve">MAX LV </v>
      </c>
      <c r="H36" s="20" t="e">
        <f>VLOOKUP(H35,SkillTable!$A$2:$E$2200,5,FALSE)</f>
        <v>#N/A</v>
      </c>
      <c r="I36" s="17"/>
      <c r="J36" s="18" t="e">
        <f>VLOOKUP(J35,SkillTable!$A$2:$E$2200,5,FALSE)</f>
        <v>#N/A</v>
      </c>
      <c r="K36" s="19" t="str">
        <f>"MAX LV "&amp;K35</f>
        <v xml:space="preserve">MAX LV </v>
      </c>
      <c r="L36" s="20" t="e">
        <f>VLOOKUP(L35,SkillTable!$A$2:$E$2200,5,FALSE)</f>
        <v>#N/A</v>
      </c>
      <c r="M36" s="17"/>
      <c r="N36" s="18" t="e">
        <f>VLOOKUP(N35,SkillTable!$A$2:$E$2200,5,FALSE)</f>
        <v>#N/A</v>
      </c>
      <c r="O36" s="19" t="str">
        <f>"MAX LV "&amp;O35</f>
        <v xml:space="preserve">MAX LV </v>
      </c>
      <c r="P36" s="20" t="e">
        <f>VLOOKUP(P35,SkillTable!$A$2:$E$2200,5,FALSE)</f>
        <v>#N/A</v>
      </c>
      <c r="Q36" s="17"/>
      <c r="R36" s="18" t="e">
        <f>VLOOKUP(R35,SkillTable!$A$2:$E$2200,5,FALSE)</f>
        <v>#N/A</v>
      </c>
      <c r="S36" s="19" t="str">
        <f>"MAX LV "&amp;S35</f>
        <v xml:space="preserve">MAX LV </v>
      </c>
      <c r="T36" s="20" t="e">
        <f>VLOOKUP(T35,SkillTable!$A$2:$E$2200,5,FALSE)</f>
        <v>#N/A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34"/>
      <c r="G38" s="15"/>
      <c r="H38" s="16"/>
      <c r="I38" s="17"/>
      <c r="J38" s="34"/>
      <c r="K38" s="15"/>
      <c r="L38" s="16"/>
      <c r="M38" s="17"/>
      <c r="N38" s="34"/>
      <c r="O38" s="15"/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e">
        <f>VLOOKUP(F38,SkillTable!$A$2:$E$2200,5,FALSE)</f>
        <v>#N/A</v>
      </c>
      <c r="G39" s="19" t="str">
        <f>"MAX LV "&amp;G38</f>
        <v xml:space="preserve">MAX LV </v>
      </c>
      <c r="H39" s="20" t="e">
        <f>VLOOKUP(H38,SkillTable!$A$2:$E$2200,5,FALSE)</f>
        <v>#N/A</v>
      </c>
      <c r="I39" s="17"/>
      <c r="J39" s="18" t="e">
        <f>VLOOKUP(J38,SkillTable!$A$2:$E$2200,5,FALSE)</f>
        <v>#N/A</v>
      </c>
      <c r="K39" s="19" t="str">
        <f>"MAX LV "&amp;K38</f>
        <v xml:space="preserve">MAX LV </v>
      </c>
      <c r="L39" s="20" t="e">
        <f>VLOOKUP(L38,SkillTable!$A$2:$E$2200,5,FALSE)</f>
        <v>#N/A</v>
      </c>
      <c r="M39" s="17"/>
      <c r="N39" s="18" t="e">
        <f>VLOOKUP(N38,SkillTable!$A$2:$E$2200,5,FALSE)</f>
        <v>#N/A</v>
      </c>
      <c r="O39" s="19" t="str">
        <f>"MAX LV "&amp;O38</f>
        <v xml:space="preserve">MAX LV 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34"/>
      <c r="K41" s="15"/>
      <c r="L41" s="16"/>
      <c r="M41" s="17"/>
      <c r="N41" s="34"/>
      <c r="O41" s="15"/>
      <c r="P41" s="16"/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e">
        <f>VLOOKUP(J41,SkillTable!$A$2:$E$2200,5,FALSE)</f>
        <v>#N/A</v>
      </c>
      <c r="K42" s="19" t="str">
        <f>"MAX LV "&amp;K41</f>
        <v xml:space="preserve">MAX LV </v>
      </c>
      <c r="L42" s="20" t="e">
        <f>VLOOKUP(L41,SkillTable!$A$2:$E$2200,5,FALSE)</f>
        <v>#N/A</v>
      </c>
      <c r="M42" s="17"/>
      <c r="N42" s="18" t="e">
        <f>VLOOKUP(N41,SkillTable!$A$2:$E$2200,5,FALSE)</f>
        <v>#N/A</v>
      </c>
      <c r="O42" s="19" t="str">
        <f>"MAX LV "&amp;O41</f>
        <v xml:space="preserve">MAX LV </v>
      </c>
      <c r="P42" s="20" t="e">
        <f>VLOOKUP(P41,SkillTable!$A$2:$E$2200,5,FALSE)</f>
        <v>#N/A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T43"/>
  <sheetViews>
    <sheetView topLeftCell="A22" zoomScale="60" zoomScaleNormal="60" workbookViewId="0">
      <selection activeCell="K26" sqref="J26:K26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34"/>
      <c r="C2" s="15"/>
      <c r="D2" s="16"/>
      <c r="E2" s="17"/>
      <c r="F2" s="21">
        <v>3</v>
      </c>
      <c r="G2" s="22">
        <v>5</v>
      </c>
      <c r="H2" s="23"/>
      <c r="I2" s="17"/>
      <c r="J2" s="34"/>
      <c r="K2" s="15"/>
      <c r="L2" s="16"/>
      <c r="M2" s="17"/>
      <c r="N2" s="14">
        <v>1000</v>
      </c>
      <c r="O2" s="15">
        <v>5</v>
      </c>
      <c r="P2" s="16"/>
      <c r="Q2" s="17"/>
      <c r="R2" s="14">
        <v>1200</v>
      </c>
      <c r="S2" s="15">
        <v>1</v>
      </c>
      <c r="T2" s="16"/>
    </row>
    <row r="3" spans="1:20" ht="99.95" customHeight="1" thickBot="1">
      <c r="B3" s="18" t="e">
        <f>VLOOKUP(B2,SkillTable!$A$2:$E$2200,5,FALSE)</f>
        <v>#N/A</v>
      </c>
      <c r="C3" s="19" t="str">
        <f>"MAX LV "&amp;C2</f>
        <v xml:space="preserve">MAX LV </v>
      </c>
      <c r="D3" s="20" t="e">
        <f>VLOOKUP(D2,SkillTable!$A$2:$E$2200,5,FALSE)</f>
        <v>#N/A</v>
      </c>
      <c r="E3" s="17"/>
      <c r="F3" s="18" t="str">
        <f>VLOOKUP(F2,SkillTable!$A$2:$E$2200,5,FALSE)</f>
        <v>기초 물리방어술</v>
      </c>
      <c r="G3" s="19" t="str">
        <f>"MAX LV "&amp;G2</f>
        <v>MAX LV 5</v>
      </c>
      <c r="H3" s="20" t="e">
        <f>VLOOKUP(H2,SkillTable!$A$2:$E$2200,5,FALSE)</f>
        <v>#N/A</v>
      </c>
      <c r="I3" s="17"/>
      <c r="J3" s="18" t="e">
        <f>VLOOKUP(J2,SkillTable!$A$2:$E$2200,5,FALSE)</f>
        <v>#N/A</v>
      </c>
      <c r="K3" s="19" t="str">
        <f>"MAX LV "&amp;K2</f>
        <v xml:space="preserve">MAX LV </v>
      </c>
      <c r="L3" s="20" t="e">
        <f>VLOOKUP(L2,SkillTable!$A$2:$E$2200,5,FALSE)</f>
        <v>#N/A</v>
      </c>
      <c r="M3" s="17"/>
      <c r="N3" s="18" t="str">
        <f>VLOOKUP(N2,SkillTable!$A$2:$E$2200,5,FALSE)</f>
        <v>메가 슬래시</v>
      </c>
      <c r="O3" s="19" t="str">
        <f>"MAX LV "&amp;O2</f>
        <v>MAX LV 5</v>
      </c>
      <c r="P3" s="20" t="e">
        <f>VLOOKUP(P2,SkillTable!$A$2:$E$2200,5,FALSE)</f>
        <v>#N/A</v>
      </c>
      <c r="Q3" s="17"/>
      <c r="R3" s="18" t="str">
        <f>VLOOKUP(R2,SkillTable!$A$2:$E$2200,5,FALSE)</f>
        <v>반격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14">
        <v>4</v>
      </c>
      <c r="C5" s="15">
        <v>5</v>
      </c>
      <c r="D5" s="16"/>
      <c r="E5" s="17"/>
      <c r="F5" s="34"/>
      <c r="G5" s="15"/>
      <c r="H5" s="16"/>
      <c r="I5" s="17"/>
      <c r="J5" s="34"/>
      <c r="K5" s="15"/>
      <c r="L5" s="16"/>
      <c r="M5" s="17"/>
      <c r="N5" s="14">
        <v>1002</v>
      </c>
      <c r="O5" s="15">
        <v>5</v>
      </c>
      <c r="P5" s="16"/>
      <c r="Q5" s="17"/>
      <c r="R5" s="14"/>
      <c r="S5" s="15"/>
      <c r="T5" s="16"/>
    </row>
    <row r="6" spans="1:20" ht="99.95" customHeight="1" thickBot="1">
      <c r="B6" s="18" t="str">
        <f>VLOOKUP(B5,SkillTable!$A$2:$E$2200,5,FALSE)</f>
        <v>기초 마법방어술</v>
      </c>
      <c r="C6" s="19" t="str">
        <f>"MAX LV "&amp;C5</f>
        <v>MAX LV 5</v>
      </c>
      <c r="D6" s="20" t="e">
        <f>VLOOKUP(D5,SkillTable!$A$2:$E$2200,5,FALSE)</f>
        <v>#N/A</v>
      </c>
      <c r="E6" s="17"/>
      <c r="F6" s="18" t="e">
        <f>VLOOKUP(F5,SkillTable!$A$2:$E$2200,5,FALSE)</f>
        <v>#N/A</v>
      </c>
      <c r="G6" s="19" t="str">
        <f>"MAX LV "&amp;G5</f>
        <v xml:space="preserve">MAX LV </v>
      </c>
      <c r="H6" s="20" t="e">
        <f>VLOOKUP(H5,SkillTable!$A$2:$E$2200,5,FALSE)</f>
        <v>#N/A</v>
      </c>
      <c r="I6" s="17"/>
      <c r="J6" s="18" t="e">
        <f>VLOOKUP(J5,SkillTable!$A$2:$E$2200,5,FALSE)</f>
        <v>#N/A</v>
      </c>
      <c r="K6" s="19" t="str">
        <f>"MAX LV "&amp;K5</f>
        <v xml:space="preserve">MAX LV </v>
      </c>
      <c r="L6" s="20" t="e">
        <f>VLOOKUP(L5,SkillTable!$A$2:$E$2200,5,FALSE)</f>
        <v>#N/A</v>
      </c>
      <c r="M6" s="17"/>
      <c r="N6" s="18" t="str">
        <f>VLOOKUP(N5,SkillTable!$A$2:$E$2200,5,FALSE)</f>
        <v>페이탈 퓨리</v>
      </c>
      <c r="O6" s="19" t="str">
        <f>"MAX LV "&amp;O5</f>
        <v>MAX LV 5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34"/>
      <c r="C8" s="15"/>
      <c r="D8" s="16"/>
      <c r="E8" s="17"/>
      <c r="F8" s="14">
        <v>1</v>
      </c>
      <c r="G8" s="15">
        <v>5</v>
      </c>
      <c r="H8" s="16">
        <v>3</v>
      </c>
      <c r="I8" s="17"/>
      <c r="J8" s="14">
        <v>1003</v>
      </c>
      <c r="K8" s="15">
        <v>5</v>
      </c>
      <c r="L8" s="16"/>
      <c r="M8" s="17"/>
      <c r="N8" s="34"/>
      <c r="O8" s="15"/>
      <c r="P8" s="16"/>
      <c r="Q8" s="17"/>
      <c r="R8" s="34"/>
      <c r="S8" s="15"/>
      <c r="T8" s="16"/>
    </row>
    <row r="9" spans="1:20" ht="99.95" customHeight="1" thickBot="1">
      <c r="B9" s="18" t="e">
        <f>VLOOKUP(B8,SkillTable!$A$2:$E$2200,5,FALSE)</f>
        <v>#N/A</v>
      </c>
      <c r="C9" s="19" t="str">
        <f>"MAX LV "&amp;C8</f>
        <v xml:space="preserve">MAX LV </v>
      </c>
      <c r="D9" s="20" t="e">
        <f>VLOOKUP(D8,SkillTable!$A$2:$E$2200,5,FALSE)</f>
        <v>#N/A</v>
      </c>
      <c r="E9" s="17"/>
      <c r="F9" s="18" t="str">
        <f>VLOOKUP(F8,SkillTable!$A$2:$E$2200,5,FALSE)</f>
        <v>기초 근력단련</v>
      </c>
      <c r="G9" s="19" t="str">
        <f>"MAX LV "&amp;G8</f>
        <v>MAX LV 5</v>
      </c>
      <c r="H9" s="20" t="str">
        <f>VLOOKUP(H8,SkillTable!$A$2:$E$2200,5,FALSE)</f>
        <v>기초 물리방어술</v>
      </c>
      <c r="I9" s="17"/>
      <c r="J9" s="18" t="str">
        <f>VLOOKUP(J8,SkillTable!$A$2:$E$2200,5,FALSE)</f>
        <v>플레임 게이저</v>
      </c>
      <c r="K9" s="19" t="str">
        <f>"MAX LV "&amp;K8</f>
        <v>MAX LV 5</v>
      </c>
      <c r="L9" s="20" t="e">
        <f>VLOOKUP(L8,SkillTable!$A$2:$E$2200,5,FALSE)</f>
        <v>#N/A</v>
      </c>
      <c r="M9" s="17"/>
      <c r="N9" s="18" t="e">
        <f>VLOOKUP(N8,SkillTable!$A$2:$E$2200,5,FALSE)</f>
        <v>#N/A</v>
      </c>
      <c r="O9" s="19" t="str">
        <f>"MAX LV "&amp;O8</f>
        <v xml:space="preserve">MAX LV 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14">
        <v>2</v>
      </c>
      <c r="C11" s="15">
        <v>5</v>
      </c>
      <c r="D11" s="16">
        <v>4</v>
      </c>
      <c r="E11" s="17"/>
      <c r="F11" s="34"/>
      <c r="G11" s="15"/>
      <c r="H11" s="16"/>
      <c r="I11" s="17"/>
      <c r="J11" s="34"/>
      <c r="K11" s="15"/>
      <c r="L11" s="16"/>
      <c r="M11" s="17"/>
      <c r="N11" s="34"/>
      <c r="O11" s="15"/>
      <c r="P11" s="16"/>
      <c r="Q11" s="17"/>
      <c r="R11" s="34"/>
      <c r="S11" s="15"/>
      <c r="T11" s="16"/>
    </row>
    <row r="12" spans="1:20" ht="99.95" customHeight="1" thickBot="1">
      <c r="B12" s="18" t="str">
        <f>VLOOKUP(B11,SkillTable!$A$2:$E$2200,5,FALSE)</f>
        <v>기초 마법수련</v>
      </c>
      <c r="C12" s="19" t="str">
        <f>"MAX LV "&amp;C11</f>
        <v>MAX LV 5</v>
      </c>
      <c r="D12" s="20" t="str">
        <f>VLOOKUP(D11,SkillTable!$A$2:$E$2200,5,FALSE)</f>
        <v>기초 마법방어술</v>
      </c>
      <c r="E12" s="17"/>
      <c r="F12" s="18" t="e">
        <f>VLOOKUP(F11,SkillTable!$A$2:$E$2200,5,FALSE)</f>
        <v>#N/A</v>
      </c>
      <c r="G12" s="19" t="str">
        <f>"MAX LV "&amp;G11</f>
        <v xml:space="preserve">MAX LV </v>
      </c>
      <c r="H12" s="20" t="e">
        <f>VLOOKUP(H11,SkillTable!$A$2:$E$2200,5,FALSE)</f>
        <v>#N/A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e">
        <f>VLOOKUP(N11,SkillTable!$A$2:$E$2200,5,FALSE)</f>
        <v>#N/A</v>
      </c>
      <c r="O12" s="19" t="str">
        <f>"MAX LV "&amp;O11</f>
        <v xml:space="preserve">MAX LV </v>
      </c>
      <c r="P12" s="20" t="e">
        <f>VLOOKUP(P11,SkillTable!$A$2:$E$2200,5,FALSE)</f>
        <v>#N/A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14">
        <v>301</v>
      </c>
      <c r="C14" s="15">
        <v>3</v>
      </c>
      <c r="D14" s="16"/>
      <c r="E14" s="17"/>
      <c r="F14" s="34"/>
      <c r="G14" s="15"/>
      <c r="H14" s="16"/>
      <c r="I14" s="17"/>
      <c r="J14" s="34"/>
      <c r="K14" s="15"/>
      <c r="L14" s="16"/>
      <c r="M14" s="17"/>
      <c r="N14" s="14">
        <v>1001</v>
      </c>
      <c r="O14" s="15">
        <v>5</v>
      </c>
      <c r="P14" s="16">
        <v>1002</v>
      </c>
      <c r="Q14" s="17"/>
      <c r="R14" s="34"/>
      <c r="S14" s="15"/>
      <c r="T14" s="16"/>
    </row>
    <row r="15" spans="1:20" ht="99.95" customHeight="1" thickBot="1">
      <c r="B15" s="18" t="str">
        <f>VLOOKUP(B14,SkillTable!$A$2:$E$2200,5,FALSE)</f>
        <v>매직 액셀레이터</v>
      </c>
      <c r="C15" s="19" t="str">
        <f>"MAX LV "&amp;C14</f>
        <v>MAX LV 3</v>
      </c>
      <c r="D15" s="20" t="e">
        <f>VLOOKUP(D14,SkillTable!$A$2:$E$2200,5,FALSE)</f>
        <v>#N/A</v>
      </c>
      <c r="E15" s="17"/>
      <c r="F15" s="18" t="e">
        <f>VLOOKUP(F14,SkillTable!$A$2:$E$2200,5,FALSE)</f>
        <v>#N/A</v>
      </c>
      <c r="G15" s="19" t="str">
        <f>"MAX LV "&amp;G14</f>
        <v xml:space="preserve">MAX LV </v>
      </c>
      <c r="H15" s="20" t="e">
        <f>VLOOKUP(H14,SkillTable!$A$2:$E$2200,5,FALSE)</f>
        <v>#N/A</v>
      </c>
      <c r="I15" s="17"/>
      <c r="J15" s="18" t="e">
        <f>VLOOKUP(J14,SkillTable!$A$2:$E$2200,5,FALSE)</f>
        <v>#N/A</v>
      </c>
      <c r="K15" s="19" t="str">
        <f>"MAX LV "&amp;K14</f>
        <v xml:space="preserve">MAX LV </v>
      </c>
      <c r="L15" s="20" t="e">
        <f>VLOOKUP(L14,SkillTable!$A$2:$E$2200,5,FALSE)</f>
        <v>#N/A</v>
      </c>
      <c r="M15" s="17"/>
      <c r="N15" s="18" t="str">
        <f>VLOOKUP(N14,SkillTable!$A$2:$E$2200,5,FALSE)</f>
        <v>어설트 슬래시</v>
      </c>
      <c r="O15" s="19" t="str">
        <f>"MAX LV "&amp;O14</f>
        <v>MAX LV 5</v>
      </c>
      <c r="P15" s="20" t="str">
        <f>VLOOKUP(P14,SkillTable!$A$2:$E$2200,5,FALSE)</f>
        <v>페이탈 퓨리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14">
        <v>302</v>
      </c>
      <c r="C17" s="15">
        <v>3</v>
      </c>
      <c r="D17" s="16"/>
      <c r="E17" s="17"/>
      <c r="F17" s="14">
        <v>300</v>
      </c>
      <c r="G17" s="15">
        <v>3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1400</v>
      </c>
      <c r="S17" s="15">
        <v>5</v>
      </c>
      <c r="T17" s="16">
        <v>1200</v>
      </c>
    </row>
    <row r="18" spans="1:20" ht="99.95" customHeight="1" thickBot="1">
      <c r="B18" s="18" t="str">
        <f>VLOOKUP(B17,SkillTable!$A$2:$E$2200,5,FALSE)</f>
        <v>실드 액셀레이터</v>
      </c>
      <c r="C18" s="19" t="str">
        <f>"MAX LV "&amp;C17</f>
        <v>MAX LV 3</v>
      </c>
      <c r="D18" s="20" t="e">
        <f>VLOOKUP(D17,SkillTable!$A$2:$E$2200,5,FALSE)</f>
        <v>#N/A</v>
      </c>
      <c r="E18" s="17"/>
      <c r="F18" s="18" t="str">
        <f>VLOOKUP(F17,SkillTable!$A$2:$E$2200,5,FALSE)</f>
        <v>파워 액셀레이터</v>
      </c>
      <c r="G18" s="19" t="str">
        <f>"MAX LV "&amp;G17</f>
        <v>MAX LV 3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반격 연마</v>
      </c>
      <c r="S18" s="19" t="str">
        <f>"MAX LV "&amp;S17</f>
        <v>MAX LV 5</v>
      </c>
      <c r="T18" s="20" t="str">
        <f>VLOOKUP(T17,SkillTable!$A$2:$E$2200,5,FALSE)</f>
        <v>반격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1005</v>
      </c>
      <c r="K20" s="15">
        <v>5</v>
      </c>
      <c r="L20" s="16">
        <v>1003</v>
      </c>
      <c r="M20" s="17"/>
      <c r="N20" s="14">
        <v>1004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트리플 게이저</v>
      </c>
      <c r="K21" s="19" t="str">
        <f>"MAX LV "&amp;K20</f>
        <v>MAX LV 5</v>
      </c>
      <c r="L21" s="20" t="str">
        <f>VLOOKUP(L20,SkillTable!$A$2:$E$2200,5,FALSE)</f>
        <v>플레임 게이저</v>
      </c>
      <c r="M21" s="17"/>
      <c r="N21" s="18" t="str">
        <f>VLOOKUP(N20,SkillTable!$A$2:$E$2200,5,FALSE)</f>
        <v>언리미티드 블레이드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14">
        <v>1202</v>
      </c>
      <c r="S23" s="15">
        <v>5</v>
      </c>
      <c r="T23" s="16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발차기</v>
      </c>
      <c r="S24" s="19" t="str">
        <f>"MAX LV "&amp;S23</f>
        <v>MAX LV 5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34"/>
      <c r="K26" s="15"/>
      <c r="L26" s="16"/>
      <c r="M26" s="17"/>
      <c r="N26" s="14">
        <v>1006</v>
      </c>
      <c r="O26" s="15">
        <v>5</v>
      </c>
      <c r="P26" s="16"/>
      <c r="Q26" s="17"/>
      <c r="R26" s="34">
        <v>1203</v>
      </c>
      <c r="S26" s="15">
        <v>5</v>
      </c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e">
        <f>VLOOKUP(J26,SkillTable!$A$2:$E$2200,5,FALSE)</f>
        <v>#N/A</v>
      </c>
      <c r="K27" s="19" t="str">
        <f>"MAX LV "&amp;K26</f>
        <v xml:space="preserve">MAX LV </v>
      </c>
      <c r="L27" s="20" t="e">
        <f>VLOOKUP(L26,SkillTable!$A$2:$E$2200,5,FALSE)</f>
        <v>#N/A</v>
      </c>
      <c r="M27" s="17"/>
      <c r="N27" s="18" t="str">
        <f>VLOOKUP(N26,SkillTable!$A$2:$E$2200,5,FALSE)</f>
        <v>에어 슬래시</v>
      </c>
      <c r="O27" s="19" t="str">
        <f>"MAX LV "&amp;O26</f>
        <v>MAX LV 5</v>
      </c>
      <c r="P27" s="20" t="e">
        <f>VLOOKUP(P26,SkillTable!$A$2:$E$2200,5,FALSE)</f>
        <v>#N/A</v>
      </c>
      <c r="Q27" s="17"/>
      <c r="R27" s="18" t="str">
        <f>VLOOKUP(R26,SkillTable!$A$2:$E$2200,5,FALSE)</f>
        <v>아머 브레이크</v>
      </c>
      <c r="S27" s="19" t="str">
        <f>"MAX LV "&amp;S26</f>
        <v>MAX LV 5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34"/>
      <c r="C29" s="15"/>
      <c r="D29" s="16"/>
      <c r="E29" s="17"/>
      <c r="F29" s="14">
        <v>5</v>
      </c>
      <c r="G29" s="15">
        <v>5</v>
      </c>
      <c r="H29" s="16"/>
      <c r="I29" s="17"/>
      <c r="J29" s="14">
        <v>9</v>
      </c>
      <c r="K29" s="15">
        <v>5</v>
      </c>
      <c r="L29" s="16"/>
      <c r="M29" s="17"/>
      <c r="N29" s="34"/>
      <c r="O29" s="15"/>
      <c r="P29" s="16"/>
      <c r="Q29" s="17"/>
      <c r="R29" s="34"/>
      <c r="S29" s="15"/>
      <c r="T29" s="16"/>
    </row>
    <row r="30" spans="1:20" ht="99.95" customHeight="1" thickBot="1">
      <c r="B30" s="18" t="e">
        <f>VLOOKUP(B29,SkillTable!$A$2:$E$2200,5,FALSE)</f>
        <v>#N/A</v>
      </c>
      <c r="C30" s="19" t="str">
        <f>"MAX LV "&amp;C29</f>
        <v xml:space="preserve">MAX LV </v>
      </c>
      <c r="D30" s="20" t="e">
        <f>VLOOKUP(D29,SkillTable!$A$2:$E$2200,5,FALSE)</f>
        <v>#N/A</v>
      </c>
      <c r="E30" s="17"/>
      <c r="F30" s="18" t="str">
        <f>VLOOKUP(F29,SkillTable!$A$2:$E$2200,5,FALSE)</f>
        <v>중급 근력단련</v>
      </c>
      <c r="G30" s="19" t="str">
        <f>"MAX LV "&amp;G29</f>
        <v>MAX LV 5</v>
      </c>
      <c r="H30" s="20" t="e">
        <f>VLOOKUP(H29,SkillTable!$A$2:$E$2200,5,FALSE)</f>
        <v>#N/A</v>
      </c>
      <c r="I30" s="17"/>
      <c r="J30" s="18" t="str">
        <f>VLOOKUP(J29,SkillTable!$A$2:$E$2200,5,FALSE)</f>
        <v>기회의 포착</v>
      </c>
      <c r="K30" s="19" t="str">
        <f>"MAX LV "&amp;K29</f>
        <v>MAX LV 5</v>
      </c>
      <c r="L30" s="20" t="e">
        <f>VLOOKUP(L29,SkillTable!$A$2:$E$2200,5,FALSE)</f>
        <v>#N/A</v>
      </c>
      <c r="M30" s="17"/>
      <c r="N30" s="18" t="e">
        <f>VLOOKUP(N29,SkillTable!$A$2:$E$2200,5,FALSE)</f>
        <v>#N/A</v>
      </c>
      <c r="O30" s="19" t="str">
        <f>"MAX LV "&amp;O29</f>
        <v xml:space="preserve">MAX LV 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34"/>
      <c r="K32" s="15"/>
      <c r="L32" s="16"/>
      <c r="M32" s="17"/>
      <c r="N32" s="14">
        <v>1007</v>
      </c>
      <c r="O32" s="15">
        <v>5</v>
      </c>
      <c r="P32" s="16"/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e">
        <f>VLOOKUP(J32,SkillTable!$A$2:$E$2200,5,FALSE)</f>
        <v>#N/A</v>
      </c>
      <c r="K33" s="19" t="str">
        <f>"MAX LV "&amp;K32</f>
        <v xml:space="preserve">MAX LV </v>
      </c>
      <c r="L33" s="20" t="e">
        <f>VLOOKUP(L32,SkillTable!$A$2:$E$2200,5,FALSE)</f>
        <v>#N/A</v>
      </c>
      <c r="M33" s="17"/>
      <c r="N33" s="18" t="str">
        <f>VLOOKUP(N32,SkillTable!$A$2:$E$2200,5,FALSE)</f>
        <v>스파이럴 블래스트</v>
      </c>
      <c r="O33" s="19" t="str">
        <f>"MAX LV "&amp;O32</f>
        <v>MAX LV 5</v>
      </c>
      <c r="P33" s="20" t="e">
        <f>VLOOKUP(P32,SkillTable!$A$2:$E$2200,5,FALSE)</f>
        <v>#N/A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34"/>
      <c r="C35" s="15"/>
      <c r="D35" s="16"/>
      <c r="E35" s="17"/>
      <c r="F35" s="14">
        <v>306</v>
      </c>
      <c r="G35" s="15">
        <v>4</v>
      </c>
      <c r="H35" s="16">
        <v>5</v>
      </c>
      <c r="I35" s="17"/>
      <c r="J35" s="14">
        <v>10</v>
      </c>
      <c r="K35" s="15">
        <v>5</v>
      </c>
      <c r="L35" s="16"/>
      <c r="M35" s="17"/>
      <c r="N35" s="34"/>
      <c r="O35" s="15"/>
      <c r="P35" s="16"/>
      <c r="Q35" s="17"/>
      <c r="R35" s="14">
        <v>1201</v>
      </c>
      <c r="S35" s="15">
        <v>5</v>
      </c>
      <c r="T35" s="16"/>
    </row>
    <row r="36" spans="1:20" ht="99.95" customHeight="1" thickBot="1">
      <c r="B36" s="18" t="e">
        <f>VLOOKUP(B35,SkillTable!$A$2:$E$2200,5,FALSE)</f>
        <v>#N/A</v>
      </c>
      <c r="C36" s="19" t="str">
        <f>"MAX LV "&amp;C35</f>
        <v xml:space="preserve">MAX LV </v>
      </c>
      <c r="D36" s="20" t="e">
        <f>VLOOKUP(D35,SkillTable!$A$2:$E$2200,5,FALSE)</f>
        <v>#N/A</v>
      </c>
      <c r="E36" s="17"/>
      <c r="F36" s="18" t="str">
        <f>VLOOKUP(F35,SkillTable!$A$2:$E$2200,5,FALSE)</f>
        <v>파워 아드레날린</v>
      </c>
      <c r="G36" s="19" t="str">
        <f>"MAX LV "&amp;G35</f>
        <v>MAX LV 4</v>
      </c>
      <c r="H36" s="20" t="str">
        <f>VLOOKUP(H35,SkillTable!$A$2:$E$2200,5,FALSE)</f>
        <v>중급 근력단련</v>
      </c>
      <c r="I36" s="17"/>
      <c r="J36" s="18" t="str">
        <f>VLOOKUP(J35,SkillTable!$A$2:$E$2200,5,FALSE)</f>
        <v>활력</v>
      </c>
      <c r="K36" s="19" t="str">
        <f>"MAX LV "&amp;K35</f>
        <v>MAX LV 5</v>
      </c>
      <c r="L36" s="20" t="e">
        <f>VLOOKUP(L35,SkillTable!$A$2:$E$2200,5,FALSE)</f>
        <v>#N/A</v>
      </c>
      <c r="M36" s="17"/>
      <c r="N36" s="18" t="e">
        <f>VLOOKUP(N35,SkillTable!$A$2:$E$2200,5,FALSE)</f>
        <v>#N/A</v>
      </c>
      <c r="O36" s="19" t="str">
        <f>"MAX LV "&amp;O35</f>
        <v xml:space="preserve">MAX LV </v>
      </c>
      <c r="P36" s="20" t="e">
        <f>VLOOKUP(P35,SkillTable!$A$2:$E$2200,5,FALSE)</f>
        <v>#N/A</v>
      </c>
      <c r="Q36" s="17"/>
      <c r="R36" s="18" t="str">
        <f>VLOOKUP(R35,SkillTable!$A$2:$E$2200,5,FALSE)</f>
        <v>극기</v>
      </c>
      <c r="S36" s="19" t="str">
        <f>"MAX LV "&amp;S35</f>
        <v>MAX LV 5</v>
      </c>
      <c r="T36" s="20" t="e">
        <f>VLOOKUP(T35,SkillTable!$A$2:$E$2200,5,FALSE)</f>
        <v>#N/A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14">
        <v>11</v>
      </c>
      <c r="G38" s="15">
        <v>5</v>
      </c>
      <c r="H38" s="16"/>
      <c r="I38" s="17"/>
      <c r="J38" s="34">
        <v>1012</v>
      </c>
      <c r="K38" s="15">
        <v>5</v>
      </c>
      <c r="L38" s="16"/>
      <c r="M38" s="17"/>
      <c r="N38" s="34"/>
      <c r="O38" s="15"/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str">
        <f>VLOOKUP(F38,SkillTable!$A$2:$E$2200,5,FALSE)</f>
        <v>강인한 신체</v>
      </c>
      <c r="G39" s="19" t="str">
        <f>"MAX LV "&amp;G38</f>
        <v>MAX LV 5</v>
      </c>
      <c r="H39" s="20" t="e">
        <f>VLOOKUP(H38,SkillTable!$A$2:$E$2200,5,FALSE)</f>
        <v>#N/A</v>
      </c>
      <c r="I39" s="17"/>
      <c r="J39" s="18" t="str">
        <f>VLOOKUP(J38,SkillTable!$A$2:$E$2200,5,FALSE)</f>
        <v>윈드밀</v>
      </c>
      <c r="K39" s="19" t="str">
        <f>"MAX LV "&amp;K38</f>
        <v>MAX LV 5</v>
      </c>
      <c r="L39" s="20" t="e">
        <f>VLOOKUP(L38,SkillTable!$A$2:$E$2200,5,FALSE)</f>
        <v>#N/A</v>
      </c>
      <c r="M39" s="17"/>
      <c r="N39" s="18" t="e">
        <f>VLOOKUP(N38,SkillTable!$A$2:$E$2200,5,FALSE)</f>
        <v>#N/A</v>
      </c>
      <c r="O39" s="19" t="str">
        <f>"MAX LV "&amp;O38</f>
        <v xml:space="preserve">MAX LV 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34"/>
      <c r="K41" s="15"/>
      <c r="L41" s="16"/>
      <c r="M41" s="17"/>
      <c r="N41" s="14">
        <v>1008</v>
      </c>
      <c r="O41" s="15">
        <v>5</v>
      </c>
      <c r="P41" s="16"/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e">
        <f>VLOOKUP(J41,SkillTable!$A$2:$E$2200,5,FALSE)</f>
        <v>#N/A</v>
      </c>
      <c r="K42" s="19" t="str">
        <f>"MAX LV "&amp;K41</f>
        <v xml:space="preserve">MAX LV </v>
      </c>
      <c r="L42" s="20" t="e">
        <f>VLOOKUP(L41,SkillTable!$A$2:$E$2200,5,FALSE)</f>
        <v>#N/A</v>
      </c>
      <c r="M42" s="17"/>
      <c r="N42" s="18" t="str">
        <f>VLOOKUP(N41,SkillTable!$A$2:$E$2200,5,FALSE)</f>
        <v>아마겟돈 블레이드</v>
      </c>
      <c r="O42" s="19" t="str">
        <f>"MAX LV "&amp;O41</f>
        <v>MAX LV 5</v>
      </c>
      <c r="P42" s="20" t="e">
        <f>VLOOKUP(P41,SkillTable!$A$2:$E$2200,5,FALSE)</f>
        <v>#N/A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T43"/>
  <sheetViews>
    <sheetView topLeftCell="A22" zoomScale="60" zoomScaleNormal="60" workbookViewId="0">
      <selection activeCell="N26" sqref="N26:O26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34"/>
      <c r="C2" s="15"/>
      <c r="D2" s="16"/>
      <c r="E2" s="17"/>
      <c r="F2" s="21">
        <v>3</v>
      </c>
      <c r="G2" s="22">
        <v>5</v>
      </c>
      <c r="H2" s="23"/>
      <c r="I2" s="17"/>
      <c r="J2" s="34"/>
      <c r="K2" s="15"/>
      <c r="L2" s="16"/>
      <c r="M2" s="17"/>
      <c r="N2" s="14">
        <v>1000</v>
      </c>
      <c r="O2" s="15">
        <v>5</v>
      </c>
      <c r="P2" s="16"/>
      <c r="Q2" s="17"/>
      <c r="R2" s="14">
        <v>1200</v>
      </c>
      <c r="S2" s="15">
        <v>1</v>
      </c>
      <c r="T2" s="16"/>
    </row>
    <row r="3" spans="1:20" ht="99.95" customHeight="1" thickBot="1">
      <c r="B3" s="18" t="e">
        <f>VLOOKUP(B2,SkillTable!$A$2:$E$2200,5,FALSE)</f>
        <v>#N/A</v>
      </c>
      <c r="C3" s="19" t="str">
        <f>"MAX LV "&amp;C2</f>
        <v xml:space="preserve">MAX LV </v>
      </c>
      <c r="D3" s="20" t="e">
        <f>VLOOKUP(D2,SkillTable!$A$2:$E$2200,5,FALSE)</f>
        <v>#N/A</v>
      </c>
      <c r="E3" s="17"/>
      <c r="F3" s="18" t="str">
        <f>VLOOKUP(F2,SkillTable!$A$2:$E$2200,5,FALSE)</f>
        <v>기초 물리방어술</v>
      </c>
      <c r="G3" s="19" t="str">
        <f>"MAX LV "&amp;G2</f>
        <v>MAX LV 5</v>
      </c>
      <c r="H3" s="20" t="e">
        <f>VLOOKUP(H2,SkillTable!$A$2:$E$2200,5,FALSE)</f>
        <v>#N/A</v>
      </c>
      <c r="I3" s="17"/>
      <c r="J3" s="18" t="e">
        <f>VLOOKUP(J2,SkillTable!$A$2:$E$2200,5,FALSE)</f>
        <v>#N/A</v>
      </c>
      <c r="K3" s="19" t="str">
        <f>"MAX LV "&amp;K2</f>
        <v xml:space="preserve">MAX LV </v>
      </c>
      <c r="L3" s="20" t="e">
        <f>VLOOKUP(L2,SkillTable!$A$2:$E$2200,5,FALSE)</f>
        <v>#N/A</v>
      </c>
      <c r="M3" s="17"/>
      <c r="N3" s="18" t="str">
        <f>VLOOKUP(N2,SkillTable!$A$2:$E$2200,5,FALSE)</f>
        <v>메가 슬래시</v>
      </c>
      <c r="O3" s="19" t="str">
        <f>"MAX LV "&amp;O2</f>
        <v>MAX LV 5</v>
      </c>
      <c r="P3" s="20" t="e">
        <f>VLOOKUP(P2,SkillTable!$A$2:$E$2200,5,FALSE)</f>
        <v>#N/A</v>
      </c>
      <c r="Q3" s="17"/>
      <c r="R3" s="18" t="str">
        <f>VLOOKUP(R2,SkillTable!$A$2:$E$2200,5,FALSE)</f>
        <v>반격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14">
        <v>4</v>
      </c>
      <c r="C5" s="15">
        <v>5</v>
      </c>
      <c r="D5" s="16"/>
      <c r="E5" s="17"/>
      <c r="F5" s="34"/>
      <c r="G5" s="15"/>
      <c r="H5" s="16"/>
      <c r="I5" s="17"/>
      <c r="J5" s="34"/>
      <c r="K5" s="15"/>
      <c r="L5" s="16"/>
      <c r="M5" s="17"/>
      <c r="N5" s="14">
        <v>1002</v>
      </c>
      <c r="O5" s="15">
        <v>5</v>
      </c>
      <c r="P5" s="16"/>
      <c r="Q5" s="17"/>
      <c r="R5" s="14"/>
      <c r="S5" s="15"/>
      <c r="T5" s="16"/>
    </row>
    <row r="6" spans="1:20" ht="99.95" customHeight="1" thickBot="1">
      <c r="B6" s="18" t="str">
        <f>VLOOKUP(B5,SkillTable!$A$2:$E$2200,5,FALSE)</f>
        <v>기초 마법방어술</v>
      </c>
      <c r="C6" s="19" t="str">
        <f>"MAX LV "&amp;C5</f>
        <v>MAX LV 5</v>
      </c>
      <c r="D6" s="20" t="e">
        <f>VLOOKUP(D5,SkillTable!$A$2:$E$2200,5,FALSE)</f>
        <v>#N/A</v>
      </c>
      <c r="E6" s="17"/>
      <c r="F6" s="18" t="e">
        <f>VLOOKUP(F5,SkillTable!$A$2:$E$2200,5,FALSE)</f>
        <v>#N/A</v>
      </c>
      <c r="G6" s="19" t="str">
        <f>"MAX LV "&amp;G5</f>
        <v xml:space="preserve">MAX LV </v>
      </c>
      <c r="H6" s="20" t="e">
        <f>VLOOKUP(H5,SkillTable!$A$2:$E$2200,5,FALSE)</f>
        <v>#N/A</v>
      </c>
      <c r="I6" s="17"/>
      <c r="J6" s="18" t="e">
        <f>VLOOKUP(J5,SkillTable!$A$2:$E$2200,5,FALSE)</f>
        <v>#N/A</v>
      </c>
      <c r="K6" s="19" t="str">
        <f>"MAX LV "&amp;K5</f>
        <v xml:space="preserve">MAX LV </v>
      </c>
      <c r="L6" s="20" t="e">
        <f>VLOOKUP(L5,SkillTable!$A$2:$E$2200,5,FALSE)</f>
        <v>#N/A</v>
      </c>
      <c r="M6" s="17"/>
      <c r="N6" s="18" t="str">
        <f>VLOOKUP(N5,SkillTable!$A$2:$E$2200,5,FALSE)</f>
        <v>페이탈 퓨리</v>
      </c>
      <c r="O6" s="19" t="str">
        <f>"MAX LV "&amp;O5</f>
        <v>MAX LV 5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34"/>
      <c r="C8" s="15"/>
      <c r="D8" s="16"/>
      <c r="E8" s="17"/>
      <c r="F8" s="14">
        <v>1</v>
      </c>
      <c r="G8" s="15">
        <v>5</v>
      </c>
      <c r="H8" s="16">
        <v>3</v>
      </c>
      <c r="I8" s="17"/>
      <c r="J8" s="14">
        <v>1003</v>
      </c>
      <c r="K8" s="15">
        <v>5</v>
      </c>
      <c r="L8" s="16"/>
      <c r="M8" s="17"/>
      <c r="N8" s="34"/>
      <c r="O8" s="15"/>
      <c r="P8" s="16"/>
      <c r="Q8" s="17"/>
      <c r="R8" s="34"/>
      <c r="S8" s="15"/>
      <c r="T8" s="16"/>
    </row>
    <row r="9" spans="1:20" ht="99.95" customHeight="1" thickBot="1">
      <c r="B9" s="18" t="e">
        <f>VLOOKUP(B8,SkillTable!$A$2:$E$2200,5,FALSE)</f>
        <v>#N/A</v>
      </c>
      <c r="C9" s="19" t="str">
        <f>"MAX LV "&amp;C8</f>
        <v xml:space="preserve">MAX LV </v>
      </c>
      <c r="D9" s="20" t="e">
        <f>VLOOKUP(D8,SkillTable!$A$2:$E$2200,5,FALSE)</f>
        <v>#N/A</v>
      </c>
      <c r="E9" s="17"/>
      <c r="F9" s="18" t="str">
        <f>VLOOKUP(F8,SkillTable!$A$2:$E$2200,5,FALSE)</f>
        <v>기초 근력단련</v>
      </c>
      <c r="G9" s="19" t="str">
        <f>"MAX LV "&amp;G8</f>
        <v>MAX LV 5</v>
      </c>
      <c r="H9" s="20" t="str">
        <f>VLOOKUP(H8,SkillTable!$A$2:$E$2200,5,FALSE)</f>
        <v>기초 물리방어술</v>
      </c>
      <c r="I9" s="17"/>
      <c r="J9" s="18" t="str">
        <f>VLOOKUP(J8,SkillTable!$A$2:$E$2200,5,FALSE)</f>
        <v>플레임 게이저</v>
      </c>
      <c r="K9" s="19" t="str">
        <f>"MAX LV "&amp;K8</f>
        <v>MAX LV 5</v>
      </c>
      <c r="L9" s="20" t="e">
        <f>VLOOKUP(L8,SkillTable!$A$2:$E$2200,5,FALSE)</f>
        <v>#N/A</v>
      </c>
      <c r="M9" s="17"/>
      <c r="N9" s="18" t="e">
        <f>VLOOKUP(N8,SkillTable!$A$2:$E$2200,5,FALSE)</f>
        <v>#N/A</v>
      </c>
      <c r="O9" s="19" t="str">
        <f>"MAX LV "&amp;O8</f>
        <v xml:space="preserve">MAX LV 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14">
        <v>2</v>
      </c>
      <c r="C11" s="15">
        <v>5</v>
      </c>
      <c r="D11" s="16">
        <v>4</v>
      </c>
      <c r="E11" s="17"/>
      <c r="F11" s="34"/>
      <c r="G11" s="15"/>
      <c r="H11" s="16"/>
      <c r="I11" s="17"/>
      <c r="J11" s="34"/>
      <c r="K11" s="15"/>
      <c r="L11" s="16"/>
      <c r="M11" s="17"/>
      <c r="N11" s="34"/>
      <c r="O11" s="15"/>
      <c r="P11" s="16"/>
      <c r="Q11" s="17"/>
      <c r="R11" s="34"/>
      <c r="S11" s="15"/>
      <c r="T11" s="16"/>
    </row>
    <row r="12" spans="1:20" ht="99.95" customHeight="1" thickBot="1">
      <c r="B12" s="18" t="str">
        <f>VLOOKUP(B11,SkillTable!$A$2:$E$2200,5,FALSE)</f>
        <v>기초 마법수련</v>
      </c>
      <c r="C12" s="19" t="str">
        <f>"MAX LV "&amp;C11</f>
        <v>MAX LV 5</v>
      </c>
      <c r="D12" s="20" t="str">
        <f>VLOOKUP(D11,SkillTable!$A$2:$E$2200,5,FALSE)</f>
        <v>기초 마법방어술</v>
      </c>
      <c r="E12" s="17"/>
      <c r="F12" s="18" t="e">
        <f>VLOOKUP(F11,SkillTable!$A$2:$E$2200,5,FALSE)</f>
        <v>#N/A</v>
      </c>
      <c r="G12" s="19" t="str">
        <f>"MAX LV "&amp;G11</f>
        <v xml:space="preserve">MAX LV </v>
      </c>
      <c r="H12" s="20" t="e">
        <f>VLOOKUP(H11,SkillTable!$A$2:$E$2200,5,FALSE)</f>
        <v>#N/A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e">
        <f>VLOOKUP(N11,SkillTable!$A$2:$E$2200,5,FALSE)</f>
        <v>#N/A</v>
      </c>
      <c r="O12" s="19" t="str">
        <f>"MAX LV "&amp;O11</f>
        <v xml:space="preserve">MAX LV </v>
      </c>
      <c r="P12" s="20" t="e">
        <f>VLOOKUP(P11,SkillTable!$A$2:$E$2200,5,FALSE)</f>
        <v>#N/A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14">
        <v>301</v>
      </c>
      <c r="C14" s="15">
        <v>3</v>
      </c>
      <c r="D14" s="16"/>
      <c r="E14" s="17"/>
      <c r="F14" s="34"/>
      <c r="G14" s="15"/>
      <c r="H14" s="16"/>
      <c r="I14" s="17"/>
      <c r="J14" s="34"/>
      <c r="K14" s="15"/>
      <c r="L14" s="16"/>
      <c r="M14" s="17"/>
      <c r="N14" s="14">
        <v>1001</v>
      </c>
      <c r="O14" s="15">
        <v>5</v>
      </c>
      <c r="P14" s="16">
        <v>1002</v>
      </c>
      <c r="Q14" s="17"/>
      <c r="R14" s="34"/>
      <c r="S14" s="15"/>
      <c r="T14" s="16"/>
    </row>
    <row r="15" spans="1:20" ht="99.95" customHeight="1" thickBot="1">
      <c r="B15" s="18" t="str">
        <f>VLOOKUP(B14,SkillTable!$A$2:$E$2200,5,FALSE)</f>
        <v>매직 액셀레이터</v>
      </c>
      <c r="C15" s="19" t="str">
        <f>"MAX LV "&amp;C14</f>
        <v>MAX LV 3</v>
      </c>
      <c r="D15" s="20" t="e">
        <f>VLOOKUP(D14,SkillTable!$A$2:$E$2200,5,FALSE)</f>
        <v>#N/A</v>
      </c>
      <c r="E15" s="17"/>
      <c r="F15" s="18" t="e">
        <f>VLOOKUP(F14,SkillTable!$A$2:$E$2200,5,FALSE)</f>
        <v>#N/A</v>
      </c>
      <c r="G15" s="19" t="str">
        <f>"MAX LV "&amp;G14</f>
        <v xml:space="preserve">MAX LV </v>
      </c>
      <c r="H15" s="20" t="e">
        <f>VLOOKUP(H14,SkillTable!$A$2:$E$2200,5,FALSE)</f>
        <v>#N/A</v>
      </c>
      <c r="I15" s="17"/>
      <c r="J15" s="18" t="e">
        <f>VLOOKUP(J14,SkillTable!$A$2:$E$2200,5,FALSE)</f>
        <v>#N/A</v>
      </c>
      <c r="K15" s="19" t="str">
        <f>"MAX LV "&amp;K14</f>
        <v xml:space="preserve">MAX LV </v>
      </c>
      <c r="L15" s="20" t="e">
        <f>VLOOKUP(L14,SkillTable!$A$2:$E$2200,5,FALSE)</f>
        <v>#N/A</v>
      </c>
      <c r="M15" s="17"/>
      <c r="N15" s="18" t="str">
        <f>VLOOKUP(N14,SkillTable!$A$2:$E$2200,5,FALSE)</f>
        <v>어설트 슬래시</v>
      </c>
      <c r="O15" s="19" t="str">
        <f>"MAX LV "&amp;O14</f>
        <v>MAX LV 5</v>
      </c>
      <c r="P15" s="20" t="str">
        <f>VLOOKUP(P14,SkillTable!$A$2:$E$2200,5,FALSE)</f>
        <v>페이탈 퓨리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14">
        <v>302</v>
      </c>
      <c r="C17" s="15">
        <v>3</v>
      </c>
      <c r="D17" s="16"/>
      <c r="E17" s="17"/>
      <c r="F17" s="14">
        <v>300</v>
      </c>
      <c r="G17" s="15">
        <v>3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1400</v>
      </c>
      <c r="S17" s="15">
        <v>5</v>
      </c>
      <c r="T17" s="16">
        <v>1200</v>
      </c>
    </row>
    <row r="18" spans="1:20" ht="99.95" customHeight="1" thickBot="1">
      <c r="B18" s="18" t="str">
        <f>VLOOKUP(B17,SkillTable!$A$2:$E$2200,5,FALSE)</f>
        <v>실드 액셀레이터</v>
      </c>
      <c r="C18" s="19" t="str">
        <f>"MAX LV "&amp;C17</f>
        <v>MAX LV 3</v>
      </c>
      <c r="D18" s="20" t="e">
        <f>VLOOKUP(D17,SkillTable!$A$2:$E$2200,5,FALSE)</f>
        <v>#N/A</v>
      </c>
      <c r="E18" s="17"/>
      <c r="F18" s="18" t="str">
        <f>VLOOKUP(F17,SkillTable!$A$2:$E$2200,5,FALSE)</f>
        <v>파워 액셀레이터</v>
      </c>
      <c r="G18" s="19" t="str">
        <f>"MAX LV "&amp;G17</f>
        <v>MAX LV 3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반격 연마</v>
      </c>
      <c r="S18" s="19" t="str">
        <f>"MAX LV "&amp;S17</f>
        <v>MAX LV 5</v>
      </c>
      <c r="T18" s="20" t="str">
        <f>VLOOKUP(T17,SkillTable!$A$2:$E$2200,5,FALSE)</f>
        <v>반격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1005</v>
      </c>
      <c r="K20" s="15">
        <v>5</v>
      </c>
      <c r="L20" s="16">
        <v>1003</v>
      </c>
      <c r="M20" s="17"/>
      <c r="N20" s="14">
        <v>1004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트리플 게이저</v>
      </c>
      <c r="K21" s="19" t="str">
        <f>"MAX LV "&amp;K20</f>
        <v>MAX LV 5</v>
      </c>
      <c r="L21" s="20" t="str">
        <f>VLOOKUP(L20,SkillTable!$A$2:$E$2200,5,FALSE)</f>
        <v>플레임 게이저</v>
      </c>
      <c r="M21" s="17"/>
      <c r="N21" s="18" t="str">
        <f>VLOOKUP(N20,SkillTable!$A$2:$E$2200,5,FALSE)</f>
        <v>언리미티드 블레이드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14">
        <v>1202</v>
      </c>
      <c r="S23" s="15">
        <v>5</v>
      </c>
      <c r="T23" s="16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발차기</v>
      </c>
      <c r="S24" s="19" t="str">
        <f>"MAX LV "&amp;S23</f>
        <v>MAX LV 5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14">
        <v>1009</v>
      </c>
      <c r="K26" s="15">
        <v>5</v>
      </c>
      <c r="L26" s="16"/>
      <c r="M26" s="17"/>
      <c r="N26" s="34"/>
      <c r="O26" s="15"/>
      <c r="P26" s="16"/>
      <c r="Q26" s="17"/>
      <c r="R26" s="34">
        <v>1204</v>
      </c>
      <c r="S26" s="15">
        <v>5</v>
      </c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str">
        <f>VLOOKUP(J26,SkillTable!$A$2:$E$2200,5,FALSE)</f>
        <v>윈드 블레이드</v>
      </c>
      <c r="K27" s="19" t="str">
        <f>"MAX LV "&amp;K26</f>
        <v>MAX LV 5</v>
      </c>
      <c r="L27" s="20" t="e">
        <f>VLOOKUP(L26,SkillTable!$A$2:$E$2200,5,FALSE)</f>
        <v>#N/A</v>
      </c>
      <c r="M27" s="17"/>
      <c r="N27" s="18" t="e">
        <f>VLOOKUP(N26,SkillTable!$A$2:$E$2200,5,FALSE)</f>
        <v>#N/A</v>
      </c>
      <c r="O27" s="19" t="str">
        <f>"MAX LV "&amp;O26</f>
        <v xml:space="preserve">MAX LV </v>
      </c>
      <c r="P27" s="20" t="e">
        <f>VLOOKUP(P26,SkillTable!$A$2:$E$2200,5,FALSE)</f>
        <v>#N/A</v>
      </c>
      <c r="Q27" s="17"/>
      <c r="R27" s="18" t="str">
        <f>VLOOKUP(R26,SkillTable!$A$2:$E$2200,5,FALSE)</f>
        <v>대폭살</v>
      </c>
      <c r="S27" s="19" t="str">
        <f>"MAX LV "&amp;S26</f>
        <v>MAX LV 5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34"/>
      <c r="C29" s="15"/>
      <c r="D29" s="16"/>
      <c r="E29" s="17"/>
      <c r="F29" s="34"/>
      <c r="G29" s="15"/>
      <c r="H29" s="16"/>
      <c r="I29" s="17"/>
      <c r="J29" s="14">
        <v>9</v>
      </c>
      <c r="K29" s="15">
        <v>5</v>
      </c>
      <c r="L29" s="16"/>
      <c r="M29" s="17"/>
      <c r="N29" s="14">
        <v>6</v>
      </c>
      <c r="O29" s="15">
        <v>5</v>
      </c>
      <c r="P29" s="16"/>
      <c r="Q29" s="17"/>
      <c r="R29" s="34"/>
      <c r="S29" s="15"/>
      <c r="T29" s="16"/>
    </row>
    <row r="30" spans="1:20" ht="99.95" customHeight="1" thickBot="1">
      <c r="B30" s="18" t="e">
        <f>VLOOKUP(B29,SkillTable!$A$2:$E$2200,5,FALSE)</f>
        <v>#N/A</v>
      </c>
      <c r="C30" s="19" t="str">
        <f>"MAX LV "&amp;C29</f>
        <v xml:space="preserve">MAX LV </v>
      </c>
      <c r="D30" s="20" t="e">
        <f>VLOOKUP(D29,SkillTable!$A$2:$E$2200,5,FALSE)</f>
        <v>#N/A</v>
      </c>
      <c r="E30" s="17"/>
      <c r="F30" s="18" t="e">
        <f>VLOOKUP(F29,SkillTable!$A$2:$E$2200,5,FALSE)</f>
        <v>#N/A</v>
      </c>
      <c r="G30" s="19" t="str">
        <f>"MAX LV "&amp;G29</f>
        <v xml:space="preserve">MAX LV </v>
      </c>
      <c r="H30" s="20" t="e">
        <f>VLOOKUP(H29,SkillTable!$A$2:$E$2200,5,FALSE)</f>
        <v>#N/A</v>
      </c>
      <c r="I30" s="17"/>
      <c r="J30" s="18" t="str">
        <f>VLOOKUP(J29,SkillTable!$A$2:$E$2200,5,FALSE)</f>
        <v>기회의 포착</v>
      </c>
      <c r="K30" s="19" t="str">
        <f>"MAX LV "&amp;K29</f>
        <v>MAX LV 5</v>
      </c>
      <c r="L30" s="20" t="e">
        <f>VLOOKUP(L29,SkillTable!$A$2:$E$2200,5,FALSE)</f>
        <v>#N/A</v>
      </c>
      <c r="M30" s="17"/>
      <c r="N30" s="18" t="str">
        <f>VLOOKUP(N29,SkillTable!$A$2:$E$2200,5,FALSE)</f>
        <v>중급 마법수련</v>
      </c>
      <c r="O30" s="19" t="str">
        <f>"MAX LV "&amp;O29</f>
        <v>MAX LV 5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14">
        <v>1010</v>
      </c>
      <c r="K32" s="15">
        <v>5</v>
      </c>
      <c r="L32" s="16"/>
      <c r="M32" s="17"/>
      <c r="N32" s="34"/>
      <c r="O32" s="15"/>
      <c r="P32" s="16"/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str">
        <f>VLOOKUP(J32,SkillTable!$A$2:$E$2200,5,FALSE)</f>
        <v>라이징 슬래시</v>
      </c>
      <c r="K33" s="19" t="str">
        <f>"MAX LV "&amp;K32</f>
        <v>MAX LV 5</v>
      </c>
      <c r="L33" s="20" t="e">
        <f>VLOOKUP(L32,SkillTable!$A$2:$E$2200,5,FALSE)</f>
        <v>#N/A</v>
      </c>
      <c r="M33" s="17"/>
      <c r="N33" s="18" t="e">
        <f>VLOOKUP(N32,SkillTable!$A$2:$E$2200,5,FALSE)</f>
        <v>#N/A</v>
      </c>
      <c r="O33" s="19" t="str">
        <f>"MAX LV "&amp;O32</f>
        <v xml:space="preserve">MAX LV </v>
      </c>
      <c r="P33" s="20" t="e">
        <f>VLOOKUP(P32,SkillTable!$A$2:$E$2200,5,FALSE)</f>
        <v>#N/A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14">
        <v>306</v>
      </c>
      <c r="C35" s="15">
        <v>3</v>
      </c>
      <c r="D35" s="16"/>
      <c r="E35" s="17"/>
      <c r="F35" s="14">
        <v>1401</v>
      </c>
      <c r="G35" s="15">
        <v>5</v>
      </c>
      <c r="H35" s="16"/>
      <c r="I35" s="17"/>
      <c r="J35" s="34"/>
      <c r="K35" s="15"/>
      <c r="L35" s="16"/>
      <c r="M35" s="17"/>
      <c r="N35" s="14">
        <v>307</v>
      </c>
      <c r="O35" s="15">
        <v>3</v>
      </c>
      <c r="P35" s="16">
        <v>6</v>
      </c>
      <c r="Q35" s="17"/>
      <c r="R35" s="14">
        <v>1201</v>
      </c>
      <c r="S35" s="15">
        <v>5</v>
      </c>
      <c r="T35" s="16"/>
    </row>
    <row r="36" spans="1:20" ht="99.95" customHeight="1" thickBot="1">
      <c r="B36" s="18" t="str">
        <f>VLOOKUP(B35,SkillTable!$A$2:$E$2200,5,FALSE)</f>
        <v>파워 아드레날린</v>
      </c>
      <c r="C36" s="19" t="str">
        <f>"MAX LV "&amp;C35</f>
        <v>MAX LV 3</v>
      </c>
      <c r="D36" s="20" t="e">
        <f>VLOOKUP(D35,SkillTable!$A$2:$E$2200,5,FALSE)</f>
        <v>#N/A</v>
      </c>
      <c r="E36" s="17"/>
      <c r="F36" s="18" t="str">
        <f>VLOOKUP(F35,SkillTable!$A$2:$E$2200,5,FALSE)</f>
        <v>강화된 파이어볼</v>
      </c>
      <c r="G36" s="19" t="str">
        <f>"MAX LV "&amp;G35</f>
        <v>MAX LV 5</v>
      </c>
      <c r="H36" s="20" t="e">
        <f>VLOOKUP(H35,SkillTable!$A$2:$E$2200,5,FALSE)</f>
        <v>#N/A</v>
      </c>
      <c r="I36" s="17"/>
      <c r="J36" s="18" t="e">
        <f>VLOOKUP(J35,SkillTable!$A$2:$E$2200,5,FALSE)</f>
        <v>#N/A</v>
      </c>
      <c r="K36" s="19" t="str">
        <f>"MAX LV "&amp;K35</f>
        <v xml:space="preserve">MAX LV </v>
      </c>
      <c r="L36" s="20" t="e">
        <f>VLOOKUP(L35,SkillTable!$A$2:$E$2200,5,FALSE)</f>
        <v>#N/A</v>
      </c>
      <c r="M36" s="17"/>
      <c r="N36" s="18" t="str">
        <f>VLOOKUP(N35,SkillTable!$A$2:$E$2200,5,FALSE)</f>
        <v>매직 아드레날린</v>
      </c>
      <c r="O36" s="19" t="str">
        <f>"MAX LV "&amp;O35</f>
        <v>MAX LV 3</v>
      </c>
      <c r="P36" s="20" t="str">
        <f>VLOOKUP(P35,SkillTable!$A$2:$E$2200,5,FALSE)</f>
        <v>중급 마법수련</v>
      </c>
      <c r="Q36" s="17"/>
      <c r="R36" s="18" t="str">
        <f>VLOOKUP(R35,SkillTable!$A$2:$E$2200,5,FALSE)</f>
        <v>극기</v>
      </c>
      <c r="S36" s="19" t="str">
        <f>"MAX LV "&amp;S35</f>
        <v>MAX LV 5</v>
      </c>
      <c r="T36" s="20" t="e">
        <f>VLOOKUP(T35,SkillTable!$A$2:$E$2200,5,FALSE)</f>
        <v>#N/A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14">
        <v>12</v>
      </c>
      <c r="G38" s="15">
        <v>5</v>
      </c>
      <c r="H38" s="16"/>
      <c r="I38" s="17"/>
      <c r="J38" s="34"/>
      <c r="K38" s="15"/>
      <c r="L38" s="16"/>
      <c r="M38" s="17"/>
      <c r="N38" s="34">
        <v>1013</v>
      </c>
      <c r="O38" s="15">
        <v>5</v>
      </c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str">
        <f>VLOOKUP(F38,SkillTable!$A$2:$E$2200,5,FALSE)</f>
        <v>강인한 정신력</v>
      </c>
      <c r="G39" s="19" t="str">
        <f>"MAX LV "&amp;G38</f>
        <v>MAX LV 5</v>
      </c>
      <c r="H39" s="20" t="e">
        <f>VLOOKUP(H38,SkillTable!$A$2:$E$2200,5,FALSE)</f>
        <v>#N/A</v>
      </c>
      <c r="I39" s="17"/>
      <c r="J39" s="18" t="e">
        <f>VLOOKUP(J38,SkillTable!$A$2:$E$2200,5,FALSE)</f>
        <v>#N/A</v>
      </c>
      <c r="K39" s="19" t="str">
        <f>"MAX LV "&amp;K38</f>
        <v xml:space="preserve">MAX LV </v>
      </c>
      <c r="L39" s="20" t="e">
        <f>VLOOKUP(L38,SkillTable!$A$2:$E$2200,5,FALSE)</f>
        <v>#N/A</v>
      </c>
      <c r="M39" s="17"/>
      <c r="N39" s="18" t="str">
        <f>VLOOKUP(N38,SkillTable!$A$2:$E$2200,5,FALSE)</f>
        <v>소드 파이어</v>
      </c>
      <c r="O39" s="19" t="str">
        <f>"MAX LV "&amp;O38</f>
        <v>MAX LV 5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14">
        <v>1011</v>
      </c>
      <c r="K41" s="15">
        <v>5</v>
      </c>
      <c r="L41" s="16">
        <v>1010</v>
      </c>
      <c r="M41" s="17"/>
      <c r="N41" s="34"/>
      <c r="O41" s="15"/>
      <c r="P41" s="16"/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str">
        <f>VLOOKUP(J41,SkillTable!$A$2:$E$2200,5,FALSE)</f>
        <v>스톰 블레이드</v>
      </c>
      <c r="K42" s="19" t="str">
        <f>"MAX LV "&amp;K41</f>
        <v>MAX LV 5</v>
      </c>
      <c r="L42" s="20" t="str">
        <f>VLOOKUP(L41,SkillTable!$A$2:$E$2200,5,FALSE)</f>
        <v>라이징 슬래시</v>
      </c>
      <c r="M42" s="17"/>
      <c r="N42" s="18" t="e">
        <f>VLOOKUP(N41,SkillTable!$A$2:$E$2200,5,FALSE)</f>
        <v>#N/A</v>
      </c>
      <c r="O42" s="19" t="str">
        <f>"MAX LV "&amp;O41</f>
        <v xml:space="preserve">MAX LV </v>
      </c>
      <c r="P42" s="20" t="e">
        <f>VLOOKUP(P41,SkillTable!$A$2:$E$2200,5,FALSE)</f>
        <v>#N/A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T43"/>
  <sheetViews>
    <sheetView topLeftCell="A10" zoomScale="60" zoomScaleNormal="60" workbookViewId="0">
      <selection activeCell="Q19" sqref="Q19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14">
        <v>4</v>
      </c>
      <c r="C2" s="15">
        <v>5</v>
      </c>
      <c r="D2" s="16"/>
      <c r="E2" s="17"/>
      <c r="F2" s="35"/>
      <c r="G2" s="22"/>
      <c r="H2" s="23"/>
      <c r="I2" s="17"/>
      <c r="J2" s="14">
        <v>1500</v>
      </c>
      <c r="K2" s="15">
        <v>5</v>
      </c>
      <c r="L2" s="16"/>
      <c r="M2" s="17"/>
      <c r="N2" s="34"/>
      <c r="O2" s="15"/>
      <c r="P2" s="16"/>
      <c r="Q2" s="17"/>
      <c r="R2" s="14">
        <v>1700</v>
      </c>
      <c r="S2" s="15">
        <v>1</v>
      </c>
      <c r="T2" s="16"/>
    </row>
    <row r="3" spans="1:20" ht="99.95" customHeight="1" thickBot="1">
      <c r="B3" s="18" t="str">
        <f>VLOOKUP(B2,SkillTable!$A$2:$E$2200,5,FALSE)</f>
        <v>기초 마법방어술</v>
      </c>
      <c r="C3" s="19" t="str">
        <f>"MAX LV "&amp;C2</f>
        <v>MAX LV 5</v>
      </c>
      <c r="D3" s="20" t="e">
        <f>VLOOKUP(D2,SkillTable!$A$2:$E$2200,5,FALSE)</f>
        <v>#N/A</v>
      </c>
      <c r="E3" s="17"/>
      <c r="F3" s="18" t="e">
        <f>VLOOKUP(F2,SkillTable!$A$2:$E$2200,5,FALSE)</f>
        <v>#N/A</v>
      </c>
      <c r="G3" s="19" t="str">
        <f>"MAX LV "&amp;G2</f>
        <v xml:space="preserve">MAX LV </v>
      </c>
      <c r="H3" s="20" t="e">
        <f>VLOOKUP(H2,SkillTable!$A$2:$E$2200,5,FALSE)</f>
        <v>#N/A</v>
      </c>
      <c r="I3" s="17"/>
      <c r="J3" s="18" t="str">
        <f>VLOOKUP(J2,SkillTable!$A$2:$E$2200,5,FALSE)</f>
        <v>체인 파이어볼</v>
      </c>
      <c r="K3" s="19" t="str">
        <f>"MAX LV "&amp;K2</f>
        <v>MAX LV 5</v>
      </c>
      <c r="L3" s="20" t="e">
        <f>VLOOKUP(L2,SkillTable!$A$2:$E$2200,5,FALSE)</f>
        <v>#N/A</v>
      </c>
      <c r="M3" s="17"/>
      <c r="N3" s="18" t="e">
        <f>VLOOKUP(N2,SkillTable!$A$2:$E$2200,5,FALSE)</f>
        <v>#N/A</v>
      </c>
      <c r="O3" s="19" t="str">
        <f>"MAX LV "&amp;O2</f>
        <v xml:space="preserve">MAX LV </v>
      </c>
      <c r="P3" s="20" t="e">
        <f>VLOOKUP(P2,SkillTable!$A$2:$E$2200,5,FALSE)</f>
        <v>#N/A</v>
      </c>
      <c r="Q3" s="17"/>
      <c r="R3" s="18" t="str">
        <f>VLOOKUP(R2,SkillTable!$A$2:$E$2200,5,FALSE)</f>
        <v>텔레포트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34"/>
      <c r="C5" s="15"/>
      <c r="D5" s="16"/>
      <c r="E5" s="17"/>
      <c r="F5" s="14">
        <v>3</v>
      </c>
      <c r="G5" s="15">
        <v>5</v>
      </c>
      <c r="H5" s="16"/>
      <c r="I5" s="17"/>
      <c r="J5" s="14">
        <v>1502</v>
      </c>
      <c r="K5" s="15">
        <v>5</v>
      </c>
      <c r="L5" s="16"/>
      <c r="M5" s="17"/>
      <c r="N5" s="34"/>
      <c r="O5" s="15"/>
      <c r="P5" s="16"/>
      <c r="Q5" s="17"/>
      <c r="R5" s="14"/>
      <c r="S5" s="15"/>
      <c r="T5" s="16"/>
    </row>
    <row r="6" spans="1:20" ht="99.95" customHeight="1" thickBot="1">
      <c r="B6" s="18" t="e">
        <f>VLOOKUP(B5,SkillTable!$A$2:$E$2200,5,FALSE)</f>
        <v>#N/A</v>
      </c>
      <c r="C6" s="19" t="str">
        <f>"MAX LV "&amp;C5</f>
        <v xml:space="preserve">MAX LV </v>
      </c>
      <c r="D6" s="20" t="e">
        <f>VLOOKUP(D5,SkillTable!$A$2:$E$2200,5,FALSE)</f>
        <v>#N/A</v>
      </c>
      <c r="E6" s="17"/>
      <c r="F6" s="18" t="str">
        <f>VLOOKUP(F5,SkillTable!$A$2:$E$2200,5,FALSE)</f>
        <v>기초 물리방어술</v>
      </c>
      <c r="G6" s="19" t="str">
        <f>"MAX LV "&amp;G5</f>
        <v>MAX LV 5</v>
      </c>
      <c r="H6" s="20" t="e">
        <f>VLOOKUP(H5,SkillTable!$A$2:$E$2200,5,FALSE)</f>
        <v>#N/A</v>
      </c>
      <c r="I6" s="17"/>
      <c r="J6" s="18" t="str">
        <f>VLOOKUP(J5,SkillTable!$A$2:$E$2200,5,FALSE)</f>
        <v>거스트 스크류</v>
      </c>
      <c r="K6" s="19" t="str">
        <f>"MAX LV "&amp;K5</f>
        <v>MAX LV 5</v>
      </c>
      <c r="L6" s="20" t="e">
        <f>VLOOKUP(L5,SkillTable!$A$2:$E$2200,5,FALSE)</f>
        <v>#N/A</v>
      </c>
      <c r="M6" s="17"/>
      <c r="N6" s="18" t="e">
        <f>VLOOKUP(N5,SkillTable!$A$2:$E$2200,5,FALSE)</f>
        <v>#N/A</v>
      </c>
      <c r="O6" s="19" t="str">
        <f>"MAX LV "&amp;O5</f>
        <v xml:space="preserve">MAX LV 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14">
        <v>2</v>
      </c>
      <c r="C8" s="15">
        <v>5</v>
      </c>
      <c r="D8" s="16">
        <v>4</v>
      </c>
      <c r="E8" s="17"/>
      <c r="F8" s="34"/>
      <c r="G8" s="15"/>
      <c r="H8" s="16"/>
      <c r="I8" s="17"/>
      <c r="J8" s="34"/>
      <c r="K8" s="15"/>
      <c r="L8" s="16"/>
      <c r="M8" s="17"/>
      <c r="N8" s="14">
        <v>1503</v>
      </c>
      <c r="O8" s="15">
        <v>5</v>
      </c>
      <c r="P8" s="16"/>
      <c r="Q8" s="17"/>
      <c r="R8" s="34"/>
      <c r="S8" s="15"/>
      <c r="T8" s="16"/>
    </row>
    <row r="9" spans="1:20" ht="99.95" customHeight="1" thickBot="1">
      <c r="B9" s="18" t="str">
        <f>VLOOKUP(B8,SkillTable!$A$2:$E$2200,5,FALSE)</f>
        <v>기초 마법수련</v>
      </c>
      <c r="C9" s="19" t="str">
        <f>"MAX LV "&amp;C8</f>
        <v>MAX LV 5</v>
      </c>
      <c r="D9" s="20" t="str">
        <f>VLOOKUP(D8,SkillTable!$A$2:$E$2200,5,FALSE)</f>
        <v>기초 마법방어술</v>
      </c>
      <c r="E9" s="17"/>
      <c r="F9" s="18" t="e">
        <f>VLOOKUP(F8,SkillTable!$A$2:$E$2200,5,FALSE)</f>
        <v>#N/A</v>
      </c>
      <c r="G9" s="19" t="str">
        <f>"MAX LV "&amp;G8</f>
        <v xml:space="preserve">MAX LV </v>
      </c>
      <c r="H9" s="20" t="e">
        <f>VLOOKUP(H8,SkillTable!$A$2:$E$2200,5,FALSE)</f>
        <v>#N/A</v>
      </c>
      <c r="I9" s="17"/>
      <c r="J9" s="18" t="e">
        <f>VLOOKUP(J8,SkillTable!$A$2:$E$2200,5,FALSE)</f>
        <v>#N/A</v>
      </c>
      <c r="K9" s="19" t="str">
        <f>"MAX LV "&amp;K8</f>
        <v xml:space="preserve">MAX LV </v>
      </c>
      <c r="L9" s="20" t="e">
        <f>VLOOKUP(L8,SkillTable!$A$2:$E$2200,5,FALSE)</f>
        <v>#N/A</v>
      </c>
      <c r="M9" s="17"/>
      <c r="N9" s="18" t="str">
        <f>VLOOKUP(N8,SkillTable!$A$2:$E$2200,5,FALSE)</f>
        <v>라이트닝 볼트</v>
      </c>
      <c r="O9" s="19" t="str">
        <f>"MAX LV "&amp;O8</f>
        <v>MAX LV 5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14">
        <v>304</v>
      </c>
      <c r="C11" s="15">
        <v>5</v>
      </c>
      <c r="D11" s="16"/>
      <c r="E11" s="17"/>
      <c r="F11" s="14">
        <v>1</v>
      </c>
      <c r="G11" s="15">
        <v>5</v>
      </c>
      <c r="H11" s="16">
        <v>3</v>
      </c>
      <c r="I11" s="17"/>
      <c r="J11" s="34"/>
      <c r="K11" s="15"/>
      <c r="L11" s="16"/>
      <c r="M11" s="17"/>
      <c r="N11" s="34"/>
      <c r="O11" s="15"/>
      <c r="P11" s="16"/>
      <c r="Q11" s="17"/>
      <c r="R11" s="34"/>
      <c r="S11" s="15"/>
      <c r="T11" s="16"/>
    </row>
    <row r="12" spans="1:20" ht="99.95" customHeight="1" thickBot="1">
      <c r="B12" s="18" t="str">
        <f>VLOOKUP(B11,SkillTable!$A$2:$E$2200,5,FALSE)</f>
        <v>오러 매직 액셀레이터</v>
      </c>
      <c r="C12" s="19" t="str">
        <f>"MAX LV "&amp;C11</f>
        <v>MAX LV 5</v>
      </c>
      <c r="D12" s="20" t="e">
        <f>VLOOKUP(D11,SkillTable!$A$2:$E$2200,5,FALSE)</f>
        <v>#N/A</v>
      </c>
      <c r="E12" s="17"/>
      <c r="F12" s="18" t="str">
        <f>VLOOKUP(F11,SkillTable!$A$2:$E$2200,5,FALSE)</f>
        <v>기초 근력단련</v>
      </c>
      <c r="G12" s="19" t="str">
        <f>"MAX LV "&amp;G11</f>
        <v>MAX LV 5</v>
      </c>
      <c r="H12" s="20" t="str">
        <f>VLOOKUP(H11,SkillTable!$A$2:$E$2200,5,FALSE)</f>
        <v>기초 물리방어술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e">
        <f>VLOOKUP(N11,SkillTable!$A$2:$E$2200,5,FALSE)</f>
        <v>#N/A</v>
      </c>
      <c r="O12" s="19" t="str">
        <f>"MAX LV "&amp;O11</f>
        <v xml:space="preserve">MAX LV </v>
      </c>
      <c r="P12" s="20" t="e">
        <f>VLOOKUP(P11,SkillTable!$A$2:$E$2200,5,FALSE)</f>
        <v>#N/A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34"/>
      <c r="C14" s="15"/>
      <c r="D14" s="16"/>
      <c r="E14" s="17"/>
      <c r="F14" s="14">
        <v>305</v>
      </c>
      <c r="G14" s="15">
        <v>5</v>
      </c>
      <c r="H14" s="16"/>
      <c r="I14" s="17"/>
      <c r="J14" s="34"/>
      <c r="K14" s="15"/>
      <c r="L14" s="16"/>
      <c r="M14" s="17"/>
      <c r="N14" s="14">
        <v>1501</v>
      </c>
      <c r="O14" s="15">
        <v>5</v>
      </c>
      <c r="P14" s="16">
        <v>1503</v>
      </c>
      <c r="Q14" s="17"/>
      <c r="R14" s="34"/>
      <c r="S14" s="15"/>
      <c r="T14" s="16"/>
    </row>
    <row r="15" spans="1:20" ht="99.95" customHeight="1" thickBot="1">
      <c r="B15" s="18" t="e">
        <f>VLOOKUP(B14,SkillTable!$A$2:$E$2200,5,FALSE)</f>
        <v>#N/A</v>
      </c>
      <c r="C15" s="19" t="str">
        <f>"MAX LV "&amp;C14</f>
        <v xml:space="preserve">MAX LV </v>
      </c>
      <c r="D15" s="20" t="e">
        <f>VLOOKUP(D14,SkillTable!$A$2:$E$2200,5,FALSE)</f>
        <v>#N/A</v>
      </c>
      <c r="E15" s="17"/>
      <c r="F15" s="18" t="str">
        <f>VLOOKUP(F14,SkillTable!$A$2:$E$2200,5,FALSE)</f>
        <v>오러 실드 액셀레이터</v>
      </c>
      <c r="G15" s="19" t="str">
        <f>"MAX LV "&amp;G14</f>
        <v>MAX LV 5</v>
      </c>
      <c r="H15" s="20" t="e">
        <f>VLOOKUP(H14,SkillTable!$A$2:$E$2200,5,FALSE)</f>
        <v>#N/A</v>
      </c>
      <c r="I15" s="17"/>
      <c r="J15" s="18" t="e">
        <f>VLOOKUP(J14,SkillTable!$A$2:$E$2200,5,FALSE)</f>
        <v>#N/A</v>
      </c>
      <c r="K15" s="19" t="str">
        <f>"MAX LV "&amp;K14</f>
        <v xml:space="preserve">MAX LV </v>
      </c>
      <c r="L15" s="20" t="e">
        <f>VLOOKUP(L14,SkillTable!$A$2:$E$2200,5,FALSE)</f>
        <v>#N/A</v>
      </c>
      <c r="M15" s="17"/>
      <c r="N15" s="18" t="str">
        <f>VLOOKUP(N14,SkillTable!$A$2:$E$2200,5,FALSE)</f>
        <v>바인딩 서클</v>
      </c>
      <c r="O15" s="19" t="str">
        <f>"MAX LV "&amp;O14</f>
        <v>MAX LV 5</v>
      </c>
      <c r="P15" s="20" t="str">
        <f>VLOOKUP(P14,SkillTable!$A$2:$E$2200,5,FALSE)</f>
        <v>라이트닝 볼트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34"/>
      <c r="C17" s="15"/>
      <c r="D17" s="16"/>
      <c r="E17" s="17"/>
      <c r="F17" s="14">
        <v>303</v>
      </c>
      <c r="G17" s="15">
        <v>5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1900</v>
      </c>
      <c r="S17" s="15">
        <v>4</v>
      </c>
      <c r="T17" s="16">
        <v>1700</v>
      </c>
    </row>
    <row r="18" spans="1:20" ht="99.95" customHeight="1" thickBot="1">
      <c r="B18" s="18" t="e">
        <f>VLOOKUP(B17,SkillTable!$A$2:$E$2200,5,FALSE)</f>
        <v>#N/A</v>
      </c>
      <c r="C18" s="19" t="str">
        <f>"MAX LV "&amp;C17</f>
        <v xml:space="preserve">MAX LV </v>
      </c>
      <c r="D18" s="20" t="e">
        <f>VLOOKUP(D17,SkillTable!$A$2:$E$2200,5,FALSE)</f>
        <v>#N/A</v>
      </c>
      <c r="E18" s="17"/>
      <c r="F18" s="18" t="str">
        <f>VLOOKUP(F17,SkillTable!$A$2:$E$2200,5,FALSE)</f>
        <v>오러 파워 액셀레이터</v>
      </c>
      <c r="G18" s="19" t="str">
        <f>"MAX LV "&amp;G17</f>
        <v>MAX LV 5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텔레포트 연마</v>
      </c>
      <c r="S18" s="19" t="str">
        <f>"MAX LV "&amp;S17</f>
        <v>MAX LV 4</v>
      </c>
      <c r="T18" s="20" t="str">
        <f>VLOOKUP(T17,SkillTable!$A$2:$E$2200,5,FALSE)</f>
        <v>텔레포트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1504</v>
      </c>
      <c r="K20" s="15">
        <v>5</v>
      </c>
      <c r="L20" s="16">
        <v>1502</v>
      </c>
      <c r="M20" s="17"/>
      <c r="N20" s="14">
        <v>1505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거스트 스톰</v>
      </c>
      <c r="K21" s="19" t="str">
        <f>"MAX LV "&amp;K20</f>
        <v>MAX LV 5</v>
      </c>
      <c r="L21" s="20" t="str">
        <f>VLOOKUP(L20,SkillTable!$A$2:$E$2200,5,FALSE)</f>
        <v>거스트 스크류</v>
      </c>
      <c r="M21" s="17"/>
      <c r="N21" s="18" t="str">
        <f>VLOOKUP(N20,SkillTable!$A$2:$E$2200,5,FALSE)</f>
        <v>메테오 콜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29">
        <v>1701</v>
      </c>
      <c r="S23" s="30">
        <v>3</v>
      </c>
      <c r="T23" s="31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마나 실드</v>
      </c>
      <c r="S24" s="19" t="str">
        <f>"MAX LV "&amp;S23</f>
        <v>MAX LV 3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34"/>
      <c r="K26" s="15"/>
      <c r="L26" s="16"/>
      <c r="M26" s="17"/>
      <c r="N26" s="34"/>
      <c r="O26" s="15"/>
      <c r="P26" s="16"/>
      <c r="Q26" s="17"/>
      <c r="R26" s="34"/>
      <c r="S26" s="15"/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e">
        <f>VLOOKUP(J26,SkillTable!$A$2:$E$2200,5,FALSE)</f>
        <v>#N/A</v>
      </c>
      <c r="K27" s="19" t="str">
        <f>"MAX LV "&amp;K26</f>
        <v xml:space="preserve">MAX LV </v>
      </c>
      <c r="L27" s="20" t="e">
        <f>VLOOKUP(L26,SkillTable!$A$2:$E$2200,5,FALSE)</f>
        <v>#N/A</v>
      </c>
      <c r="M27" s="17"/>
      <c r="N27" s="18" t="e">
        <f>VLOOKUP(N26,SkillTable!$A$2:$E$2200,5,FALSE)</f>
        <v>#N/A</v>
      </c>
      <c r="O27" s="19" t="str">
        <f>"MAX LV "&amp;O26</f>
        <v xml:space="preserve">MAX LV </v>
      </c>
      <c r="P27" s="20" t="e">
        <f>VLOOKUP(P26,SkillTable!$A$2:$E$2200,5,FALSE)</f>
        <v>#N/A</v>
      </c>
      <c r="Q27" s="17"/>
      <c r="R27" s="18" t="e">
        <f>VLOOKUP(R26,SkillTable!$A$2:$E$2200,5,FALSE)</f>
        <v>#N/A</v>
      </c>
      <c r="S27" s="19" t="str">
        <f>"MAX LV "&amp;S26</f>
        <v xml:space="preserve">MAX LV 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34"/>
      <c r="C29" s="15"/>
      <c r="D29" s="16"/>
      <c r="E29" s="17"/>
      <c r="F29" s="34"/>
      <c r="G29" s="15"/>
      <c r="H29" s="16"/>
      <c r="I29" s="17"/>
      <c r="J29" s="34"/>
      <c r="K29" s="15"/>
      <c r="L29" s="16"/>
      <c r="M29" s="17"/>
      <c r="N29" s="34"/>
      <c r="O29" s="15"/>
      <c r="P29" s="16"/>
      <c r="Q29" s="17"/>
      <c r="R29" s="34"/>
      <c r="S29" s="15"/>
      <c r="T29" s="16"/>
    </row>
    <row r="30" spans="1:20" ht="99.95" customHeight="1" thickBot="1">
      <c r="B30" s="18" t="e">
        <f>VLOOKUP(B29,SkillTable!$A$2:$E$2200,5,FALSE)</f>
        <v>#N/A</v>
      </c>
      <c r="C30" s="19" t="str">
        <f>"MAX LV "&amp;C29</f>
        <v xml:space="preserve">MAX LV </v>
      </c>
      <c r="D30" s="20" t="e">
        <f>VLOOKUP(D29,SkillTable!$A$2:$E$2200,5,FALSE)</f>
        <v>#N/A</v>
      </c>
      <c r="E30" s="17"/>
      <c r="F30" s="18" t="e">
        <f>VLOOKUP(F29,SkillTable!$A$2:$E$2200,5,FALSE)</f>
        <v>#N/A</v>
      </c>
      <c r="G30" s="19" t="str">
        <f>"MAX LV "&amp;G29</f>
        <v xml:space="preserve">MAX LV </v>
      </c>
      <c r="H30" s="20" t="e">
        <f>VLOOKUP(H29,SkillTable!$A$2:$E$2200,5,FALSE)</f>
        <v>#N/A</v>
      </c>
      <c r="I30" s="17"/>
      <c r="J30" s="18" t="e">
        <f>VLOOKUP(J29,SkillTable!$A$2:$E$2200,5,FALSE)</f>
        <v>#N/A</v>
      </c>
      <c r="K30" s="19" t="str">
        <f>"MAX LV "&amp;K29</f>
        <v xml:space="preserve">MAX LV </v>
      </c>
      <c r="L30" s="20" t="e">
        <f>VLOOKUP(L29,SkillTable!$A$2:$E$2200,5,FALSE)</f>
        <v>#N/A</v>
      </c>
      <c r="M30" s="17"/>
      <c r="N30" s="18" t="e">
        <f>VLOOKUP(N29,SkillTable!$A$2:$E$2200,5,FALSE)</f>
        <v>#N/A</v>
      </c>
      <c r="O30" s="19" t="str">
        <f>"MAX LV "&amp;O29</f>
        <v xml:space="preserve">MAX LV 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34"/>
      <c r="K32" s="15"/>
      <c r="L32" s="16"/>
      <c r="M32" s="17"/>
      <c r="N32" s="34"/>
      <c r="O32" s="15"/>
      <c r="P32" s="16"/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e">
        <f>VLOOKUP(J32,SkillTable!$A$2:$E$2200,5,FALSE)</f>
        <v>#N/A</v>
      </c>
      <c r="K33" s="19" t="str">
        <f>"MAX LV "&amp;K32</f>
        <v xml:space="preserve">MAX LV </v>
      </c>
      <c r="L33" s="20" t="e">
        <f>VLOOKUP(L32,SkillTable!$A$2:$E$2200,5,FALSE)</f>
        <v>#N/A</v>
      </c>
      <c r="M33" s="17"/>
      <c r="N33" s="18" t="e">
        <f>VLOOKUP(N32,SkillTable!$A$2:$E$2200,5,FALSE)</f>
        <v>#N/A</v>
      </c>
      <c r="O33" s="19" t="str">
        <f>"MAX LV "&amp;O32</f>
        <v xml:space="preserve">MAX LV </v>
      </c>
      <c r="P33" s="20" t="e">
        <f>VLOOKUP(P32,SkillTable!$A$2:$E$2200,5,FALSE)</f>
        <v>#N/A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34"/>
      <c r="C35" s="15"/>
      <c r="D35" s="16"/>
      <c r="E35" s="17"/>
      <c r="F35" s="34"/>
      <c r="G35" s="15"/>
      <c r="H35" s="16"/>
      <c r="I35" s="17"/>
      <c r="J35" s="34"/>
      <c r="K35" s="15"/>
      <c r="L35" s="16"/>
      <c r="M35" s="17"/>
      <c r="N35" s="34"/>
      <c r="O35" s="15"/>
      <c r="P35" s="16"/>
      <c r="Q35" s="17"/>
      <c r="R35" s="34"/>
      <c r="S35" s="15"/>
      <c r="T35" s="16"/>
    </row>
    <row r="36" spans="1:20" ht="99.95" customHeight="1" thickBot="1">
      <c r="B36" s="18" t="e">
        <f>VLOOKUP(B35,SkillTable!$A$2:$E$2200,5,FALSE)</f>
        <v>#N/A</v>
      </c>
      <c r="C36" s="19" t="str">
        <f>"MAX LV "&amp;C35</f>
        <v xml:space="preserve">MAX LV </v>
      </c>
      <c r="D36" s="20" t="e">
        <f>VLOOKUP(D35,SkillTable!$A$2:$E$2200,5,FALSE)</f>
        <v>#N/A</v>
      </c>
      <c r="E36" s="17"/>
      <c r="F36" s="18" t="e">
        <f>VLOOKUP(F35,SkillTable!$A$2:$E$2200,5,FALSE)</f>
        <v>#N/A</v>
      </c>
      <c r="G36" s="19" t="str">
        <f>"MAX LV "&amp;G35</f>
        <v xml:space="preserve">MAX LV </v>
      </c>
      <c r="H36" s="20" t="e">
        <f>VLOOKUP(H35,SkillTable!$A$2:$E$2200,5,FALSE)</f>
        <v>#N/A</v>
      </c>
      <c r="I36" s="17"/>
      <c r="J36" s="18" t="e">
        <f>VLOOKUP(J35,SkillTable!$A$2:$E$2200,5,FALSE)</f>
        <v>#N/A</v>
      </c>
      <c r="K36" s="19" t="str">
        <f>"MAX LV "&amp;K35</f>
        <v xml:space="preserve">MAX LV </v>
      </c>
      <c r="L36" s="20" t="e">
        <f>VLOOKUP(L35,SkillTable!$A$2:$E$2200,5,FALSE)</f>
        <v>#N/A</v>
      </c>
      <c r="M36" s="17"/>
      <c r="N36" s="18" t="e">
        <f>VLOOKUP(N35,SkillTable!$A$2:$E$2200,5,FALSE)</f>
        <v>#N/A</v>
      </c>
      <c r="O36" s="19" t="str">
        <f>"MAX LV "&amp;O35</f>
        <v xml:space="preserve">MAX LV </v>
      </c>
      <c r="P36" s="20" t="e">
        <f>VLOOKUP(P35,SkillTable!$A$2:$E$2200,5,FALSE)</f>
        <v>#N/A</v>
      </c>
      <c r="Q36" s="17"/>
      <c r="R36" s="18" t="e">
        <f>VLOOKUP(R35,SkillTable!$A$2:$E$2200,5,FALSE)</f>
        <v>#N/A</v>
      </c>
      <c r="S36" s="19" t="str">
        <f>"MAX LV "&amp;S35</f>
        <v xml:space="preserve">MAX LV </v>
      </c>
      <c r="T36" s="20" t="e">
        <f>VLOOKUP(T35,SkillTable!$A$2:$E$2200,5,FALSE)</f>
        <v>#N/A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34"/>
      <c r="G38" s="15"/>
      <c r="H38" s="16"/>
      <c r="I38" s="17"/>
      <c r="J38" s="34"/>
      <c r="K38" s="15"/>
      <c r="L38" s="16"/>
      <c r="M38" s="17"/>
      <c r="N38" s="34"/>
      <c r="O38" s="15"/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e">
        <f>VLOOKUP(F38,SkillTable!$A$2:$E$2200,5,FALSE)</f>
        <v>#N/A</v>
      </c>
      <c r="G39" s="19" t="str">
        <f>"MAX LV "&amp;G38</f>
        <v xml:space="preserve">MAX LV </v>
      </c>
      <c r="H39" s="20" t="e">
        <f>VLOOKUP(H38,SkillTable!$A$2:$E$2200,5,FALSE)</f>
        <v>#N/A</v>
      </c>
      <c r="I39" s="17"/>
      <c r="J39" s="18" t="e">
        <f>VLOOKUP(J38,SkillTable!$A$2:$E$2200,5,FALSE)</f>
        <v>#N/A</v>
      </c>
      <c r="K39" s="19" t="str">
        <f>"MAX LV "&amp;K38</f>
        <v xml:space="preserve">MAX LV </v>
      </c>
      <c r="L39" s="20" t="e">
        <f>VLOOKUP(L38,SkillTable!$A$2:$E$2200,5,FALSE)</f>
        <v>#N/A</v>
      </c>
      <c r="M39" s="17"/>
      <c r="N39" s="18" t="e">
        <f>VLOOKUP(N38,SkillTable!$A$2:$E$2200,5,FALSE)</f>
        <v>#N/A</v>
      </c>
      <c r="O39" s="19" t="str">
        <f>"MAX LV "&amp;O38</f>
        <v xml:space="preserve">MAX LV 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34"/>
      <c r="K41" s="15"/>
      <c r="L41" s="16"/>
      <c r="M41" s="17"/>
      <c r="N41" s="34"/>
      <c r="O41" s="15"/>
      <c r="P41" s="16"/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e">
        <f>VLOOKUP(J41,SkillTable!$A$2:$E$2200,5,FALSE)</f>
        <v>#N/A</v>
      </c>
      <c r="K42" s="19" t="str">
        <f>"MAX LV "&amp;K41</f>
        <v xml:space="preserve">MAX LV </v>
      </c>
      <c r="L42" s="20" t="e">
        <f>VLOOKUP(L41,SkillTable!$A$2:$E$2200,5,FALSE)</f>
        <v>#N/A</v>
      </c>
      <c r="M42" s="17"/>
      <c r="N42" s="18" t="e">
        <f>VLOOKUP(N41,SkillTable!$A$2:$E$2200,5,FALSE)</f>
        <v>#N/A</v>
      </c>
      <c r="O42" s="19" t="str">
        <f>"MAX LV "&amp;O41</f>
        <v xml:space="preserve">MAX LV </v>
      </c>
      <c r="P42" s="20" t="e">
        <f>VLOOKUP(P41,SkillTable!$A$2:$E$2200,5,FALSE)</f>
        <v>#N/A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2"/>
  <dimension ref="A1:T43"/>
  <sheetViews>
    <sheetView topLeftCell="A22" zoomScale="60" zoomScaleNormal="60" workbookViewId="0">
      <selection activeCell="N26" sqref="N26:O26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14">
        <v>4</v>
      </c>
      <c r="C2" s="15">
        <v>5</v>
      </c>
      <c r="D2" s="16"/>
      <c r="E2" s="17"/>
      <c r="F2" s="35"/>
      <c r="G2" s="22"/>
      <c r="H2" s="23"/>
      <c r="I2" s="17"/>
      <c r="J2" s="14">
        <v>1500</v>
      </c>
      <c r="K2" s="15">
        <v>5</v>
      </c>
      <c r="L2" s="16"/>
      <c r="M2" s="17"/>
      <c r="N2" s="34"/>
      <c r="O2" s="15"/>
      <c r="P2" s="16"/>
      <c r="Q2" s="17"/>
      <c r="R2" s="14">
        <v>1700</v>
      </c>
      <c r="S2" s="15">
        <v>1</v>
      </c>
      <c r="T2" s="16"/>
    </row>
    <row r="3" spans="1:20" ht="99.95" customHeight="1" thickBot="1">
      <c r="B3" s="18" t="str">
        <f>VLOOKUP(B2,SkillTable!$A$2:$E$2200,5,FALSE)</f>
        <v>기초 마법방어술</v>
      </c>
      <c r="C3" s="19" t="str">
        <f>"MAX LV "&amp;C2</f>
        <v>MAX LV 5</v>
      </c>
      <c r="D3" s="20" t="e">
        <f>VLOOKUP(D2,SkillTable!$A$2:$E$2200,5,FALSE)</f>
        <v>#N/A</v>
      </c>
      <c r="E3" s="17"/>
      <c r="F3" s="18" t="e">
        <f>VLOOKUP(F2,SkillTable!$A$2:$E$2200,5,FALSE)</f>
        <v>#N/A</v>
      </c>
      <c r="G3" s="19" t="str">
        <f>"MAX LV "&amp;G2</f>
        <v xml:space="preserve">MAX LV </v>
      </c>
      <c r="H3" s="20" t="e">
        <f>VLOOKUP(H2,SkillTable!$A$2:$E$2200,5,FALSE)</f>
        <v>#N/A</v>
      </c>
      <c r="I3" s="17"/>
      <c r="J3" s="18" t="str">
        <f>VLOOKUP(J2,SkillTable!$A$2:$E$2200,5,FALSE)</f>
        <v>체인 파이어볼</v>
      </c>
      <c r="K3" s="19" t="str">
        <f>"MAX LV "&amp;K2</f>
        <v>MAX LV 5</v>
      </c>
      <c r="L3" s="20" t="e">
        <f>VLOOKUP(L2,SkillTable!$A$2:$E$2200,5,FALSE)</f>
        <v>#N/A</v>
      </c>
      <c r="M3" s="17"/>
      <c r="N3" s="18" t="e">
        <f>VLOOKUP(N2,SkillTable!$A$2:$E$2200,5,FALSE)</f>
        <v>#N/A</v>
      </c>
      <c r="O3" s="19" t="str">
        <f>"MAX LV "&amp;O2</f>
        <v xml:space="preserve">MAX LV </v>
      </c>
      <c r="P3" s="20" t="e">
        <f>VLOOKUP(P2,SkillTable!$A$2:$E$2200,5,FALSE)</f>
        <v>#N/A</v>
      </c>
      <c r="Q3" s="17"/>
      <c r="R3" s="18" t="str">
        <f>VLOOKUP(R2,SkillTable!$A$2:$E$2200,5,FALSE)</f>
        <v>텔레포트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34"/>
      <c r="C5" s="15"/>
      <c r="D5" s="16"/>
      <c r="E5" s="17"/>
      <c r="F5" s="14">
        <v>3</v>
      </c>
      <c r="G5" s="15">
        <v>5</v>
      </c>
      <c r="H5" s="16"/>
      <c r="I5" s="17"/>
      <c r="J5" s="14">
        <v>1502</v>
      </c>
      <c r="K5" s="15">
        <v>5</v>
      </c>
      <c r="L5" s="16"/>
      <c r="M5" s="17"/>
      <c r="N5" s="34"/>
      <c r="O5" s="15"/>
      <c r="P5" s="16"/>
      <c r="Q5" s="17"/>
      <c r="R5" s="14"/>
      <c r="S5" s="15"/>
      <c r="T5" s="16"/>
    </row>
    <row r="6" spans="1:20" ht="99.95" customHeight="1" thickBot="1">
      <c r="B6" s="18" t="e">
        <f>VLOOKUP(B5,SkillTable!$A$2:$E$2200,5,FALSE)</f>
        <v>#N/A</v>
      </c>
      <c r="C6" s="19" t="str">
        <f>"MAX LV "&amp;C5</f>
        <v xml:space="preserve">MAX LV </v>
      </c>
      <c r="D6" s="20" t="e">
        <f>VLOOKUP(D5,SkillTable!$A$2:$E$2200,5,FALSE)</f>
        <v>#N/A</v>
      </c>
      <c r="E6" s="17"/>
      <c r="F6" s="18" t="str">
        <f>VLOOKUP(F5,SkillTable!$A$2:$E$2200,5,FALSE)</f>
        <v>기초 물리방어술</v>
      </c>
      <c r="G6" s="19" t="str">
        <f>"MAX LV "&amp;G5</f>
        <v>MAX LV 5</v>
      </c>
      <c r="H6" s="20" t="e">
        <f>VLOOKUP(H5,SkillTable!$A$2:$E$2200,5,FALSE)</f>
        <v>#N/A</v>
      </c>
      <c r="I6" s="17"/>
      <c r="J6" s="18" t="str">
        <f>VLOOKUP(J5,SkillTable!$A$2:$E$2200,5,FALSE)</f>
        <v>거스트 스크류</v>
      </c>
      <c r="K6" s="19" t="str">
        <f>"MAX LV "&amp;K5</f>
        <v>MAX LV 5</v>
      </c>
      <c r="L6" s="20" t="e">
        <f>VLOOKUP(L5,SkillTable!$A$2:$E$2200,5,FALSE)</f>
        <v>#N/A</v>
      </c>
      <c r="M6" s="17"/>
      <c r="N6" s="18" t="e">
        <f>VLOOKUP(N5,SkillTable!$A$2:$E$2200,5,FALSE)</f>
        <v>#N/A</v>
      </c>
      <c r="O6" s="19" t="str">
        <f>"MAX LV "&amp;O5</f>
        <v xml:space="preserve">MAX LV 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14">
        <v>2</v>
      </c>
      <c r="C8" s="15">
        <v>5</v>
      </c>
      <c r="D8" s="16">
        <v>4</v>
      </c>
      <c r="E8" s="17"/>
      <c r="F8" s="34"/>
      <c r="G8" s="15"/>
      <c r="H8" s="16"/>
      <c r="I8" s="17"/>
      <c r="J8" s="34"/>
      <c r="K8" s="15"/>
      <c r="L8" s="16"/>
      <c r="M8" s="17"/>
      <c r="N8" s="14">
        <v>1503</v>
      </c>
      <c r="O8" s="15">
        <v>5</v>
      </c>
      <c r="P8" s="16"/>
      <c r="Q8" s="17"/>
      <c r="R8" s="34"/>
      <c r="S8" s="15"/>
      <c r="T8" s="16"/>
    </row>
    <row r="9" spans="1:20" ht="99.95" customHeight="1" thickBot="1">
      <c r="B9" s="18" t="str">
        <f>VLOOKUP(B8,SkillTable!$A$2:$E$2200,5,FALSE)</f>
        <v>기초 마법수련</v>
      </c>
      <c r="C9" s="19" t="str">
        <f>"MAX LV "&amp;C8</f>
        <v>MAX LV 5</v>
      </c>
      <c r="D9" s="20" t="str">
        <f>VLOOKUP(D8,SkillTable!$A$2:$E$2200,5,FALSE)</f>
        <v>기초 마법방어술</v>
      </c>
      <c r="E9" s="17"/>
      <c r="F9" s="18" t="e">
        <f>VLOOKUP(F8,SkillTable!$A$2:$E$2200,5,FALSE)</f>
        <v>#N/A</v>
      </c>
      <c r="G9" s="19" t="str">
        <f>"MAX LV "&amp;G8</f>
        <v xml:space="preserve">MAX LV </v>
      </c>
      <c r="H9" s="20" t="e">
        <f>VLOOKUP(H8,SkillTable!$A$2:$E$2200,5,FALSE)</f>
        <v>#N/A</v>
      </c>
      <c r="I9" s="17"/>
      <c r="J9" s="18" t="e">
        <f>VLOOKUP(J8,SkillTable!$A$2:$E$2200,5,FALSE)</f>
        <v>#N/A</v>
      </c>
      <c r="K9" s="19" t="str">
        <f>"MAX LV "&amp;K8</f>
        <v xml:space="preserve">MAX LV </v>
      </c>
      <c r="L9" s="20" t="e">
        <f>VLOOKUP(L8,SkillTable!$A$2:$E$2200,5,FALSE)</f>
        <v>#N/A</v>
      </c>
      <c r="M9" s="17"/>
      <c r="N9" s="18" t="str">
        <f>VLOOKUP(N8,SkillTable!$A$2:$E$2200,5,FALSE)</f>
        <v>라이트닝 볼트</v>
      </c>
      <c r="O9" s="19" t="str">
        <f>"MAX LV "&amp;O8</f>
        <v>MAX LV 5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14">
        <v>304</v>
      </c>
      <c r="C11" s="15">
        <v>5</v>
      </c>
      <c r="D11" s="16"/>
      <c r="E11" s="17"/>
      <c r="F11" s="14">
        <v>1</v>
      </c>
      <c r="G11" s="15">
        <v>5</v>
      </c>
      <c r="H11" s="16">
        <v>3</v>
      </c>
      <c r="I11" s="17"/>
      <c r="J11" s="34"/>
      <c r="K11" s="15"/>
      <c r="L11" s="16"/>
      <c r="M11" s="17"/>
      <c r="N11" s="34"/>
      <c r="O11" s="15"/>
      <c r="P11" s="16"/>
      <c r="Q11" s="17"/>
      <c r="R11" s="34"/>
      <c r="S11" s="15"/>
      <c r="T11" s="16"/>
    </row>
    <row r="12" spans="1:20" ht="99.95" customHeight="1" thickBot="1">
      <c r="B12" s="18" t="str">
        <f>VLOOKUP(B11,SkillTable!$A$2:$E$2200,5,FALSE)</f>
        <v>오러 매직 액셀레이터</v>
      </c>
      <c r="C12" s="19" t="str">
        <f>"MAX LV "&amp;C11</f>
        <v>MAX LV 5</v>
      </c>
      <c r="D12" s="20" t="e">
        <f>VLOOKUP(D11,SkillTable!$A$2:$E$2200,5,FALSE)</f>
        <v>#N/A</v>
      </c>
      <c r="E12" s="17"/>
      <c r="F12" s="18" t="str">
        <f>VLOOKUP(F11,SkillTable!$A$2:$E$2200,5,FALSE)</f>
        <v>기초 근력단련</v>
      </c>
      <c r="G12" s="19" t="str">
        <f>"MAX LV "&amp;G11</f>
        <v>MAX LV 5</v>
      </c>
      <c r="H12" s="20" t="str">
        <f>VLOOKUP(H11,SkillTable!$A$2:$E$2200,5,FALSE)</f>
        <v>기초 물리방어술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e">
        <f>VLOOKUP(N11,SkillTable!$A$2:$E$2200,5,FALSE)</f>
        <v>#N/A</v>
      </c>
      <c r="O12" s="19" t="str">
        <f>"MAX LV "&amp;O11</f>
        <v xml:space="preserve">MAX LV </v>
      </c>
      <c r="P12" s="20" t="e">
        <f>VLOOKUP(P11,SkillTable!$A$2:$E$2200,5,FALSE)</f>
        <v>#N/A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34"/>
      <c r="C14" s="15"/>
      <c r="D14" s="16"/>
      <c r="E14" s="17"/>
      <c r="F14" s="14">
        <v>305</v>
      </c>
      <c r="G14" s="15">
        <v>5</v>
      </c>
      <c r="H14" s="16"/>
      <c r="I14" s="17"/>
      <c r="J14" s="34"/>
      <c r="K14" s="15"/>
      <c r="L14" s="16"/>
      <c r="M14" s="17"/>
      <c r="N14" s="14">
        <v>1501</v>
      </c>
      <c r="O14" s="15">
        <v>5</v>
      </c>
      <c r="P14" s="16">
        <v>1503</v>
      </c>
      <c r="Q14" s="17"/>
      <c r="R14" s="34"/>
      <c r="S14" s="15"/>
      <c r="T14" s="16"/>
    </row>
    <row r="15" spans="1:20" ht="99.95" customHeight="1" thickBot="1">
      <c r="B15" s="18" t="e">
        <f>VLOOKUP(B14,SkillTable!$A$2:$E$2200,5,FALSE)</f>
        <v>#N/A</v>
      </c>
      <c r="C15" s="19" t="str">
        <f>"MAX LV "&amp;C14</f>
        <v xml:space="preserve">MAX LV </v>
      </c>
      <c r="D15" s="20" t="e">
        <f>VLOOKUP(D14,SkillTable!$A$2:$E$2200,5,FALSE)</f>
        <v>#N/A</v>
      </c>
      <c r="E15" s="17"/>
      <c r="F15" s="18" t="str">
        <f>VLOOKUP(F14,SkillTable!$A$2:$E$2200,5,FALSE)</f>
        <v>오러 실드 액셀레이터</v>
      </c>
      <c r="G15" s="19" t="str">
        <f>"MAX LV "&amp;G14</f>
        <v>MAX LV 5</v>
      </c>
      <c r="H15" s="20" t="e">
        <f>VLOOKUP(H14,SkillTable!$A$2:$E$2200,5,FALSE)</f>
        <v>#N/A</v>
      </c>
      <c r="I15" s="17"/>
      <c r="J15" s="18" t="e">
        <f>VLOOKUP(J14,SkillTable!$A$2:$E$2200,5,FALSE)</f>
        <v>#N/A</v>
      </c>
      <c r="K15" s="19" t="str">
        <f>"MAX LV "&amp;K14</f>
        <v xml:space="preserve">MAX LV </v>
      </c>
      <c r="L15" s="20" t="e">
        <f>VLOOKUP(L14,SkillTable!$A$2:$E$2200,5,FALSE)</f>
        <v>#N/A</v>
      </c>
      <c r="M15" s="17"/>
      <c r="N15" s="18" t="str">
        <f>VLOOKUP(N14,SkillTable!$A$2:$E$2200,5,FALSE)</f>
        <v>바인딩 서클</v>
      </c>
      <c r="O15" s="19" t="str">
        <f>"MAX LV "&amp;O14</f>
        <v>MAX LV 5</v>
      </c>
      <c r="P15" s="20" t="str">
        <f>VLOOKUP(P14,SkillTable!$A$2:$E$2200,5,FALSE)</f>
        <v>라이트닝 볼트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34"/>
      <c r="C17" s="15"/>
      <c r="D17" s="16"/>
      <c r="E17" s="17"/>
      <c r="F17" s="14">
        <v>303</v>
      </c>
      <c r="G17" s="15">
        <v>5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1900</v>
      </c>
      <c r="S17" s="15">
        <v>4</v>
      </c>
      <c r="T17" s="16">
        <v>1700</v>
      </c>
    </row>
    <row r="18" spans="1:20" ht="99.95" customHeight="1" thickBot="1">
      <c r="B18" s="18" t="e">
        <f>VLOOKUP(B17,SkillTable!$A$2:$E$2200,5,FALSE)</f>
        <v>#N/A</v>
      </c>
      <c r="C18" s="19" t="str">
        <f>"MAX LV "&amp;C17</f>
        <v xml:space="preserve">MAX LV </v>
      </c>
      <c r="D18" s="20" t="e">
        <f>VLOOKUP(D17,SkillTable!$A$2:$E$2200,5,FALSE)</f>
        <v>#N/A</v>
      </c>
      <c r="E18" s="17"/>
      <c r="F18" s="18" t="str">
        <f>VLOOKUP(F17,SkillTable!$A$2:$E$2200,5,FALSE)</f>
        <v>오러 파워 액셀레이터</v>
      </c>
      <c r="G18" s="19" t="str">
        <f>"MAX LV "&amp;G17</f>
        <v>MAX LV 5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텔레포트 연마</v>
      </c>
      <c r="S18" s="19" t="str">
        <f>"MAX LV "&amp;S17</f>
        <v>MAX LV 4</v>
      </c>
      <c r="T18" s="20" t="str">
        <f>VLOOKUP(T17,SkillTable!$A$2:$E$2200,5,FALSE)</f>
        <v>텔레포트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1504</v>
      </c>
      <c r="K20" s="15">
        <v>5</v>
      </c>
      <c r="L20" s="16">
        <v>1502</v>
      </c>
      <c r="M20" s="17"/>
      <c r="N20" s="14">
        <v>1505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거스트 스톰</v>
      </c>
      <c r="K21" s="19" t="str">
        <f>"MAX LV "&amp;K20</f>
        <v>MAX LV 5</v>
      </c>
      <c r="L21" s="20" t="str">
        <f>VLOOKUP(L20,SkillTable!$A$2:$E$2200,5,FALSE)</f>
        <v>거스트 스크류</v>
      </c>
      <c r="M21" s="17"/>
      <c r="N21" s="18" t="str">
        <f>VLOOKUP(N20,SkillTable!$A$2:$E$2200,5,FALSE)</f>
        <v>메테오 콜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29">
        <v>1701</v>
      </c>
      <c r="S23" s="30">
        <v>3</v>
      </c>
      <c r="T23" s="31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마나 실드</v>
      </c>
      <c r="S24" s="19" t="str">
        <f>"MAX LV "&amp;S23</f>
        <v>MAX LV 3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14">
        <v>1506</v>
      </c>
      <c r="K26" s="15">
        <v>5</v>
      </c>
      <c r="L26" s="16"/>
      <c r="M26" s="17"/>
      <c r="N26" s="34"/>
      <c r="O26" s="15"/>
      <c r="P26" s="16"/>
      <c r="Q26" s="17"/>
      <c r="R26" s="34">
        <v>1703</v>
      </c>
      <c r="S26" s="15">
        <v>5</v>
      </c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str">
        <f>VLOOKUP(J26,SkillTable!$A$2:$E$2200,5,FALSE)</f>
        <v>체인 버스트</v>
      </c>
      <c r="K27" s="19" t="str">
        <f>"MAX LV "&amp;K26</f>
        <v>MAX LV 5</v>
      </c>
      <c r="L27" s="20" t="e">
        <f>VLOOKUP(L26,SkillTable!$A$2:$E$2200,5,FALSE)</f>
        <v>#N/A</v>
      </c>
      <c r="M27" s="17"/>
      <c r="N27" s="18" t="e">
        <f>VLOOKUP(N26,SkillTable!$A$2:$E$2200,5,FALSE)</f>
        <v>#N/A</v>
      </c>
      <c r="O27" s="19" t="str">
        <f>"MAX LV "&amp;O26</f>
        <v xml:space="preserve">MAX LV </v>
      </c>
      <c r="P27" s="20" t="e">
        <f>VLOOKUP(P26,SkillTable!$A$2:$E$2200,5,FALSE)</f>
        <v>#N/A</v>
      </c>
      <c r="Q27" s="17"/>
      <c r="R27" s="18" t="str">
        <f>VLOOKUP(R26,SkillTable!$A$2:$E$2200,5,FALSE)</f>
        <v>메디테이션</v>
      </c>
      <c r="S27" s="19" t="str">
        <f>"MAX LV "&amp;S26</f>
        <v>MAX LV 5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34"/>
      <c r="C29" s="15"/>
      <c r="D29" s="16"/>
      <c r="E29" s="17"/>
      <c r="F29" s="14">
        <v>6</v>
      </c>
      <c r="G29" s="15">
        <v>5</v>
      </c>
      <c r="H29" s="16"/>
      <c r="I29" s="17"/>
      <c r="J29" s="14">
        <v>1901</v>
      </c>
      <c r="K29" s="15">
        <v>5</v>
      </c>
      <c r="L29" s="16"/>
      <c r="M29" s="17"/>
      <c r="N29" s="34"/>
      <c r="O29" s="15"/>
      <c r="P29" s="16"/>
      <c r="Q29" s="17"/>
      <c r="R29" s="34"/>
      <c r="S29" s="15"/>
      <c r="T29" s="16"/>
    </row>
    <row r="30" spans="1:20" ht="99.95" customHeight="1" thickBot="1">
      <c r="B30" s="18" t="e">
        <f>VLOOKUP(B29,SkillTable!$A$2:$E$2200,5,FALSE)</f>
        <v>#N/A</v>
      </c>
      <c r="C30" s="19" t="str">
        <f>"MAX LV "&amp;C29</f>
        <v xml:space="preserve">MAX LV </v>
      </c>
      <c r="D30" s="20" t="e">
        <f>VLOOKUP(D29,SkillTable!$A$2:$E$2200,5,FALSE)</f>
        <v>#N/A</v>
      </c>
      <c r="E30" s="17"/>
      <c r="F30" s="18" t="str">
        <f>VLOOKUP(F29,SkillTable!$A$2:$E$2200,5,FALSE)</f>
        <v>중급 마법수련</v>
      </c>
      <c r="G30" s="19" t="str">
        <f>"MAX LV "&amp;G29</f>
        <v>MAX LV 5</v>
      </c>
      <c r="H30" s="20" t="e">
        <f>VLOOKUP(H29,SkillTable!$A$2:$E$2200,5,FALSE)</f>
        <v>#N/A</v>
      </c>
      <c r="I30" s="17"/>
      <c r="J30" s="18" t="str">
        <f>VLOOKUP(J29,SkillTable!$A$2:$E$2200,5,FALSE)</f>
        <v>파이어볼 연마</v>
      </c>
      <c r="K30" s="19" t="str">
        <f>"MAX LV "&amp;K29</f>
        <v>MAX LV 5</v>
      </c>
      <c r="L30" s="20" t="e">
        <f>VLOOKUP(L29,SkillTable!$A$2:$E$2200,5,FALSE)</f>
        <v>#N/A</v>
      </c>
      <c r="M30" s="17"/>
      <c r="N30" s="18" t="e">
        <f>VLOOKUP(N29,SkillTable!$A$2:$E$2200,5,FALSE)</f>
        <v>#N/A</v>
      </c>
      <c r="O30" s="19" t="str">
        <f>"MAX LV "&amp;O29</f>
        <v xml:space="preserve">MAX LV 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14">
        <v>1507</v>
      </c>
      <c r="K32" s="15">
        <v>5</v>
      </c>
      <c r="L32" s="16"/>
      <c r="M32" s="17"/>
      <c r="N32" s="34"/>
      <c r="O32" s="15"/>
      <c r="P32" s="16"/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str">
        <f>VLOOKUP(J32,SkillTable!$A$2:$E$2200,5,FALSE)</f>
        <v>매직 미사일</v>
      </c>
      <c r="K33" s="19" t="str">
        <f>"MAX LV "&amp;K32</f>
        <v>MAX LV 5</v>
      </c>
      <c r="L33" s="20" t="e">
        <f>VLOOKUP(L32,SkillTable!$A$2:$E$2200,5,FALSE)</f>
        <v>#N/A</v>
      </c>
      <c r="M33" s="17"/>
      <c r="N33" s="18" t="e">
        <f>VLOOKUP(N32,SkillTable!$A$2:$E$2200,5,FALSE)</f>
        <v>#N/A</v>
      </c>
      <c r="O33" s="19" t="str">
        <f>"MAX LV "&amp;O32</f>
        <v xml:space="preserve">MAX LV </v>
      </c>
      <c r="P33" s="20" t="e">
        <f>VLOOKUP(P32,SkillTable!$A$2:$E$2200,5,FALSE)</f>
        <v>#N/A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34"/>
      <c r="C35" s="15"/>
      <c r="D35" s="16"/>
      <c r="E35" s="17"/>
      <c r="F35" s="14">
        <v>307</v>
      </c>
      <c r="G35" s="15">
        <v>5</v>
      </c>
      <c r="H35" s="16">
        <v>6</v>
      </c>
      <c r="I35" s="17"/>
      <c r="J35" s="14">
        <v>13</v>
      </c>
      <c r="K35" s="15">
        <v>5</v>
      </c>
      <c r="L35" s="16"/>
      <c r="M35" s="17"/>
      <c r="N35" s="34"/>
      <c r="O35" s="15"/>
      <c r="P35" s="16"/>
      <c r="Q35" s="17"/>
      <c r="R35" s="14">
        <v>1702</v>
      </c>
      <c r="S35" s="15">
        <v>3</v>
      </c>
      <c r="T35" s="16"/>
    </row>
    <row r="36" spans="1:20" ht="99.95" customHeight="1" thickBot="1">
      <c r="B36" s="18" t="e">
        <f>VLOOKUP(B35,SkillTable!$A$2:$E$2200,5,FALSE)</f>
        <v>#N/A</v>
      </c>
      <c r="C36" s="19" t="str">
        <f>"MAX LV "&amp;C35</f>
        <v xml:space="preserve">MAX LV </v>
      </c>
      <c r="D36" s="20" t="e">
        <f>VLOOKUP(D35,SkillTable!$A$2:$E$2200,5,FALSE)</f>
        <v>#N/A</v>
      </c>
      <c r="E36" s="17"/>
      <c r="F36" s="18" t="str">
        <f>VLOOKUP(F35,SkillTable!$A$2:$E$2200,5,FALSE)</f>
        <v>매직 아드레날린</v>
      </c>
      <c r="G36" s="19" t="str">
        <f>"MAX LV "&amp;G35</f>
        <v>MAX LV 5</v>
      </c>
      <c r="H36" s="20" t="str">
        <f>VLOOKUP(H35,SkillTable!$A$2:$E$2200,5,FALSE)</f>
        <v>중급 마법수련</v>
      </c>
      <c r="I36" s="17"/>
      <c r="J36" s="18" t="str">
        <f>VLOOKUP(J35,SkillTable!$A$2:$E$2200,5,FALSE)</f>
        <v>격려의 기운</v>
      </c>
      <c r="K36" s="19" t="str">
        <f>"MAX LV "&amp;K35</f>
        <v>MAX LV 5</v>
      </c>
      <c r="L36" s="20" t="e">
        <f>VLOOKUP(L35,SkillTable!$A$2:$E$2200,5,FALSE)</f>
        <v>#N/A</v>
      </c>
      <c r="M36" s="17"/>
      <c r="N36" s="18" t="e">
        <f>VLOOKUP(N35,SkillTable!$A$2:$E$2200,5,FALSE)</f>
        <v>#N/A</v>
      </c>
      <c r="O36" s="19" t="str">
        <f>"MAX LV "&amp;O35</f>
        <v xml:space="preserve">MAX LV </v>
      </c>
      <c r="P36" s="20" t="e">
        <f>VLOOKUP(P35,SkillTable!$A$2:$E$2200,5,FALSE)</f>
        <v>#N/A</v>
      </c>
      <c r="Q36" s="17"/>
      <c r="R36" s="18" t="str">
        <f>VLOOKUP(R35,SkillTable!$A$2:$E$2200,5,FALSE)</f>
        <v>서클 플레임</v>
      </c>
      <c r="S36" s="19" t="str">
        <f>"MAX LV "&amp;S35</f>
        <v>MAX LV 3</v>
      </c>
      <c r="T36" s="20" t="e">
        <f>VLOOKUP(T35,SkillTable!$A$2:$E$2200,5,FALSE)</f>
        <v>#N/A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14">
        <v>14</v>
      </c>
      <c r="G38" s="15">
        <v>5</v>
      </c>
      <c r="H38" s="16"/>
      <c r="I38" s="17"/>
      <c r="J38" s="34"/>
      <c r="K38" s="15"/>
      <c r="L38" s="16"/>
      <c r="M38" s="17"/>
      <c r="N38" s="34">
        <v>1512</v>
      </c>
      <c r="O38" s="15">
        <v>5</v>
      </c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str">
        <f>VLOOKUP(F38,SkillTable!$A$2:$E$2200,5,FALSE)</f>
        <v>끝없는 마력</v>
      </c>
      <c r="G39" s="19" t="str">
        <f>"MAX LV "&amp;G38</f>
        <v>MAX LV 5</v>
      </c>
      <c r="H39" s="20" t="e">
        <f>VLOOKUP(H38,SkillTable!$A$2:$E$2200,5,FALSE)</f>
        <v>#N/A</v>
      </c>
      <c r="I39" s="17"/>
      <c r="J39" s="18" t="e">
        <f>VLOOKUP(J38,SkillTable!$A$2:$E$2200,5,FALSE)</f>
        <v>#N/A</v>
      </c>
      <c r="K39" s="19" t="str">
        <f>"MAX LV "&amp;K38</f>
        <v xml:space="preserve">MAX LV </v>
      </c>
      <c r="L39" s="20" t="e">
        <f>VLOOKUP(L38,SkillTable!$A$2:$E$2200,5,FALSE)</f>
        <v>#N/A</v>
      </c>
      <c r="M39" s="17"/>
      <c r="N39" s="18" t="str">
        <f>VLOOKUP(N38,SkillTable!$A$2:$E$2200,5,FALSE)</f>
        <v>블리자드 샤워</v>
      </c>
      <c r="O39" s="19" t="str">
        <f>"MAX LV "&amp;O38</f>
        <v>MAX LV 5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14">
        <v>1508</v>
      </c>
      <c r="K41" s="15">
        <v>5</v>
      </c>
      <c r="L41" s="16"/>
      <c r="M41" s="17"/>
      <c r="N41" s="34"/>
      <c r="O41" s="15"/>
      <c r="P41" s="16"/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str">
        <f>VLOOKUP(J41,SkillTable!$A$2:$E$2200,5,FALSE)</f>
        <v>인퍼널 웨이브</v>
      </c>
      <c r="K42" s="19" t="str">
        <f>"MAX LV "&amp;K41</f>
        <v>MAX LV 5</v>
      </c>
      <c r="L42" s="20" t="e">
        <f>VLOOKUP(L41,SkillTable!$A$2:$E$2200,5,FALSE)</f>
        <v>#N/A</v>
      </c>
      <c r="M42" s="17"/>
      <c r="N42" s="18" t="e">
        <f>VLOOKUP(N41,SkillTable!$A$2:$E$2200,5,FALSE)</f>
        <v>#N/A</v>
      </c>
      <c r="O42" s="19" t="str">
        <f>"MAX LV "&amp;O41</f>
        <v xml:space="preserve">MAX LV </v>
      </c>
      <c r="P42" s="20" t="e">
        <f>VLOOKUP(P41,SkillTable!$A$2:$E$2200,5,FALSE)</f>
        <v>#N/A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3"/>
  <dimension ref="A1:T43"/>
  <sheetViews>
    <sheetView topLeftCell="A22" zoomScale="60" zoomScaleNormal="60" workbookViewId="0">
      <selection activeCell="J26" sqref="J26:K26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14">
        <v>4</v>
      </c>
      <c r="C2" s="15">
        <v>5</v>
      </c>
      <c r="D2" s="16"/>
      <c r="E2" s="17"/>
      <c r="F2" s="35"/>
      <c r="G2" s="22"/>
      <c r="H2" s="23"/>
      <c r="I2" s="17"/>
      <c r="J2" s="14">
        <v>1500</v>
      </c>
      <c r="K2" s="15">
        <v>5</v>
      </c>
      <c r="L2" s="16"/>
      <c r="M2" s="17"/>
      <c r="N2" s="34"/>
      <c r="O2" s="15"/>
      <c r="P2" s="16"/>
      <c r="Q2" s="17"/>
      <c r="R2" s="14">
        <v>1700</v>
      </c>
      <c r="S2" s="15">
        <v>1</v>
      </c>
      <c r="T2" s="16"/>
    </row>
    <row r="3" spans="1:20" ht="99.95" customHeight="1" thickBot="1">
      <c r="B3" s="18" t="str">
        <f>VLOOKUP(B2,SkillTable!$A$2:$E$2200,5,FALSE)</f>
        <v>기초 마법방어술</v>
      </c>
      <c r="C3" s="19" t="str">
        <f>"MAX LV "&amp;C2</f>
        <v>MAX LV 5</v>
      </c>
      <c r="D3" s="20" t="e">
        <f>VLOOKUP(D2,SkillTable!$A$2:$E$2200,5,FALSE)</f>
        <v>#N/A</v>
      </c>
      <c r="E3" s="17"/>
      <c r="F3" s="18" t="e">
        <f>VLOOKUP(F2,SkillTable!$A$2:$E$2200,5,FALSE)</f>
        <v>#N/A</v>
      </c>
      <c r="G3" s="19" t="str">
        <f>"MAX LV "&amp;G2</f>
        <v xml:space="preserve">MAX LV </v>
      </c>
      <c r="H3" s="20" t="e">
        <f>VLOOKUP(H2,SkillTable!$A$2:$E$2200,5,FALSE)</f>
        <v>#N/A</v>
      </c>
      <c r="I3" s="17"/>
      <c r="J3" s="18" t="str">
        <f>VLOOKUP(J2,SkillTable!$A$2:$E$2200,5,FALSE)</f>
        <v>체인 파이어볼</v>
      </c>
      <c r="K3" s="19" t="str">
        <f>"MAX LV "&amp;K2</f>
        <v>MAX LV 5</v>
      </c>
      <c r="L3" s="20" t="e">
        <f>VLOOKUP(L2,SkillTable!$A$2:$E$2200,5,FALSE)</f>
        <v>#N/A</v>
      </c>
      <c r="M3" s="17"/>
      <c r="N3" s="18" t="e">
        <f>VLOOKUP(N2,SkillTable!$A$2:$E$2200,5,FALSE)</f>
        <v>#N/A</v>
      </c>
      <c r="O3" s="19" t="str">
        <f>"MAX LV "&amp;O2</f>
        <v xml:space="preserve">MAX LV </v>
      </c>
      <c r="P3" s="20" t="e">
        <f>VLOOKUP(P2,SkillTable!$A$2:$E$2200,5,FALSE)</f>
        <v>#N/A</v>
      </c>
      <c r="Q3" s="17"/>
      <c r="R3" s="18" t="str">
        <f>VLOOKUP(R2,SkillTable!$A$2:$E$2200,5,FALSE)</f>
        <v>텔레포트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34"/>
      <c r="C5" s="15"/>
      <c r="D5" s="16"/>
      <c r="E5" s="17"/>
      <c r="F5" s="14">
        <v>3</v>
      </c>
      <c r="G5" s="15">
        <v>5</v>
      </c>
      <c r="H5" s="16"/>
      <c r="I5" s="17"/>
      <c r="J5" s="14">
        <v>1502</v>
      </c>
      <c r="K5" s="15">
        <v>5</v>
      </c>
      <c r="L5" s="16"/>
      <c r="M5" s="17"/>
      <c r="N5" s="34"/>
      <c r="O5" s="15"/>
      <c r="P5" s="16"/>
      <c r="Q5" s="17"/>
      <c r="R5" s="14"/>
      <c r="S5" s="15"/>
      <c r="T5" s="16"/>
    </row>
    <row r="6" spans="1:20" ht="99.95" customHeight="1" thickBot="1">
      <c r="B6" s="18" t="e">
        <f>VLOOKUP(B5,SkillTable!$A$2:$E$2200,5,FALSE)</f>
        <v>#N/A</v>
      </c>
      <c r="C6" s="19" t="str">
        <f>"MAX LV "&amp;C5</f>
        <v xml:space="preserve">MAX LV </v>
      </c>
      <c r="D6" s="20" t="e">
        <f>VLOOKUP(D5,SkillTable!$A$2:$E$2200,5,FALSE)</f>
        <v>#N/A</v>
      </c>
      <c r="E6" s="17"/>
      <c r="F6" s="18" t="str">
        <f>VLOOKUP(F5,SkillTable!$A$2:$E$2200,5,FALSE)</f>
        <v>기초 물리방어술</v>
      </c>
      <c r="G6" s="19" t="str">
        <f>"MAX LV "&amp;G5</f>
        <v>MAX LV 5</v>
      </c>
      <c r="H6" s="20" t="e">
        <f>VLOOKUP(H5,SkillTable!$A$2:$E$2200,5,FALSE)</f>
        <v>#N/A</v>
      </c>
      <c r="I6" s="17"/>
      <c r="J6" s="18" t="str">
        <f>VLOOKUP(J5,SkillTable!$A$2:$E$2200,5,FALSE)</f>
        <v>거스트 스크류</v>
      </c>
      <c r="K6" s="19" t="str">
        <f>"MAX LV "&amp;K5</f>
        <v>MAX LV 5</v>
      </c>
      <c r="L6" s="20" t="e">
        <f>VLOOKUP(L5,SkillTable!$A$2:$E$2200,5,FALSE)</f>
        <v>#N/A</v>
      </c>
      <c r="M6" s="17"/>
      <c r="N6" s="18" t="e">
        <f>VLOOKUP(N5,SkillTable!$A$2:$E$2200,5,FALSE)</f>
        <v>#N/A</v>
      </c>
      <c r="O6" s="19" t="str">
        <f>"MAX LV "&amp;O5</f>
        <v xml:space="preserve">MAX LV 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14">
        <v>2</v>
      </c>
      <c r="C8" s="15">
        <v>5</v>
      </c>
      <c r="D8" s="16">
        <v>4</v>
      </c>
      <c r="E8" s="17"/>
      <c r="F8" s="34"/>
      <c r="G8" s="15"/>
      <c r="H8" s="16"/>
      <c r="I8" s="17"/>
      <c r="J8" s="34"/>
      <c r="K8" s="15"/>
      <c r="L8" s="16"/>
      <c r="M8" s="17"/>
      <c r="N8" s="14">
        <v>1503</v>
      </c>
      <c r="O8" s="15">
        <v>5</v>
      </c>
      <c r="P8" s="16"/>
      <c r="Q8" s="17"/>
      <c r="R8" s="34"/>
      <c r="S8" s="15"/>
      <c r="T8" s="16"/>
    </row>
    <row r="9" spans="1:20" ht="99.95" customHeight="1" thickBot="1">
      <c r="B9" s="18" t="str">
        <f>VLOOKUP(B8,SkillTable!$A$2:$E$2200,5,FALSE)</f>
        <v>기초 마법수련</v>
      </c>
      <c r="C9" s="19" t="str">
        <f>"MAX LV "&amp;C8</f>
        <v>MAX LV 5</v>
      </c>
      <c r="D9" s="20" t="str">
        <f>VLOOKUP(D8,SkillTable!$A$2:$E$2200,5,FALSE)</f>
        <v>기초 마법방어술</v>
      </c>
      <c r="E9" s="17"/>
      <c r="F9" s="18" t="e">
        <f>VLOOKUP(F8,SkillTable!$A$2:$E$2200,5,FALSE)</f>
        <v>#N/A</v>
      </c>
      <c r="G9" s="19" t="str">
        <f>"MAX LV "&amp;G8</f>
        <v xml:space="preserve">MAX LV </v>
      </c>
      <c r="H9" s="20" t="e">
        <f>VLOOKUP(H8,SkillTable!$A$2:$E$2200,5,FALSE)</f>
        <v>#N/A</v>
      </c>
      <c r="I9" s="17"/>
      <c r="J9" s="18" t="e">
        <f>VLOOKUP(J8,SkillTable!$A$2:$E$2200,5,FALSE)</f>
        <v>#N/A</v>
      </c>
      <c r="K9" s="19" t="str">
        <f>"MAX LV "&amp;K8</f>
        <v xml:space="preserve">MAX LV </v>
      </c>
      <c r="L9" s="20" t="e">
        <f>VLOOKUP(L8,SkillTable!$A$2:$E$2200,5,FALSE)</f>
        <v>#N/A</v>
      </c>
      <c r="M9" s="17"/>
      <c r="N9" s="18" t="str">
        <f>VLOOKUP(N8,SkillTable!$A$2:$E$2200,5,FALSE)</f>
        <v>라이트닝 볼트</v>
      </c>
      <c r="O9" s="19" t="str">
        <f>"MAX LV "&amp;O8</f>
        <v>MAX LV 5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14">
        <v>304</v>
      </c>
      <c r="C11" s="15">
        <v>5</v>
      </c>
      <c r="D11" s="16"/>
      <c r="E11" s="17"/>
      <c r="F11" s="14">
        <v>1</v>
      </c>
      <c r="G11" s="15">
        <v>5</v>
      </c>
      <c r="H11" s="16">
        <v>3</v>
      </c>
      <c r="I11" s="17"/>
      <c r="J11" s="34"/>
      <c r="K11" s="15"/>
      <c r="L11" s="16"/>
      <c r="M11" s="17"/>
      <c r="N11" s="34"/>
      <c r="O11" s="15"/>
      <c r="P11" s="16"/>
      <c r="Q11" s="17"/>
      <c r="R11" s="34"/>
      <c r="S11" s="15"/>
      <c r="T11" s="16"/>
    </row>
    <row r="12" spans="1:20" ht="99.95" customHeight="1" thickBot="1">
      <c r="B12" s="18" t="str">
        <f>VLOOKUP(B11,SkillTable!$A$2:$E$2200,5,FALSE)</f>
        <v>오러 매직 액셀레이터</v>
      </c>
      <c r="C12" s="19" t="str">
        <f>"MAX LV "&amp;C11</f>
        <v>MAX LV 5</v>
      </c>
      <c r="D12" s="20" t="e">
        <f>VLOOKUP(D11,SkillTable!$A$2:$E$2200,5,FALSE)</f>
        <v>#N/A</v>
      </c>
      <c r="E12" s="17"/>
      <c r="F12" s="18" t="str">
        <f>VLOOKUP(F11,SkillTable!$A$2:$E$2200,5,FALSE)</f>
        <v>기초 근력단련</v>
      </c>
      <c r="G12" s="19" t="str">
        <f>"MAX LV "&amp;G11</f>
        <v>MAX LV 5</v>
      </c>
      <c r="H12" s="20" t="str">
        <f>VLOOKUP(H11,SkillTable!$A$2:$E$2200,5,FALSE)</f>
        <v>기초 물리방어술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e">
        <f>VLOOKUP(N11,SkillTable!$A$2:$E$2200,5,FALSE)</f>
        <v>#N/A</v>
      </c>
      <c r="O12" s="19" t="str">
        <f>"MAX LV "&amp;O11</f>
        <v xml:space="preserve">MAX LV </v>
      </c>
      <c r="P12" s="20" t="e">
        <f>VLOOKUP(P11,SkillTable!$A$2:$E$2200,5,FALSE)</f>
        <v>#N/A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34"/>
      <c r="C14" s="15"/>
      <c r="D14" s="16"/>
      <c r="E14" s="17"/>
      <c r="F14" s="14">
        <v>305</v>
      </c>
      <c r="G14" s="15">
        <v>5</v>
      </c>
      <c r="H14" s="16"/>
      <c r="I14" s="17"/>
      <c r="J14" s="34"/>
      <c r="K14" s="15"/>
      <c r="L14" s="16"/>
      <c r="M14" s="17"/>
      <c r="N14" s="14">
        <v>1501</v>
      </c>
      <c r="O14" s="15">
        <v>5</v>
      </c>
      <c r="P14" s="16">
        <v>1503</v>
      </c>
      <c r="Q14" s="17"/>
      <c r="R14" s="34"/>
      <c r="S14" s="15"/>
      <c r="T14" s="16"/>
    </row>
    <row r="15" spans="1:20" ht="99.95" customHeight="1" thickBot="1">
      <c r="B15" s="18" t="e">
        <f>VLOOKUP(B14,SkillTable!$A$2:$E$2200,5,FALSE)</f>
        <v>#N/A</v>
      </c>
      <c r="C15" s="19" t="str">
        <f>"MAX LV "&amp;C14</f>
        <v xml:space="preserve">MAX LV </v>
      </c>
      <c r="D15" s="20" t="e">
        <f>VLOOKUP(D14,SkillTable!$A$2:$E$2200,5,FALSE)</f>
        <v>#N/A</v>
      </c>
      <c r="E15" s="17"/>
      <c r="F15" s="18" t="str">
        <f>VLOOKUP(F14,SkillTable!$A$2:$E$2200,5,FALSE)</f>
        <v>오러 실드 액셀레이터</v>
      </c>
      <c r="G15" s="19" t="str">
        <f>"MAX LV "&amp;G14</f>
        <v>MAX LV 5</v>
      </c>
      <c r="H15" s="20" t="e">
        <f>VLOOKUP(H14,SkillTable!$A$2:$E$2200,5,FALSE)</f>
        <v>#N/A</v>
      </c>
      <c r="I15" s="17"/>
      <c r="J15" s="18" t="e">
        <f>VLOOKUP(J14,SkillTable!$A$2:$E$2200,5,FALSE)</f>
        <v>#N/A</v>
      </c>
      <c r="K15" s="19" t="str">
        <f>"MAX LV "&amp;K14</f>
        <v xml:space="preserve">MAX LV </v>
      </c>
      <c r="L15" s="20" t="e">
        <f>VLOOKUP(L14,SkillTable!$A$2:$E$2200,5,FALSE)</f>
        <v>#N/A</v>
      </c>
      <c r="M15" s="17"/>
      <c r="N15" s="18" t="str">
        <f>VLOOKUP(N14,SkillTable!$A$2:$E$2200,5,FALSE)</f>
        <v>바인딩 서클</v>
      </c>
      <c r="O15" s="19" t="str">
        <f>"MAX LV "&amp;O14</f>
        <v>MAX LV 5</v>
      </c>
      <c r="P15" s="20" t="str">
        <f>VLOOKUP(P14,SkillTable!$A$2:$E$2200,5,FALSE)</f>
        <v>라이트닝 볼트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34"/>
      <c r="C17" s="15"/>
      <c r="D17" s="16"/>
      <c r="E17" s="17"/>
      <c r="F17" s="14">
        <v>303</v>
      </c>
      <c r="G17" s="15">
        <v>5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1900</v>
      </c>
      <c r="S17" s="15">
        <v>4</v>
      </c>
      <c r="T17" s="16">
        <v>1700</v>
      </c>
    </row>
    <row r="18" spans="1:20" ht="99.95" customHeight="1" thickBot="1">
      <c r="B18" s="18" t="e">
        <f>VLOOKUP(B17,SkillTable!$A$2:$E$2200,5,FALSE)</f>
        <v>#N/A</v>
      </c>
      <c r="C18" s="19" t="str">
        <f>"MAX LV "&amp;C17</f>
        <v xml:space="preserve">MAX LV </v>
      </c>
      <c r="D18" s="20" t="e">
        <f>VLOOKUP(D17,SkillTable!$A$2:$E$2200,5,FALSE)</f>
        <v>#N/A</v>
      </c>
      <c r="E18" s="17"/>
      <c r="F18" s="18" t="str">
        <f>VLOOKUP(F17,SkillTable!$A$2:$E$2200,5,FALSE)</f>
        <v>오러 파워 액셀레이터</v>
      </c>
      <c r="G18" s="19" t="str">
        <f>"MAX LV "&amp;G17</f>
        <v>MAX LV 5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텔레포트 연마</v>
      </c>
      <c r="S18" s="19" t="str">
        <f>"MAX LV "&amp;S17</f>
        <v>MAX LV 4</v>
      </c>
      <c r="T18" s="20" t="str">
        <f>VLOOKUP(T17,SkillTable!$A$2:$E$2200,5,FALSE)</f>
        <v>텔레포트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1504</v>
      </c>
      <c r="K20" s="15">
        <v>5</v>
      </c>
      <c r="L20" s="16">
        <v>1502</v>
      </c>
      <c r="M20" s="17"/>
      <c r="N20" s="14">
        <v>1505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거스트 스톰</v>
      </c>
      <c r="K21" s="19" t="str">
        <f>"MAX LV "&amp;K20</f>
        <v>MAX LV 5</v>
      </c>
      <c r="L21" s="20" t="str">
        <f>VLOOKUP(L20,SkillTable!$A$2:$E$2200,5,FALSE)</f>
        <v>거스트 스크류</v>
      </c>
      <c r="M21" s="17"/>
      <c r="N21" s="18" t="str">
        <f>VLOOKUP(N20,SkillTable!$A$2:$E$2200,5,FALSE)</f>
        <v>메테오 콜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29">
        <v>1701</v>
      </c>
      <c r="S23" s="30">
        <v>3</v>
      </c>
      <c r="T23" s="31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마나 실드</v>
      </c>
      <c r="S24" s="19" t="str">
        <f>"MAX LV "&amp;S23</f>
        <v>MAX LV 3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34"/>
      <c r="K26" s="15"/>
      <c r="L26" s="16"/>
      <c r="M26" s="17"/>
      <c r="N26" s="14">
        <v>1509</v>
      </c>
      <c r="O26" s="32">
        <v>5</v>
      </c>
      <c r="P26" s="16"/>
      <c r="Q26" s="17"/>
      <c r="R26" s="34">
        <v>1704</v>
      </c>
      <c r="S26" s="15">
        <v>5</v>
      </c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e">
        <f>VLOOKUP(J26,SkillTable!$A$2:$E$2200,5,FALSE)</f>
        <v>#N/A</v>
      </c>
      <c r="K27" s="19" t="str">
        <f>"MAX LV "&amp;K26</f>
        <v xml:space="preserve">MAX LV </v>
      </c>
      <c r="L27" s="20" t="e">
        <f>VLOOKUP(L26,SkillTable!$A$2:$E$2200,5,FALSE)</f>
        <v>#N/A</v>
      </c>
      <c r="M27" s="17"/>
      <c r="N27" s="18" t="str">
        <f>VLOOKUP(N26,SkillTable!$A$2:$E$2200,5,FALSE)</f>
        <v>헬 스톤</v>
      </c>
      <c r="O27" s="19" t="str">
        <f>"MAX LV "&amp;O26</f>
        <v>MAX LV 5</v>
      </c>
      <c r="P27" s="20" t="e">
        <f>VLOOKUP(P26,SkillTable!$A$2:$E$2200,5,FALSE)</f>
        <v>#N/A</v>
      </c>
      <c r="Q27" s="17"/>
      <c r="R27" s="18" t="str">
        <f>VLOOKUP(R26,SkillTable!$A$2:$E$2200,5,FALSE)</f>
        <v>마나 인테이크</v>
      </c>
      <c r="S27" s="19" t="str">
        <f>"MAX LV "&amp;S26</f>
        <v>MAX LV 5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34"/>
      <c r="C29" s="15"/>
      <c r="D29" s="16"/>
      <c r="E29" s="17"/>
      <c r="F29" s="14">
        <v>16</v>
      </c>
      <c r="G29" s="15">
        <v>5</v>
      </c>
      <c r="H29" s="16"/>
      <c r="I29" s="17"/>
      <c r="J29" s="14">
        <v>5</v>
      </c>
      <c r="K29" s="15">
        <v>5</v>
      </c>
      <c r="L29" s="16"/>
      <c r="M29" s="17"/>
      <c r="N29" s="34"/>
      <c r="O29" s="15"/>
      <c r="P29" s="16"/>
      <c r="Q29" s="17"/>
      <c r="R29" s="34"/>
      <c r="S29" s="15"/>
      <c r="T29" s="16"/>
    </row>
    <row r="30" spans="1:20" ht="99.95" customHeight="1" thickBot="1">
      <c r="B30" s="18" t="e">
        <f>VLOOKUP(B29,SkillTable!$A$2:$E$2200,5,FALSE)</f>
        <v>#N/A</v>
      </c>
      <c r="C30" s="19" t="str">
        <f>"MAX LV "&amp;C29</f>
        <v xml:space="preserve">MAX LV </v>
      </c>
      <c r="D30" s="20" t="e">
        <f>VLOOKUP(D29,SkillTable!$A$2:$E$2200,5,FALSE)</f>
        <v>#N/A</v>
      </c>
      <c r="E30" s="17"/>
      <c r="F30" s="18" t="str">
        <f>VLOOKUP(F29,SkillTable!$A$2:$E$2200,5,FALSE)</f>
        <v>육체와 정신의 조화</v>
      </c>
      <c r="G30" s="19" t="str">
        <f>"MAX LV "&amp;G29</f>
        <v>MAX LV 5</v>
      </c>
      <c r="H30" s="20" t="e">
        <f>VLOOKUP(H29,SkillTable!$A$2:$E$2200,5,FALSE)</f>
        <v>#N/A</v>
      </c>
      <c r="I30" s="17"/>
      <c r="J30" s="18" t="str">
        <f>VLOOKUP(J29,SkillTable!$A$2:$E$2200,5,FALSE)</f>
        <v>중급 근력단련</v>
      </c>
      <c r="K30" s="19" t="str">
        <f>"MAX LV "&amp;K29</f>
        <v>MAX LV 5</v>
      </c>
      <c r="L30" s="20" t="e">
        <f>VLOOKUP(L29,SkillTable!$A$2:$E$2200,5,FALSE)</f>
        <v>#N/A</v>
      </c>
      <c r="M30" s="17"/>
      <c r="N30" s="18" t="e">
        <f>VLOOKUP(N29,SkillTable!$A$2:$E$2200,5,FALSE)</f>
        <v>#N/A</v>
      </c>
      <c r="O30" s="19" t="str">
        <f>"MAX LV "&amp;O29</f>
        <v xml:space="preserve">MAX LV 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34"/>
      <c r="K32" s="15"/>
      <c r="L32" s="16"/>
      <c r="M32" s="17"/>
      <c r="N32" s="14">
        <v>1510</v>
      </c>
      <c r="O32" s="15">
        <v>5</v>
      </c>
      <c r="P32" s="16"/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e">
        <f>VLOOKUP(J32,SkillTable!$A$2:$E$2200,5,FALSE)</f>
        <v>#N/A</v>
      </c>
      <c r="K33" s="19" t="str">
        <f>"MAX LV "&amp;K32</f>
        <v xml:space="preserve">MAX LV </v>
      </c>
      <c r="L33" s="20" t="e">
        <f>VLOOKUP(L32,SkillTable!$A$2:$E$2200,5,FALSE)</f>
        <v>#N/A</v>
      </c>
      <c r="M33" s="17"/>
      <c r="N33" s="18" t="str">
        <f>VLOOKUP(N32,SkillTable!$A$2:$E$2200,5,FALSE)</f>
        <v>다크 클라우드</v>
      </c>
      <c r="O33" s="19" t="str">
        <f>"MAX LV "&amp;O32</f>
        <v>MAX LV 5</v>
      </c>
      <c r="P33" s="20" t="e">
        <f>VLOOKUP(P32,SkillTable!$A$2:$E$2200,5,FALSE)</f>
        <v>#N/A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34"/>
      <c r="C35" s="15"/>
      <c r="D35" s="16"/>
      <c r="E35" s="17"/>
      <c r="F35" s="14">
        <v>307</v>
      </c>
      <c r="G35" s="15">
        <v>5</v>
      </c>
      <c r="H35" s="16">
        <v>16</v>
      </c>
      <c r="I35" s="17"/>
      <c r="J35" s="14">
        <v>15</v>
      </c>
      <c r="K35" s="15">
        <v>5</v>
      </c>
      <c r="L35" s="16"/>
      <c r="M35" s="17"/>
      <c r="N35" s="34"/>
      <c r="O35" s="15"/>
      <c r="P35" s="16"/>
      <c r="Q35" s="17"/>
      <c r="R35" s="14">
        <v>1702</v>
      </c>
      <c r="S35" s="15">
        <v>3</v>
      </c>
      <c r="T35" s="16"/>
    </row>
    <row r="36" spans="1:20" ht="99.95" customHeight="1" thickBot="1">
      <c r="B36" s="18" t="e">
        <f>VLOOKUP(B35,SkillTable!$A$2:$E$2200,5,FALSE)</f>
        <v>#N/A</v>
      </c>
      <c r="C36" s="19" t="str">
        <f>"MAX LV "&amp;C35</f>
        <v xml:space="preserve">MAX LV </v>
      </c>
      <c r="D36" s="20" t="e">
        <f>VLOOKUP(D35,SkillTable!$A$2:$E$2200,5,FALSE)</f>
        <v>#N/A</v>
      </c>
      <c r="E36" s="17"/>
      <c r="F36" s="18" t="str">
        <f>VLOOKUP(F35,SkillTable!$A$2:$E$2200,5,FALSE)</f>
        <v>매직 아드레날린</v>
      </c>
      <c r="G36" s="19" t="str">
        <f>"MAX LV "&amp;G35</f>
        <v>MAX LV 5</v>
      </c>
      <c r="H36" s="20" t="str">
        <f>VLOOKUP(H35,SkillTable!$A$2:$E$2200,5,FALSE)</f>
        <v>육체와 정신의 조화</v>
      </c>
      <c r="I36" s="17"/>
      <c r="J36" s="18" t="str">
        <f>VLOOKUP(J35,SkillTable!$A$2:$E$2200,5,FALSE)</f>
        <v>죽음의 그림자</v>
      </c>
      <c r="K36" s="19" t="str">
        <f>"MAX LV "&amp;K35</f>
        <v>MAX LV 5</v>
      </c>
      <c r="L36" s="20" t="e">
        <f>VLOOKUP(L35,SkillTable!$A$2:$E$2200,5,FALSE)</f>
        <v>#N/A</v>
      </c>
      <c r="M36" s="17"/>
      <c r="N36" s="18" t="e">
        <f>VLOOKUP(N35,SkillTable!$A$2:$E$2200,5,FALSE)</f>
        <v>#N/A</v>
      </c>
      <c r="O36" s="19" t="str">
        <f>"MAX LV "&amp;O35</f>
        <v xml:space="preserve">MAX LV </v>
      </c>
      <c r="P36" s="20" t="e">
        <f>VLOOKUP(P35,SkillTable!$A$2:$E$2200,5,FALSE)</f>
        <v>#N/A</v>
      </c>
      <c r="Q36" s="17"/>
      <c r="R36" s="18" t="str">
        <f>VLOOKUP(R35,SkillTable!$A$2:$E$2200,5,FALSE)</f>
        <v>서클 플레임</v>
      </c>
      <c r="S36" s="19" t="str">
        <f>"MAX LV "&amp;S35</f>
        <v>MAX LV 3</v>
      </c>
      <c r="T36" s="20" t="e">
        <f>VLOOKUP(T35,SkillTable!$A$2:$E$2200,5,FALSE)</f>
        <v>#N/A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33">
        <v>17</v>
      </c>
      <c r="G38" s="15">
        <v>5</v>
      </c>
      <c r="H38" s="16"/>
      <c r="I38" s="17"/>
      <c r="J38" s="34">
        <v>1513</v>
      </c>
      <c r="K38" s="15">
        <v>5</v>
      </c>
      <c r="L38" s="16"/>
      <c r="M38" s="17"/>
      <c r="N38" s="34"/>
      <c r="O38" s="15"/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str">
        <f>VLOOKUP(F38,SkillTable!$A$2:$E$2200,5,FALSE)</f>
        <v>스프린터</v>
      </c>
      <c r="G39" s="19" t="str">
        <f>"MAX LV "&amp;G38</f>
        <v>MAX LV 5</v>
      </c>
      <c r="H39" s="20" t="e">
        <f>VLOOKUP(H38,SkillTable!$A$2:$E$2200,5,FALSE)</f>
        <v>#N/A</v>
      </c>
      <c r="I39" s="17"/>
      <c r="J39" s="18" t="str">
        <f>VLOOKUP(J38,SkillTable!$A$2:$E$2200,5,FALSE)</f>
        <v>데스 필드</v>
      </c>
      <c r="K39" s="19" t="str">
        <f>"MAX LV "&amp;K38</f>
        <v>MAX LV 5</v>
      </c>
      <c r="L39" s="20" t="e">
        <f>VLOOKUP(L38,SkillTable!$A$2:$E$2200,5,FALSE)</f>
        <v>#N/A</v>
      </c>
      <c r="M39" s="17"/>
      <c r="N39" s="18" t="e">
        <f>VLOOKUP(N38,SkillTable!$A$2:$E$2200,5,FALSE)</f>
        <v>#N/A</v>
      </c>
      <c r="O39" s="19" t="str">
        <f>"MAX LV "&amp;O38</f>
        <v xml:space="preserve">MAX LV 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34"/>
      <c r="K41" s="15"/>
      <c r="L41" s="16"/>
      <c r="M41" s="17"/>
      <c r="N41" s="14">
        <v>1511</v>
      </c>
      <c r="O41" s="15">
        <v>5</v>
      </c>
      <c r="P41" s="16"/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e">
        <f>VLOOKUP(J41,SkillTable!$A$2:$E$2200,5,FALSE)</f>
        <v>#N/A</v>
      </c>
      <c r="K42" s="19" t="str">
        <f>"MAX LV "&amp;K41</f>
        <v xml:space="preserve">MAX LV </v>
      </c>
      <c r="L42" s="20" t="e">
        <f>VLOOKUP(L41,SkillTable!$A$2:$E$2200,5,FALSE)</f>
        <v>#N/A</v>
      </c>
      <c r="M42" s="17"/>
      <c r="N42" s="18" t="str">
        <f>VLOOKUP(N41,SkillTable!$A$2:$E$2200,5,FALSE)</f>
        <v>플라즈마 커터</v>
      </c>
      <c r="O42" s="19" t="str">
        <f>"MAX LV "&amp;O41</f>
        <v>MAX LV 5</v>
      </c>
      <c r="P42" s="20" t="e">
        <f>VLOOKUP(P41,SkillTable!$A$2:$E$2200,5,FALSE)</f>
        <v>#N/A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4"/>
  <dimension ref="A1:T43"/>
  <sheetViews>
    <sheetView topLeftCell="A13" zoomScale="60" zoomScaleNormal="60" workbookViewId="0">
      <selection activeCell="L14" sqref="L14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34"/>
      <c r="C2" s="15"/>
      <c r="D2" s="16"/>
      <c r="E2" s="17"/>
      <c r="F2" s="14">
        <v>4</v>
      </c>
      <c r="G2" s="15">
        <v>5</v>
      </c>
      <c r="H2" s="16"/>
      <c r="I2" s="17"/>
      <c r="J2" s="34"/>
      <c r="K2" s="15"/>
      <c r="L2" s="16"/>
      <c r="M2" s="17"/>
      <c r="N2" s="14">
        <v>2000</v>
      </c>
      <c r="O2" s="15">
        <v>5</v>
      </c>
      <c r="P2" s="16"/>
      <c r="Q2" s="17"/>
      <c r="R2" s="14">
        <v>2200</v>
      </c>
      <c r="S2" s="15">
        <v>1</v>
      </c>
      <c r="T2" s="16"/>
    </row>
    <row r="3" spans="1:20" ht="99.95" customHeight="1" thickBot="1">
      <c r="B3" s="18" t="e">
        <f>VLOOKUP(B2,SkillTable!$A$2:$E$2200,5,FALSE)</f>
        <v>#N/A</v>
      </c>
      <c r="C3" s="19" t="str">
        <f>"MAX LV "&amp;C2</f>
        <v xml:space="preserve">MAX LV </v>
      </c>
      <c r="D3" s="20" t="e">
        <f>VLOOKUP(D2,SkillTable!$A$2:$E$2200,5,FALSE)</f>
        <v>#N/A</v>
      </c>
      <c r="E3" s="17"/>
      <c r="F3" s="18" t="str">
        <f>VLOOKUP(F2,SkillTable!$A$2:$E$2200,5,FALSE)</f>
        <v>기초 마법방어술</v>
      </c>
      <c r="G3" s="19" t="str">
        <f>"MAX LV "&amp;G2</f>
        <v>MAX LV 5</v>
      </c>
      <c r="H3" s="20" t="e">
        <f>VLOOKUP(H2,SkillTable!$A$2:$E$2200,5,FALSE)</f>
        <v>#N/A</v>
      </c>
      <c r="I3" s="17"/>
      <c r="J3" s="18" t="e">
        <f>VLOOKUP(J2,SkillTable!$A$2:$E$2200,5,FALSE)</f>
        <v>#N/A</v>
      </c>
      <c r="K3" s="19" t="str">
        <f>"MAX LV "&amp;K2</f>
        <v xml:space="preserve">MAX LV </v>
      </c>
      <c r="L3" s="20" t="e">
        <f>VLOOKUP(L2,SkillTable!$A$2:$E$2200,5,FALSE)</f>
        <v>#N/A</v>
      </c>
      <c r="M3" s="17"/>
      <c r="N3" s="18" t="str">
        <f>VLOOKUP(N2,SkillTable!$A$2:$E$2200,5,FALSE)</f>
        <v>레일 스팅거</v>
      </c>
      <c r="O3" s="19" t="str">
        <f>"MAX LV "&amp;O2</f>
        <v>MAX LV 5</v>
      </c>
      <c r="P3" s="20" t="e">
        <f>VLOOKUP(P2,SkillTable!$A$2:$E$2200,5,FALSE)</f>
        <v>#N/A</v>
      </c>
      <c r="Q3" s="17"/>
      <c r="R3" s="18" t="str">
        <f>VLOOKUP(R2,SkillTable!$A$2:$E$2200,5,FALSE)</f>
        <v>시즈모드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14">
        <v>3</v>
      </c>
      <c r="C5" s="15">
        <v>5</v>
      </c>
      <c r="D5" s="16"/>
      <c r="E5" s="17"/>
      <c r="F5" s="34"/>
      <c r="G5" s="15"/>
      <c r="H5" s="16"/>
      <c r="I5" s="17"/>
      <c r="J5" s="34"/>
      <c r="K5" s="15"/>
      <c r="L5" s="16"/>
      <c r="M5" s="17"/>
      <c r="N5" s="14">
        <v>2002</v>
      </c>
      <c r="O5" s="15">
        <v>5</v>
      </c>
      <c r="P5" s="16"/>
      <c r="Q5" s="17"/>
      <c r="R5" s="14"/>
      <c r="S5" s="15"/>
      <c r="T5" s="16"/>
    </row>
    <row r="6" spans="1:20" ht="99.95" customHeight="1" thickBot="1">
      <c r="B6" s="18" t="str">
        <f>VLOOKUP(B5,SkillTable!$A$2:$E$2200,5,FALSE)</f>
        <v>기초 물리방어술</v>
      </c>
      <c r="C6" s="19" t="str">
        <f>"MAX LV "&amp;C5</f>
        <v>MAX LV 5</v>
      </c>
      <c r="D6" s="20" t="e">
        <f>VLOOKUP(D5,SkillTable!$A$2:$E$2200,5,FALSE)</f>
        <v>#N/A</v>
      </c>
      <c r="E6" s="17"/>
      <c r="F6" s="18" t="e">
        <f>VLOOKUP(F5,SkillTable!$A$2:$E$2200,5,FALSE)</f>
        <v>#N/A</v>
      </c>
      <c r="G6" s="19" t="str">
        <f>"MAX LV "&amp;G5</f>
        <v xml:space="preserve">MAX LV </v>
      </c>
      <c r="H6" s="20" t="e">
        <f>VLOOKUP(H5,SkillTable!$A$2:$E$2200,5,FALSE)</f>
        <v>#N/A</v>
      </c>
      <c r="I6" s="17"/>
      <c r="J6" s="18" t="e">
        <f>VLOOKUP(J5,SkillTable!$A$2:$E$2200,5,FALSE)</f>
        <v>#N/A</v>
      </c>
      <c r="K6" s="19" t="str">
        <f>"MAX LV "&amp;K5</f>
        <v xml:space="preserve">MAX LV </v>
      </c>
      <c r="L6" s="20" t="e">
        <f>VLOOKUP(L5,SkillTable!$A$2:$E$2200,5,FALSE)</f>
        <v>#N/A</v>
      </c>
      <c r="M6" s="17"/>
      <c r="N6" s="18" t="str">
        <f>VLOOKUP(N5,SkillTable!$A$2:$E$2200,5,FALSE)</f>
        <v>퍼펙트 스톰</v>
      </c>
      <c r="O6" s="19" t="str">
        <f>"MAX LV "&amp;O5</f>
        <v>MAX LV 5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14">
        <v>1</v>
      </c>
      <c r="C8" s="15">
        <v>5</v>
      </c>
      <c r="D8" s="16">
        <v>3</v>
      </c>
      <c r="E8" s="17"/>
      <c r="F8" s="34"/>
      <c r="G8" s="15"/>
      <c r="H8" s="16"/>
      <c r="I8" s="17"/>
      <c r="J8" s="14">
        <v>2001</v>
      </c>
      <c r="K8" s="15">
        <v>5</v>
      </c>
      <c r="L8" s="16"/>
      <c r="M8" s="17"/>
      <c r="N8" s="34"/>
      <c r="O8" s="15"/>
      <c r="P8" s="16"/>
      <c r="Q8" s="17"/>
      <c r="R8" s="34"/>
      <c r="S8" s="15"/>
      <c r="T8" s="16"/>
    </row>
    <row r="9" spans="1:20" ht="99.95" customHeight="1" thickBot="1">
      <c r="B9" s="18" t="str">
        <f>VLOOKUP(B8,SkillTable!$A$2:$E$2200,5,FALSE)</f>
        <v>기초 근력단련</v>
      </c>
      <c r="C9" s="19" t="str">
        <f>"MAX LV "&amp;C8</f>
        <v>MAX LV 5</v>
      </c>
      <c r="D9" s="20" t="str">
        <f>VLOOKUP(D8,SkillTable!$A$2:$E$2200,5,FALSE)</f>
        <v>기초 물리방어술</v>
      </c>
      <c r="E9" s="17"/>
      <c r="F9" s="18" t="e">
        <f>VLOOKUP(F8,SkillTable!$A$2:$E$2200,5,FALSE)</f>
        <v>#N/A</v>
      </c>
      <c r="G9" s="19" t="str">
        <f>"MAX LV "&amp;G8</f>
        <v xml:space="preserve">MAX LV </v>
      </c>
      <c r="H9" s="20" t="e">
        <f>VLOOKUP(H8,SkillTable!$A$2:$E$2200,5,FALSE)</f>
        <v>#N/A</v>
      </c>
      <c r="I9" s="17"/>
      <c r="J9" s="18" t="str">
        <f>VLOOKUP(J8,SkillTable!$A$2:$E$2200,5,FALSE)</f>
        <v>어설트 킥</v>
      </c>
      <c r="K9" s="19" t="str">
        <f>"MAX LV "&amp;K8</f>
        <v>MAX LV 5</v>
      </c>
      <c r="L9" s="20" t="e">
        <f>VLOOKUP(L8,SkillTable!$A$2:$E$2200,5,FALSE)</f>
        <v>#N/A</v>
      </c>
      <c r="M9" s="17"/>
      <c r="N9" s="18" t="e">
        <f>VLOOKUP(N8,SkillTable!$A$2:$E$2200,5,FALSE)</f>
        <v>#N/A</v>
      </c>
      <c r="O9" s="19" t="str">
        <f>"MAX LV "&amp;O8</f>
        <v xml:space="preserve">MAX LV 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34"/>
      <c r="C11" s="15"/>
      <c r="D11" s="16"/>
      <c r="E11" s="17"/>
      <c r="F11" s="14">
        <v>2</v>
      </c>
      <c r="G11" s="15">
        <v>5</v>
      </c>
      <c r="H11" s="16">
        <v>4</v>
      </c>
      <c r="I11" s="17"/>
      <c r="J11" s="34"/>
      <c r="K11" s="15"/>
      <c r="L11" s="16"/>
      <c r="M11" s="17"/>
      <c r="N11" s="34"/>
      <c r="O11" s="15"/>
      <c r="P11" s="16"/>
      <c r="Q11" s="17"/>
      <c r="R11" s="34"/>
      <c r="S11" s="15"/>
      <c r="T11" s="16"/>
    </row>
    <row r="12" spans="1:20" ht="99.95" customHeight="1" thickBot="1">
      <c r="B12" s="18" t="e">
        <f>VLOOKUP(B11,SkillTable!$A$2:$E$2200,5,FALSE)</f>
        <v>#N/A</v>
      </c>
      <c r="C12" s="19" t="str">
        <f>"MAX LV "&amp;C11</f>
        <v xml:space="preserve">MAX LV </v>
      </c>
      <c r="D12" s="20" t="e">
        <f>VLOOKUP(D11,SkillTable!$A$2:$E$2200,5,FALSE)</f>
        <v>#N/A</v>
      </c>
      <c r="E12" s="17"/>
      <c r="F12" s="18" t="str">
        <f>VLOOKUP(F11,SkillTable!$A$2:$E$2200,5,FALSE)</f>
        <v>기초 마법수련</v>
      </c>
      <c r="G12" s="19" t="str">
        <f>"MAX LV "&amp;G11</f>
        <v>MAX LV 5</v>
      </c>
      <c r="H12" s="20" t="str">
        <f>VLOOKUP(H11,SkillTable!$A$2:$E$2200,5,FALSE)</f>
        <v>기초 마법방어술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e">
        <f>VLOOKUP(N11,SkillTable!$A$2:$E$2200,5,FALSE)</f>
        <v>#N/A</v>
      </c>
      <c r="O12" s="19" t="str">
        <f>"MAX LV "&amp;O11</f>
        <v xml:space="preserve">MAX LV </v>
      </c>
      <c r="P12" s="20" t="e">
        <f>VLOOKUP(P11,SkillTable!$A$2:$E$2200,5,FALSE)</f>
        <v>#N/A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34"/>
      <c r="C14" s="15"/>
      <c r="D14" s="16"/>
      <c r="E14" s="17"/>
      <c r="F14" s="14">
        <v>301</v>
      </c>
      <c r="G14" s="15">
        <v>3</v>
      </c>
      <c r="H14" s="16"/>
      <c r="I14" s="17"/>
      <c r="J14" s="14">
        <v>2003</v>
      </c>
      <c r="K14" s="15">
        <v>5</v>
      </c>
      <c r="L14" s="16">
        <v>2001</v>
      </c>
      <c r="M14" s="17"/>
      <c r="N14" s="34"/>
      <c r="O14" s="15"/>
      <c r="P14" s="16"/>
      <c r="Q14" s="17"/>
      <c r="R14" s="34"/>
      <c r="S14" s="15"/>
      <c r="T14" s="16"/>
    </row>
    <row r="15" spans="1:20" ht="99.95" customHeight="1" thickBot="1">
      <c r="B15" s="18" t="e">
        <f>VLOOKUP(B14,SkillTable!$A$2:$E$2200,5,FALSE)</f>
        <v>#N/A</v>
      </c>
      <c r="C15" s="19" t="str">
        <f>"MAX LV "&amp;C14</f>
        <v xml:space="preserve">MAX LV </v>
      </c>
      <c r="D15" s="20" t="e">
        <f>VLOOKUP(D14,SkillTable!$A$2:$E$2200,5,FALSE)</f>
        <v>#N/A</v>
      </c>
      <c r="E15" s="17"/>
      <c r="F15" s="18" t="str">
        <f>VLOOKUP(F14,SkillTable!$A$2:$E$2200,5,FALSE)</f>
        <v>매직 액셀레이터</v>
      </c>
      <c r="G15" s="19" t="str">
        <f>"MAX LV "&amp;G14</f>
        <v>MAX LV 3</v>
      </c>
      <c r="H15" s="20" t="e">
        <f>VLOOKUP(H14,SkillTable!$A$2:$E$2200,5,FALSE)</f>
        <v>#N/A</v>
      </c>
      <c r="I15" s="17"/>
      <c r="J15" s="18" t="str">
        <f>VLOOKUP(J14,SkillTable!$A$2:$E$2200,5,FALSE)</f>
        <v>멀티플 스팅거</v>
      </c>
      <c r="K15" s="19" t="str">
        <f>"MAX LV "&amp;K14</f>
        <v>MAX LV 5</v>
      </c>
      <c r="L15" s="20" t="str">
        <f>VLOOKUP(L14,SkillTable!$A$2:$E$2200,5,FALSE)</f>
        <v>어설트 킥</v>
      </c>
      <c r="M15" s="17"/>
      <c r="N15" s="18" t="e">
        <f>VLOOKUP(N14,SkillTable!$A$2:$E$2200,5,FALSE)</f>
        <v>#N/A</v>
      </c>
      <c r="O15" s="19" t="str">
        <f>"MAX LV "&amp;O14</f>
        <v xml:space="preserve">MAX LV </v>
      </c>
      <c r="P15" s="20" t="e">
        <f>VLOOKUP(P14,SkillTable!$A$2:$E$2200,5,FALSE)</f>
        <v>#N/A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14">
        <v>300</v>
      </c>
      <c r="C17" s="15">
        <v>3</v>
      </c>
      <c r="D17" s="16">
        <v>1</v>
      </c>
      <c r="E17" s="17"/>
      <c r="F17" s="14">
        <v>302</v>
      </c>
      <c r="G17" s="15">
        <v>3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2400</v>
      </c>
      <c r="S17" s="15">
        <v>3</v>
      </c>
      <c r="T17" s="16">
        <v>2200</v>
      </c>
    </row>
    <row r="18" spans="1:20" ht="99.95" customHeight="1" thickBot="1">
      <c r="B18" s="18" t="str">
        <f>VLOOKUP(B17,SkillTable!$A$2:$E$2200,5,FALSE)</f>
        <v>파워 액셀레이터</v>
      </c>
      <c r="C18" s="19" t="str">
        <f>"MAX LV "&amp;C17</f>
        <v>MAX LV 3</v>
      </c>
      <c r="D18" s="20" t="str">
        <f>VLOOKUP(D17,SkillTable!$A$2:$E$2200,5,FALSE)</f>
        <v>기초 근력단련</v>
      </c>
      <c r="E18" s="17"/>
      <c r="F18" s="18" t="str">
        <f>VLOOKUP(F17,SkillTable!$A$2:$E$2200,5,FALSE)</f>
        <v>실드 액셀레이터</v>
      </c>
      <c r="G18" s="19" t="str">
        <f>"MAX LV "&amp;G17</f>
        <v>MAX LV 3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시즈모드 연마</v>
      </c>
      <c r="S18" s="19" t="str">
        <f>"MAX LV "&amp;S17</f>
        <v>MAX LV 3</v>
      </c>
      <c r="T18" s="20" t="str">
        <f>VLOOKUP(T17,SkillTable!$A$2:$E$2200,5,FALSE)</f>
        <v>시즈모드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2005</v>
      </c>
      <c r="K20" s="15">
        <v>5</v>
      </c>
      <c r="L20" s="16"/>
      <c r="M20" s="17"/>
      <c r="N20" s="14">
        <v>2004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피닉스 스트라이크</v>
      </c>
      <c r="K21" s="19" t="str">
        <f>"MAX LV "&amp;K20</f>
        <v>MAX LV 5</v>
      </c>
      <c r="L21" s="20" t="e">
        <f>VLOOKUP(L20,SkillTable!$A$2:$E$2200,5,FALSE)</f>
        <v>#N/A</v>
      </c>
      <c r="M21" s="17"/>
      <c r="N21" s="18" t="str">
        <f>VLOOKUP(N20,SkillTable!$A$2:$E$2200,5,FALSE)</f>
        <v>에어로 토네이도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29">
        <v>2201</v>
      </c>
      <c r="S23" s="30">
        <v>3</v>
      </c>
      <c r="T23" s="31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백덤블링 샷</v>
      </c>
      <c r="S24" s="19" t="str">
        <f>"MAX LV "&amp;S23</f>
        <v>MAX LV 3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34"/>
      <c r="K26" s="15"/>
      <c r="L26" s="16"/>
      <c r="M26" s="17"/>
      <c r="N26" s="34"/>
      <c r="O26" s="15"/>
      <c r="P26" s="16"/>
      <c r="Q26" s="17"/>
      <c r="R26" s="34"/>
      <c r="S26" s="15"/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e">
        <f>VLOOKUP(J26,SkillTable!$A$2:$E$2200,5,FALSE)</f>
        <v>#N/A</v>
      </c>
      <c r="K27" s="19" t="str">
        <f>"MAX LV "&amp;K26</f>
        <v xml:space="preserve">MAX LV </v>
      </c>
      <c r="L27" s="20" t="e">
        <f>VLOOKUP(L26,SkillTable!$A$2:$E$2200,5,FALSE)</f>
        <v>#N/A</v>
      </c>
      <c r="M27" s="17"/>
      <c r="N27" s="18" t="e">
        <f>VLOOKUP(N26,SkillTable!$A$2:$E$2200,5,FALSE)</f>
        <v>#N/A</v>
      </c>
      <c r="O27" s="19" t="str">
        <f>"MAX LV "&amp;O26</f>
        <v xml:space="preserve">MAX LV </v>
      </c>
      <c r="P27" s="20" t="e">
        <f>VLOOKUP(P26,SkillTable!$A$2:$E$2200,5,FALSE)</f>
        <v>#N/A</v>
      </c>
      <c r="Q27" s="17"/>
      <c r="R27" s="18" t="e">
        <f>VLOOKUP(R26,SkillTable!$A$2:$E$2200,5,FALSE)</f>
        <v>#N/A</v>
      </c>
      <c r="S27" s="19" t="str">
        <f>"MAX LV "&amp;S26</f>
        <v xml:space="preserve">MAX LV 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34"/>
      <c r="C29" s="15"/>
      <c r="D29" s="16"/>
      <c r="E29" s="17"/>
      <c r="F29" s="34"/>
      <c r="G29" s="15"/>
      <c r="H29" s="16"/>
      <c r="I29" s="17"/>
      <c r="J29" s="34"/>
      <c r="K29" s="15"/>
      <c r="L29" s="16"/>
      <c r="M29" s="17"/>
      <c r="N29" s="34"/>
      <c r="O29" s="15"/>
      <c r="P29" s="16"/>
      <c r="Q29" s="17"/>
      <c r="R29" s="34"/>
      <c r="S29" s="15"/>
      <c r="T29" s="16"/>
    </row>
    <row r="30" spans="1:20" ht="99.95" customHeight="1" thickBot="1">
      <c r="B30" s="18" t="e">
        <f>VLOOKUP(B29,SkillTable!$A$2:$E$2200,5,FALSE)</f>
        <v>#N/A</v>
      </c>
      <c r="C30" s="19" t="str">
        <f>"MAX LV "&amp;C29</f>
        <v xml:space="preserve">MAX LV </v>
      </c>
      <c r="D30" s="20" t="e">
        <f>VLOOKUP(D29,SkillTable!$A$2:$E$2200,5,FALSE)</f>
        <v>#N/A</v>
      </c>
      <c r="E30" s="17"/>
      <c r="F30" s="18" t="e">
        <f>VLOOKUP(F29,SkillTable!$A$2:$E$2200,5,FALSE)</f>
        <v>#N/A</v>
      </c>
      <c r="G30" s="19" t="str">
        <f>"MAX LV "&amp;G29</f>
        <v xml:space="preserve">MAX LV </v>
      </c>
      <c r="H30" s="20" t="e">
        <f>VLOOKUP(H29,SkillTable!$A$2:$E$2200,5,FALSE)</f>
        <v>#N/A</v>
      </c>
      <c r="I30" s="17"/>
      <c r="J30" s="18" t="e">
        <f>VLOOKUP(J29,SkillTable!$A$2:$E$2200,5,FALSE)</f>
        <v>#N/A</v>
      </c>
      <c r="K30" s="19" t="str">
        <f>"MAX LV "&amp;K29</f>
        <v xml:space="preserve">MAX LV </v>
      </c>
      <c r="L30" s="20" t="e">
        <f>VLOOKUP(L29,SkillTable!$A$2:$E$2200,5,FALSE)</f>
        <v>#N/A</v>
      </c>
      <c r="M30" s="17"/>
      <c r="N30" s="18" t="e">
        <f>VLOOKUP(N29,SkillTable!$A$2:$E$2200,5,FALSE)</f>
        <v>#N/A</v>
      </c>
      <c r="O30" s="19" t="str">
        <f>"MAX LV "&amp;O29</f>
        <v xml:space="preserve">MAX LV 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34"/>
      <c r="K32" s="15"/>
      <c r="L32" s="16"/>
      <c r="M32" s="17"/>
      <c r="N32" s="34"/>
      <c r="O32" s="15"/>
      <c r="P32" s="16"/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e">
        <f>VLOOKUP(J32,SkillTable!$A$2:$E$2200,5,FALSE)</f>
        <v>#N/A</v>
      </c>
      <c r="K33" s="19" t="str">
        <f>"MAX LV "&amp;K32</f>
        <v xml:space="preserve">MAX LV </v>
      </c>
      <c r="L33" s="20" t="e">
        <f>VLOOKUP(L32,SkillTable!$A$2:$E$2200,5,FALSE)</f>
        <v>#N/A</v>
      </c>
      <c r="M33" s="17"/>
      <c r="N33" s="18" t="e">
        <f>VLOOKUP(N32,SkillTable!$A$2:$E$2200,5,FALSE)</f>
        <v>#N/A</v>
      </c>
      <c r="O33" s="19" t="str">
        <f>"MAX LV "&amp;O32</f>
        <v xml:space="preserve">MAX LV </v>
      </c>
      <c r="P33" s="20" t="e">
        <f>VLOOKUP(P32,SkillTable!$A$2:$E$2200,5,FALSE)</f>
        <v>#N/A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34"/>
      <c r="C35" s="15"/>
      <c r="D35" s="16"/>
      <c r="E35" s="17"/>
      <c r="F35" s="34"/>
      <c r="G35" s="15"/>
      <c r="H35" s="16"/>
      <c r="I35" s="17"/>
      <c r="J35" s="34"/>
      <c r="K35" s="15"/>
      <c r="L35" s="16"/>
      <c r="M35" s="17"/>
      <c r="N35" s="34"/>
      <c r="O35" s="15"/>
      <c r="P35" s="16"/>
      <c r="Q35" s="17"/>
      <c r="R35" s="34"/>
      <c r="S35" s="15"/>
      <c r="T35" s="16"/>
    </row>
    <row r="36" spans="1:20" ht="99.95" customHeight="1" thickBot="1">
      <c r="B36" s="18" t="e">
        <f>VLOOKUP(B35,SkillTable!$A$2:$E$2200,5,FALSE)</f>
        <v>#N/A</v>
      </c>
      <c r="C36" s="19" t="str">
        <f>"MAX LV "&amp;C35</f>
        <v xml:space="preserve">MAX LV </v>
      </c>
      <c r="D36" s="20" t="e">
        <f>VLOOKUP(D35,SkillTable!$A$2:$E$2200,5,FALSE)</f>
        <v>#N/A</v>
      </c>
      <c r="E36" s="17"/>
      <c r="F36" s="18" t="e">
        <f>VLOOKUP(F35,SkillTable!$A$2:$E$2200,5,FALSE)</f>
        <v>#N/A</v>
      </c>
      <c r="G36" s="19" t="str">
        <f>"MAX LV "&amp;G35</f>
        <v xml:space="preserve">MAX LV </v>
      </c>
      <c r="H36" s="20" t="e">
        <f>VLOOKUP(H35,SkillTable!$A$2:$E$2200,5,FALSE)</f>
        <v>#N/A</v>
      </c>
      <c r="I36" s="17"/>
      <c r="J36" s="18" t="e">
        <f>VLOOKUP(J35,SkillTable!$A$2:$E$2200,5,FALSE)</f>
        <v>#N/A</v>
      </c>
      <c r="K36" s="19" t="str">
        <f>"MAX LV "&amp;K35</f>
        <v xml:space="preserve">MAX LV </v>
      </c>
      <c r="L36" s="20" t="e">
        <f>VLOOKUP(L35,SkillTable!$A$2:$E$2200,5,FALSE)</f>
        <v>#N/A</v>
      </c>
      <c r="M36" s="17"/>
      <c r="N36" s="18" t="e">
        <f>VLOOKUP(N35,SkillTable!$A$2:$E$2200,5,FALSE)</f>
        <v>#N/A</v>
      </c>
      <c r="O36" s="19" t="str">
        <f>"MAX LV "&amp;O35</f>
        <v xml:space="preserve">MAX LV </v>
      </c>
      <c r="P36" s="20" t="e">
        <f>VLOOKUP(P35,SkillTable!$A$2:$E$2200,5,FALSE)</f>
        <v>#N/A</v>
      </c>
      <c r="Q36" s="17"/>
      <c r="R36" s="18" t="e">
        <f>VLOOKUP(R35,SkillTable!$A$2:$E$2200,5,FALSE)</f>
        <v>#N/A</v>
      </c>
      <c r="S36" s="19" t="str">
        <f>"MAX LV "&amp;S35</f>
        <v xml:space="preserve">MAX LV </v>
      </c>
      <c r="T36" s="20" t="e">
        <f>VLOOKUP(T35,SkillTable!$A$2:$E$2200,5,FALSE)</f>
        <v>#N/A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34"/>
      <c r="G38" s="15"/>
      <c r="H38" s="16"/>
      <c r="I38" s="17"/>
      <c r="J38" s="34"/>
      <c r="K38" s="15"/>
      <c r="L38" s="16"/>
      <c r="M38" s="17"/>
      <c r="N38" s="34"/>
      <c r="O38" s="15"/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e">
        <f>VLOOKUP(F38,SkillTable!$A$2:$E$2200,5,FALSE)</f>
        <v>#N/A</v>
      </c>
      <c r="G39" s="19" t="str">
        <f>"MAX LV "&amp;G38</f>
        <v xml:space="preserve">MAX LV </v>
      </c>
      <c r="H39" s="20" t="e">
        <f>VLOOKUP(H38,SkillTable!$A$2:$E$2200,5,FALSE)</f>
        <v>#N/A</v>
      </c>
      <c r="I39" s="17"/>
      <c r="J39" s="18" t="e">
        <f>VLOOKUP(J38,SkillTable!$A$2:$E$2200,5,FALSE)</f>
        <v>#N/A</v>
      </c>
      <c r="K39" s="19" t="str">
        <f>"MAX LV "&amp;K38</f>
        <v xml:space="preserve">MAX LV </v>
      </c>
      <c r="L39" s="20" t="e">
        <f>VLOOKUP(L38,SkillTable!$A$2:$E$2200,5,FALSE)</f>
        <v>#N/A</v>
      </c>
      <c r="M39" s="17"/>
      <c r="N39" s="18" t="e">
        <f>VLOOKUP(N38,SkillTable!$A$2:$E$2200,5,FALSE)</f>
        <v>#N/A</v>
      </c>
      <c r="O39" s="19" t="str">
        <f>"MAX LV "&amp;O38</f>
        <v xml:space="preserve">MAX LV 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34"/>
      <c r="K41" s="15"/>
      <c r="L41" s="16"/>
      <c r="M41" s="17"/>
      <c r="N41" s="34"/>
      <c r="O41" s="15"/>
      <c r="P41" s="16"/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e">
        <f>VLOOKUP(J41,SkillTable!$A$2:$E$2200,5,FALSE)</f>
        <v>#N/A</v>
      </c>
      <c r="K42" s="19" t="str">
        <f>"MAX LV "&amp;K41</f>
        <v xml:space="preserve">MAX LV </v>
      </c>
      <c r="L42" s="20" t="e">
        <f>VLOOKUP(L41,SkillTable!$A$2:$E$2200,5,FALSE)</f>
        <v>#N/A</v>
      </c>
      <c r="M42" s="17"/>
      <c r="N42" s="18" t="e">
        <f>VLOOKUP(N41,SkillTable!$A$2:$E$2200,5,FALSE)</f>
        <v>#N/A</v>
      </c>
      <c r="O42" s="19" t="str">
        <f>"MAX LV "&amp;O41</f>
        <v xml:space="preserve">MAX LV </v>
      </c>
      <c r="P42" s="20" t="e">
        <f>VLOOKUP(P41,SkillTable!$A$2:$E$2200,5,FALSE)</f>
        <v>#N/A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5"/>
  <dimension ref="A1:T43"/>
  <sheetViews>
    <sheetView topLeftCell="A25" zoomScale="60" zoomScaleNormal="60" workbookViewId="0">
      <selection activeCell="N26" sqref="N26:O26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34"/>
      <c r="C2" s="15"/>
      <c r="D2" s="16"/>
      <c r="E2" s="17"/>
      <c r="F2" s="14">
        <v>4</v>
      </c>
      <c r="G2" s="15">
        <v>5</v>
      </c>
      <c r="H2" s="16"/>
      <c r="I2" s="17"/>
      <c r="J2" s="34"/>
      <c r="K2" s="15"/>
      <c r="L2" s="16"/>
      <c r="M2" s="17"/>
      <c r="N2" s="14">
        <v>2000</v>
      </c>
      <c r="O2" s="15">
        <v>5</v>
      </c>
      <c r="P2" s="16"/>
      <c r="Q2" s="17"/>
      <c r="R2" s="14">
        <v>2200</v>
      </c>
      <c r="S2" s="15">
        <v>1</v>
      </c>
      <c r="T2" s="16"/>
    </row>
    <row r="3" spans="1:20" ht="99.95" customHeight="1" thickBot="1">
      <c r="B3" s="18" t="e">
        <f>VLOOKUP(B2,SkillTable!$A$2:$E$2200,5,FALSE)</f>
        <v>#N/A</v>
      </c>
      <c r="C3" s="19" t="str">
        <f>"MAX LV "&amp;C2</f>
        <v xml:space="preserve">MAX LV </v>
      </c>
      <c r="D3" s="20" t="e">
        <f>VLOOKUP(D2,SkillTable!$A$2:$E$2200,5,FALSE)</f>
        <v>#N/A</v>
      </c>
      <c r="E3" s="17"/>
      <c r="F3" s="18" t="str">
        <f>VLOOKUP(F2,SkillTable!$A$2:$E$2200,5,FALSE)</f>
        <v>기초 마법방어술</v>
      </c>
      <c r="G3" s="19" t="str">
        <f>"MAX LV "&amp;G2</f>
        <v>MAX LV 5</v>
      </c>
      <c r="H3" s="20" t="e">
        <f>VLOOKUP(H2,SkillTable!$A$2:$E$2200,5,FALSE)</f>
        <v>#N/A</v>
      </c>
      <c r="I3" s="17"/>
      <c r="J3" s="18" t="e">
        <f>VLOOKUP(J2,SkillTable!$A$2:$E$2200,5,FALSE)</f>
        <v>#N/A</v>
      </c>
      <c r="K3" s="19" t="str">
        <f>"MAX LV "&amp;K2</f>
        <v xml:space="preserve">MAX LV </v>
      </c>
      <c r="L3" s="20" t="e">
        <f>VLOOKUP(L2,SkillTable!$A$2:$E$2200,5,FALSE)</f>
        <v>#N/A</v>
      </c>
      <c r="M3" s="17"/>
      <c r="N3" s="18" t="str">
        <f>VLOOKUP(N2,SkillTable!$A$2:$E$2200,5,FALSE)</f>
        <v>레일 스팅거</v>
      </c>
      <c r="O3" s="19" t="str">
        <f>"MAX LV "&amp;O2</f>
        <v>MAX LV 5</v>
      </c>
      <c r="P3" s="20" t="e">
        <f>VLOOKUP(P2,SkillTable!$A$2:$E$2200,5,FALSE)</f>
        <v>#N/A</v>
      </c>
      <c r="Q3" s="17"/>
      <c r="R3" s="18" t="str">
        <f>VLOOKUP(R2,SkillTable!$A$2:$E$2200,5,FALSE)</f>
        <v>시즈모드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14">
        <v>3</v>
      </c>
      <c r="C5" s="15">
        <v>5</v>
      </c>
      <c r="D5" s="16"/>
      <c r="E5" s="17"/>
      <c r="F5" s="34"/>
      <c r="G5" s="15"/>
      <c r="H5" s="16"/>
      <c r="I5" s="17"/>
      <c r="J5" s="34"/>
      <c r="K5" s="15"/>
      <c r="L5" s="16"/>
      <c r="M5" s="17"/>
      <c r="N5" s="14">
        <v>2002</v>
      </c>
      <c r="O5" s="15">
        <v>5</v>
      </c>
      <c r="P5" s="16"/>
      <c r="Q5" s="17"/>
      <c r="R5" s="14"/>
      <c r="S5" s="15"/>
      <c r="T5" s="16"/>
    </row>
    <row r="6" spans="1:20" ht="99.95" customHeight="1" thickBot="1">
      <c r="B6" s="18" t="str">
        <f>VLOOKUP(B5,SkillTable!$A$2:$E$2200,5,FALSE)</f>
        <v>기초 물리방어술</v>
      </c>
      <c r="C6" s="19" t="str">
        <f>"MAX LV "&amp;C5</f>
        <v>MAX LV 5</v>
      </c>
      <c r="D6" s="20" t="e">
        <f>VLOOKUP(D5,SkillTable!$A$2:$E$2200,5,FALSE)</f>
        <v>#N/A</v>
      </c>
      <c r="E6" s="17"/>
      <c r="F6" s="18" t="e">
        <f>VLOOKUP(F5,SkillTable!$A$2:$E$2200,5,FALSE)</f>
        <v>#N/A</v>
      </c>
      <c r="G6" s="19" t="str">
        <f>"MAX LV "&amp;G5</f>
        <v xml:space="preserve">MAX LV </v>
      </c>
      <c r="H6" s="20" t="e">
        <f>VLOOKUP(H5,SkillTable!$A$2:$E$2200,5,FALSE)</f>
        <v>#N/A</v>
      </c>
      <c r="I6" s="17"/>
      <c r="J6" s="18" t="e">
        <f>VLOOKUP(J5,SkillTable!$A$2:$E$2200,5,FALSE)</f>
        <v>#N/A</v>
      </c>
      <c r="K6" s="19" t="str">
        <f>"MAX LV "&amp;K5</f>
        <v xml:space="preserve">MAX LV </v>
      </c>
      <c r="L6" s="20" t="e">
        <f>VLOOKUP(L5,SkillTable!$A$2:$E$2200,5,FALSE)</f>
        <v>#N/A</v>
      </c>
      <c r="M6" s="17"/>
      <c r="N6" s="18" t="str">
        <f>VLOOKUP(N5,SkillTable!$A$2:$E$2200,5,FALSE)</f>
        <v>퍼펙트 스톰</v>
      </c>
      <c r="O6" s="19" t="str">
        <f>"MAX LV "&amp;O5</f>
        <v>MAX LV 5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14">
        <v>1</v>
      </c>
      <c r="C8" s="15">
        <v>5</v>
      </c>
      <c r="D8" s="16">
        <v>3</v>
      </c>
      <c r="E8" s="17"/>
      <c r="F8" s="34"/>
      <c r="G8" s="15"/>
      <c r="H8" s="16"/>
      <c r="I8" s="17"/>
      <c r="J8" s="14">
        <v>2001</v>
      </c>
      <c r="K8" s="15">
        <v>5</v>
      </c>
      <c r="L8" s="16"/>
      <c r="M8" s="17"/>
      <c r="N8" s="34"/>
      <c r="O8" s="15"/>
      <c r="P8" s="16"/>
      <c r="Q8" s="17"/>
      <c r="R8" s="34"/>
      <c r="S8" s="15"/>
      <c r="T8" s="16"/>
    </row>
    <row r="9" spans="1:20" ht="99.95" customHeight="1" thickBot="1">
      <c r="B9" s="18" t="str">
        <f>VLOOKUP(B8,SkillTable!$A$2:$E$2200,5,FALSE)</f>
        <v>기초 근력단련</v>
      </c>
      <c r="C9" s="19" t="str">
        <f>"MAX LV "&amp;C8</f>
        <v>MAX LV 5</v>
      </c>
      <c r="D9" s="20" t="str">
        <f>VLOOKUP(D8,SkillTable!$A$2:$E$2200,5,FALSE)</f>
        <v>기초 물리방어술</v>
      </c>
      <c r="E9" s="17"/>
      <c r="F9" s="18" t="e">
        <f>VLOOKUP(F8,SkillTable!$A$2:$E$2200,5,FALSE)</f>
        <v>#N/A</v>
      </c>
      <c r="G9" s="19" t="str">
        <f>"MAX LV "&amp;G8</f>
        <v xml:space="preserve">MAX LV </v>
      </c>
      <c r="H9" s="20" t="e">
        <f>VLOOKUP(H8,SkillTable!$A$2:$E$2200,5,FALSE)</f>
        <v>#N/A</v>
      </c>
      <c r="I9" s="17"/>
      <c r="J9" s="18" t="str">
        <f>VLOOKUP(J8,SkillTable!$A$2:$E$2200,5,FALSE)</f>
        <v>어설트 킥</v>
      </c>
      <c r="K9" s="19" t="str">
        <f>"MAX LV "&amp;K8</f>
        <v>MAX LV 5</v>
      </c>
      <c r="L9" s="20" t="e">
        <f>VLOOKUP(L8,SkillTable!$A$2:$E$2200,5,FALSE)</f>
        <v>#N/A</v>
      </c>
      <c r="M9" s="17"/>
      <c r="N9" s="18" t="e">
        <f>VLOOKUP(N8,SkillTable!$A$2:$E$2200,5,FALSE)</f>
        <v>#N/A</v>
      </c>
      <c r="O9" s="19" t="str">
        <f>"MAX LV "&amp;O8</f>
        <v xml:space="preserve">MAX LV 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34"/>
      <c r="C11" s="15"/>
      <c r="D11" s="16"/>
      <c r="E11" s="17"/>
      <c r="F11" s="14">
        <v>2</v>
      </c>
      <c r="G11" s="15">
        <v>5</v>
      </c>
      <c r="H11" s="16">
        <v>4</v>
      </c>
      <c r="I11" s="17"/>
      <c r="J11" s="34"/>
      <c r="K11" s="15"/>
      <c r="L11" s="16"/>
      <c r="M11" s="17"/>
      <c r="N11" s="34"/>
      <c r="O11" s="15"/>
      <c r="P11" s="16"/>
      <c r="Q11" s="17"/>
      <c r="R11" s="34"/>
      <c r="S11" s="15"/>
      <c r="T11" s="16"/>
    </row>
    <row r="12" spans="1:20" ht="99.95" customHeight="1" thickBot="1">
      <c r="B12" s="18" t="e">
        <f>VLOOKUP(B11,SkillTable!$A$2:$E$2200,5,FALSE)</f>
        <v>#N/A</v>
      </c>
      <c r="C12" s="19" t="str">
        <f>"MAX LV "&amp;C11</f>
        <v xml:space="preserve">MAX LV </v>
      </c>
      <c r="D12" s="20" t="e">
        <f>VLOOKUP(D11,SkillTable!$A$2:$E$2200,5,FALSE)</f>
        <v>#N/A</v>
      </c>
      <c r="E12" s="17"/>
      <c r="F12" s="18" t="str">
        <f>VLOOKUP(F11,SkillTable!$A$2:$E$2200,5,FALSE)</f>
        <v>기초 마법수련</v>
      </c>
      <c r="G12" s="19" t="str">
        <f>"MAX LV "&amp;G11</f>
        <v>MAX LV 5</v>
      </c>
      <c r="H12" s="20" t="str">
        <f>VLOOKUP(H11,SkillTable!$A$2:$E$2200,5,FALSE)</f>
        <v>기초 마법방어술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e">
        <f>VLOOKUP(N11,SkillTable!$A$2:$E$2200,5,FALSE)</f>
        <v>#N/A</v>
      </c>
      <c r="O12" s="19" t="str">
        <f>"MAX LV "&amp;O11</f>
        <v xml:space="preserve">MAX LV </v>
      </c>
      <c r="P12" s="20" t="e">
        <f>VLOOKUP(P11,SkillTable!$A$2:$E$2200,5,FALSE)</f>
        <v>#N/A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34"/>
      <c r="C14" s="15"/>
      <c r="D14" s="16"/>
      <c r="E14" s="17"/>
      <c r="F14" s="14">
        <v>301</v>
      </c>
      <c r="G14" s="15">
        <v>3</v>
      </c>
      <c r="H14" s="16"/>
      <c r="I14" s="17"/>
      <c r="J14" s="14">
        <v>2003</v>
      </c>
      <c r="K14" s="15">
        <v>5</v>
      </c>
      <c r="L14" s="16">
        <v>2001</v>
      </c>
      <c r="M14" s="17"/>
      <c r="N14" s="34"/>
      <c r="O14" s="15"/>
      <c r="P14" s="16"/>
      <c r="Q14" s="17"/>
      <c r="R14" s="34"/>
      <c r="S14" s="15"/>
      <c r="T14" s="16"/>
    </row>
    <row r="15" spans="1:20" ht="99.95" customHeight="1" thickBot="1">
      <c r="B15" s="18" t="e">
        <f>VLOOKUP(B14,SkillTable!$A$2:$E$2200,5,FALSE)</f>
        <v>#N/A</v>
      </c>
      <c r="C15" s="19" t="str">
        <f>"MAX LV "&amp;C14</f>
        <v xml:space="preserve">MAX LV </v>
      </c>
      <c r="D15" s="20" t="e">
        <f>VLOOKUP(D14,SkillTable!$A$2:$E$2200,5,FALSE)</f>
        <v>#N/A</v>
      </c>
      <c r="E15" s="17"/>
      <c r="F15" s="18" t="str">
        <f>VLOOKUP(F14,SkillTable!$A$2:$E$2200,5,FALSE)</f>
        <v>매직 액셀레이터</v>
      </c>
      <c r="G15" s="19" t="str">
        <f>"MAX LV "&amp;G14</f>
        <v>MAX LV 3</v>
      </c>
      <c r="H15" s="20" t="e">
        <f>VLOOKUP(H14,SkillTable!$A$2:$E$2200,5,FALSE)</f>
        <v>#N/A</v>
      </c>
      <c r="I15" s="17"/>
      <c r="J15" s="18" t="str">
        <f>VLOOKUP(J14,SkillTable!$A$2:$E$2200,5,FALSE)</f>
        <v>멀티플 스팅거</v>
      </c>
      <c r="K15" s="19" t="str">
        <f>"MAX LV "&amp;K14</f>
        <v>MAX LV 5</v>
      </c>
      <c r="L15" s="20" t="str">
        <f>VLOOKUP(L14,SkillTable!$A$2:$E$2200,5,FALSE)</f>
        <v>어설트 킥</v>
      </c>
      <c r="M15" s="17"/>
      <c r="N15" s="18" t="e">
        <f>VLOOKUP(N14,SkillTable!$A$2:$E$2200,5,FALSE)</f>
        <v>#N/A</v>
      </c>
      <c r="O15" s="19" t="str">
        <f>"MAX LV "&amp;O14</f>
        <v xml:space="preserve">MAX LV </v>
      </c>
      <c r="P15" s="20" t="e">
        <f>VLOOKUP(P14,SkillTable!$A$2:$E$2200,5,FALSE)</f>
        <v>#N/A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14">
        <v>300</v>
      </c>
      <c r="C17" s="15">
        <v>3</v>
      </c>
      <c r="D17" s="16">
        <v>1</v>
      </c>
      <c r="E17" s="17"/>
      <c r="F17" s="14">
        <v>302</v>
      </c>
      <c r="G17" s="15">
        <v>3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2400</v>
      </c>
      <c r="S17" s="15">
        <v>3</v>
      </c>
      <c r="T17" s="16">
        <v>2200</v>
      </c>
    </row>
    <row r="18" spans="1:20" ht="99.95" customHeight="1" thickBot="1">
      <c r="B18" s="18" t="str">
        <f>VLOOKUP(B17,SkillTable!$A$2:$E$2200,5,FALSE)</f>
        <v>파워 액셀레이터</v>
      </c>
      <c r="C18" s="19" t="str">
        <f>"MAX LV "&amp;C17</f>
        <v>MAX LV 3</v>
      </c>
      <c r="D18" s="20" t="str">
        <f>VLOOKUP(D17,SkillTable!$A$2:$E$2200,5,FALSE)</f>
        <v>기초 근력단련</v>
      </c>
      <c r="E18" s="17"/>
      <c r="F18" s="18" t="str">
        <f>VLOOKUP(F17,SkillTable!$A$2:$E$2200,5,FALSE)</f>
        <v>실드 액셀레이터</v>
      </c>
      <c r="G18" s="19" t="str">
        <f>"MAX LV "&amp;G17</f>
        <v>MAX LV 3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시즈모드 연마</v>
      </c>
      <c r="S18" s="19" t="str">
        <f>"MAX LV "&amp;S17</f>
        <v>MAX LV 3</v>
      </c>
      <c r="T18" s="20" t="str">
        <f>VLOOKUP(T17,SkillTable!$A$2:$E$2200,5,FALSE)</f>
        <v>시즈모드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2005</v>
      </c>
      <c r="K20" s="15">
        <v>5</v>
      </c>
      <c r="L20" s="16"/>
      <c r="M20" s="17"/>
      <c r="N20" s="14">
        <v>2004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피닉스 스트라이크</v>
      </c>
      <c r="K21" s="19" t="str">
        <f>"MAX LV "&amp;K20</f>
        <v>MAX LV 5</v>
      </c>
      <c r="L21" s="20" t="e">
        <f>VLOOKUP(L20,SkillTable!$A$2:$E$2200,5,FALSE)</f>
        <v>#N/A</v>
      </c>
      <c r="M21" s="17"/>
      <c r="N21" s="18" t="str">
        <f>VLOOKUP(N20,SkillTable!$A$2:$E$2200,5,FALSE)</f>
        <v>에어로 토네이도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29">
        <v>2201</v>
      </c>
      <c r="S23" s="30">
        <v>3</v>
      </c>
      <c r="T23" s="31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백덤블링 샷</v>
      </c>
      <c r="S24" s="19" t="str">
        <f>"MAX LV "&amp;S23</f>
        <v>MAX LV 3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14">
        <v>2006</v>
      </c>
      <c r="K26" s="15">
        <v>5</v>
      </c>
      <c r="L26" s="16"/>
      <c r="M26" s="17"/>
      <c r="N26" s="34"/>
      <c r="O26" s="15"/>
      <c r="P26" s="16"/>
      <c r="Q26" s="17"/>
      <c r="R26" s="34">
        <v>2203</v>
      </c>
      <c r="S26" s="15">
        <v>5</v>
      </c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str">
        <f>VLOOKUP(J26,SkillTable!$A$2:$E$2200,5,FALSE)</f>
        <v>스피닝 킥</v>
      </c>
      <c r="K27" s="19" t="str">
        <f>"MAX LV "&amp;K26</f>
        <v>MAX LV 5</v>
      </c>
      <c r="L27" s="20" t="e">
        <f>VLOOKUP(L26,SkillTable!$A$2:$E$2200,5,FALSE)</f>
        <v>#N/A</v>
      </c>
      <c r="M27" s="17"/>
      <c r="N27" s="18" t="e">
        <f>VLOOKUP(N26,SkillTable!$A$2:$E$2200,5,FALSE)</f>
        <v>#N/A</v>
      </c>
      <c r="O27" s="19" t="str">
        <f>"MAX LV "&amp;O26</f>
        <v xml:space="preserve">MAX LV </v>
      </c>
      <c r="P27" s="20" t="e">
        <f>VLOOKUP(P26,SkillTable!$A$2:$E$2200,5,FALSE)</f>
        <v>#N/A</v>
      </c>
      <c r="Q27" s="17"/>
      <c r="R27" s="18" t="str">
        <f>VLOOKUP(R26,SkillTable!$A$2:$E$2200,5,FALSE)</f>
        <v>로우 킥</v>
      </c>
      <c r="S27" s="19" t="str">
        <f>"MAX LV "&amp;S26</f>
        <v>MAX LV 5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14">
        <v>6</v>
      </c>
      <c r="C29" s="15">
        <v>3</v>
      </c>
      <c r="D29" s="16"/>
      <c r="E29" s="17"/>
      <c r="F29" s="14">
        <v>5</v>
      </c>
      <c r="G29" s="15">
        <v>5</v>
      </c>
      <c r="H29" s="16"/>
      <c r="I29" s="17"/>
      <c r="J29" s="34"/>
      <c r="K29" s="15"/>
      <c r="L29" s="16"/>
      <c r="M29" s="17"/>
      <c r="N29" s="14">
        <v>2401</v>
      </c>
      <c r="O29" s="15">
        <v>5</v>
      </c>
      <c r="P29" s="16"/>
      <c r="Q29" s="17"/>
      <c r="R29" s="34"/>
      <c r="S29" s="15"/>
      <c r="T29" s="16"/>
    </row>
    <row r="30" spans="1:20" ht="99.95" customHeight="1" thickBot="1">
      <c r="B30" s="18" t="str">
        <f>VLOOKUP(B29,SkillTable!$A$2:$E$2200,5,FALSE)</f>
        <v>중급 마법수련</v>
      </c>
      <c r="C30" s="19" t="str">
        <f>"MAX LV "&amp;C29</f>
        <v>MAX LV 3</v>
      </c>
      <c r="D30" s="20" t="e">
        <f>VLOOKUP(D29,SkillTable!$A$2:$E$2200,5,FALSE)</f>
        <v>#N/A</v>
      </c>
      <c r="E30" s="17"/>
      <c r="F30" s="18" t="str">
        <f>VLOOKUP(F29,SkillTable!$A$2:$E$2200,5,FALSE)</f>
        <v>중급 근력단련</v>
      </c>
      <c r="G30" s="19" t="str">
        <f>"MAX LV "&amp;G29</f>
        <v>MAX LV 5</v>
      </c>
      <c r="H30" s="20" t="e">
        <f>VLOOKUP(H29,SkillTable!$A$2:$E$2200,5,FALSE)</f>
        <v>#N/A</v>
      </c>
      <c r="I30" s="17"/>
      <c r="J30" s="18" t="e">
        <f>VLOOKUP(J29,SkillTable!$A$2:$E$2200,5,FALSE)</f>
        <v>#N/A</v>
      </c>
      <c r="K30" s="19" t="str">
        <f>"MAX LV "&amp;K29</f>
        <v xml:space="preserve">MAX LV </v>
      </c>
      <c r="L30" s="20" t="e">
        <f>VLOOKUP(L29,SkillTable!$A$2:$E$2200,5,FALSE)</f>
        <v>#N/A</v>
      </c>
      <c r="M30" s="17"/>
      <c r="N30" s="18" t="str">
        <f>VLOOKUP(N29,SkillTable!$A$2:$E$2200,5,FALSE)</f>
        <v>날렵한 발차기</v>
      </c>
      <c r="O30" s="19" t="str">
        <f>"MAX LV "&amp;O29</f>
        <v>MAX LV 5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14">
        <v>2007</v>
      </c>
      <c r="K32" s="15">
        <v>5</v>
      </c>
      <c r="L32" s="16"/>
      <c r="M32" s="17"/>
      <c r="N32" s="34"/>
      <c r="O32" s="15"/>
      <c r="P32" s="16"/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str">
        <f>VLOOKUP(J32,SkillTable!$A$2:$E$2200,5,FALSE)</f>
        <v>크레센트 킥</v>
      </c>
      <c r="K33" s="19" t="str">
        <f>"MAX LV "&amp;K32</f>
        <v>MAX LV 5</v>
      </c>
      <c r="L33" s="20" t="e">
        <f>VLOOKUP(L32,SkillTable!$A$2:$E$2200,5,FALSE)</f>
        <v>#N/A</v>
      </c>
      <c r="M33" s="17"/>
      <c r="N33" s="18" t="e">
        <f>VLOOKUP(N32,SkillTable!$A$2:$E$2200,5,FALSE)</f>
        <v>#N/A</v>
      </c>
      <c r="O33" s="19" t="str">
        <f>"MAX LV "&amp;O32</f>
        <v xml:space="preserve">MAX LV </v>
      </c>
      <c r="P33" s="20" t="e">
        <f>VLOOKUP(P32,SkillTable!$A$2:$E$2200,5,FALSE)</f>
        <v>#N/A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14">
        <v>307</v>
      </c>
      <c r="C35" s="15">
        <v>3</v>
      </c>
      <c r="D35" s="16">
        <v>6</v>
      </c>
      <c r="E35" s="17"/>
      <c r="F35" s="14">
        <v>306</v>
      </c>
      <c r="G35" s="15">
        <v>5</v>
      </c>
      <c r="H35" s="16">
        <v>5</v>
      </c>
      <c r="I35" s="17"/>
      <c r="J35" s="34"/>
      <c r="K35" s="15"/>
      <c r="L35" s="16"/>
      <c r="M35" s="17"/>
      <c r="N35" s="14">
        <v>19</v>
      </c>
      <c r="O35" s="15">
        <v>5</v>
      </c>
      <c r="P35" s="16"/>
      <c r="Q35" s="17"/>
      <c r="R35" s="14">
        <v>2202</v>
      </c>
      <c r="S35" s="15">
        <v>3</v>
      </c>
      <c r="T35" s="16"/>
    </row>
    <row r="36" spans="1:20" ht="99.95" customHeight="1" thickBot="1">
      <c r="B36" s="18" t="str">
        <f>VLOOKUP(B35,SkillTable!$A$2:$E$2200,5,FALSE)</f>
        <v>매직 아드레날린</v>
      </c>
      <c r="C36" s="19" t="str">
        <f>"MAX LV "&amp;C35</f>
        <v>MAX LV 3</v>
      </c>
      <c r="D36" s="20" t="str">
        <f>VLOOKUP(D35,SkillTable!$A$2:$E$2200,5,FALSE)</f>
        <v>중급 마법수련</v>
      </c>
      <c r="E36" s="17"/>
      <c r="F36" s="18" t="str">
        <f>VLOOKUP(F35,SkillTable!$A$2:$E$2200,5,FALSE)</f>
        <v>파워 아드레날린</v>
      </c>
      <c r="G36" s="19" t="str">
        <f>"MAX LV "&amp;G35</f>
        <v>MAX LV 5</v>
      </c>
      <c r="H36" s="20" t="str">
        <f>VLOOKUP(H35,SkillTable!$A$2:$E$2200,5,FALSE)</f>
        <v>중급 근력단련</v>
      </c>
      <c r="I36" s="17"/>
      <c r="J36" s="18" t="e">
        <f>VLOOKUP(J35,SkillTable!$A$2:$E$2200,5,FALSE)</f>
        <v>#N/A</v>
      </c>
      <c r="K36" s="19" t="str">
        <f>"MAX LV "&amp;K35</f>
        <v xml:space="preserve">MAX LV </v>
      </c>
      <c r="L36" s="20" t="e">
        <f>VLOOKUP(L35,SkillTable!$A$2:$E$2200,5,FALSE)</f>
        <v>#N/A</v>
      </c>
      <c r="M36" s="17"/>
      <c r="N36" s="18" t="str">
        <f>VLOOKUP(N35,SkillTable!$A$2:$E$2200,5,FALSE)</f>
        <v>격투가의 혼</v>
      </c>
      <c r="O36" s="19" t="str">
        <f>"MAX LV "&amp;O35</f>
        <v>MAX LV 5</v>
      </c>
      <c r="P36" s="20" t="e">
        <f>VLOOKUP(P35,SkillTable!$A$2:$E$2200,5,FALSE)</f>
        <v>#N/A</v>
      </c>
      <c r="Q36" s="17"/>
      <c r="R36" s="18" t="str">
        <f>VLOOKUP(R35,SkillTable!$A$2:$E$2200,5,FALSE)</f>
        <v>리플렉트 킥</v>
      </c>
      <c r="S36" s="19" t="str">
        <f>"MAX LV "&amp;S35</f>
        <v>MAX LV 3</v>
      </c>
      <c r="T36" s="20" t="e">
        <f>VLOOKUP(T35,SkillTable!$A$2:$E$2200,5,FALSE)</f>
        <v>#N/A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14">
        <v>18</v>
      </c>
      <c r="G38" s="15">
        <v>5</v>
      </c>
      <c r="H38" s="16"/>
      <c r="I38" s="17"/>
      <c r="J38" s="34"/>
      <c r="K38" s="15"/>
      <c r="L38" s="16"/>
      <c r="M38" s="17"/>
      <c r="N38" s="34">
        <v>2012</v>
      </c>
      <c r="O38" s="15">
        <v>5</v>
      </c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str">
        <f>VLOOKUP(F38,SkillTable!$A$2:$E$2200,5,FALSE)</f>
        <v>유연한 몸놀림</v>
      </c>
      <c r="G39" s="19" t="str">
        <f>"MAX LV "&amp;G38</f>
        <v>MAX LV 5</v>
      </c>
      <c r="H39" s="20" t="e">
        <f>VLOOKUP(H38,SkillTable!$A$2:$E$2200,5,FALSE)</f>
        <v>#N/A</v>
      </c>
      <c r="I39" s="17"/>
      <c r="J39" s="18" t="e">
        <f>VLOOKUP(J38,SkillTable!$A$2:$E$2200,5,FALSE)</f>
        <v>#N/A</v>
      </c>
      <c r="K39" s="19" t="str">
        <f>"MAX LV "&amp;K38</f>
        <v xml:space="preserve">MAX LV </v>
      </c>
      <c r="L39" s="20" t="e">
        <f>VLOOKUP(L38,SkillTable!$A$2:$E$2200,5,FALSE)</f>
        <v>#N/A</v>
      </c>
      <c r="M39" s="17"/>
      <c r="N39" s="18" t="str">
        <f>VLOOKUP(N38,SkillTable!$A$2:$E$2200,5,FALSE)</f>
        <v>샤프 폴</v>
      </c>
      <c r="O39" s="19" t="str">
        <f>"MAX LV "&amp;O38</f>
        <v>MAX LV 5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14">
        <v>2008</v>
      </c>
      <c r="K41" s="15">
        <v>5</v>
      </c>
      <c r="L41" s="16"/>
      <c r="M41" s="17"/>
      <c r="N41" s="34"/>
      <c r="O41" s="15"/>
      <c r="P41" s="16"/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str">
        <f>VLOOKUP(J41,SkillTable!$A$2:$E$2200,5,FALSE)</f>
        <v>다이브킥 봄잉</v>
      </c>
      <c r="K42" s="19" t="str">
        <f>"MAX LV "&amp;K41</f>
        <v>MAX LV 5</v>
      </c>
      <c r="L42" s="20" t="e">
        <f>VLOOKUP(L41,SkillTable!$A$2:$E$2200,5,FALSE)</f>
        <v>#N/A</v>
      </c>
      <c r="M42" s="17"/>
      <c r="N42" s="18" t="e">
        <f>VLOOKUP(N41,SkillTable!$A$2:$E$2200,5,FALSE)</f>
        <v>#N/A</v>
      </c>
      <c r="O42" s="19" t="str">
        <f>"MAX LV "&amp;O41</f>
        <v xml:space="preserve">MAX LV </v>
      </c>
      <c r="P42" s="20" t="e">
        <f>VLOOKUP(P41,SkillTable!$A$2:$E$2200,5,FALSE)</f>
        <v>#N/A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10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6"/>
  <dimension ref="A1:T43"/>
  <sheetViews>
    <sheetView topLeftCell="A22" zoomScale="60" zoomScaleNormal="60" workbookViewId="0">
      <selection activeCell="J26" sqref="J26:K26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34"/>
      <c r="C2" s="15"/>
      <c r="D2" s="16"/>
      <c r="E2" s="17"/>
      <c r="F2" s="14">
        <v>4</v>
      </c>
      <c r="G2" s="15">
        <v>5</v>
      </c>
      <c r="H2" s="16"/>
      <c r="I2" s="17"/>
      <c r="J2" s="34"/>
      <c r="K2" s="15"/>
      <c r="L2" s="16"/>
      <c r="M2" s="17"/>
      <c r="N2" s="14">
        <v>2000</v>
      </c>
      <c r="O2" s="15">
        <v>5</v>
      </c>
      <c r="P2" s="16"/>
      <c r="Q2" s="17"/>
      <c r="R2" s="14">
        <v>2200</v>
      </c>
      <c r="S2" s="15">
        <v>1</v>
      </c>
      <c r="T2" s="16"/>
    </row>
    <row r="3" spans="1:20" ht="99.95" customHeight="1" thickBot="1">
      <c r="B3" s="18" t="e">
        <f>VLOOKUP(B2,SkillTable!$A$2:$E$2200,5,FALSE)</f>
        <v>#N/A</v>
      </c>
      <c r="C3" s="19" t="str">
        <f>"MAX LV "&amp;C2</f>
        <v xml:space="preserve">MAX LV </v>
      </c>
      <c r="D3" s="20" t="e">
        <f>VLOOKUP(D2,SkillTable!$A$2:$E$2200,5,FALSE)</f>
        <v>#N/A</v>
      </c>
      <c r="E3" s="17"/>
      <c r="F3" s="18" t="str">
        <f>VLOOKUP(F2,SkillTable!$A$2:$E$2200,5,FALSE)</f>
        <v>기초 마법방어술</v>
      </c>
      <c r="G3" s="19" t="str">
        <f>"MAX LV "&amp;G2</f>
        <v>MAX LV 5</v>
      </c>
      <c r="H3" s="20" t="e">
        <f>VLOOKUP(H2,SkillTable!$A$2:$E$2200,5,FALSE)</f>
        <v>#N/A</v>
      </c>
      <c r="I3" s="17"/>
      <c r="J3" s="18" t="e">
        <f>VLOOKUP(J2,SkillTable!$A$2:$E$2200,5,FALSE)</f>
        <v>#N/A</v>
      </c>
      <c r="K3" s="19" t="str">
        <f>"MAX LV "&amp;K2</f>
        <v xml:space="preserve">MAX LV </v>
      </c>
      <c r="L3" s="20" t="e">
        <f>VLOOKUP(L2,SkillTable!$A$2:$E$2200,5,FALSE)</f>
        <v>#N/A</v>
      </c>
      <c r="M3" s="17"/>
      <c r="N3" s="18" t="str">
        <f>VLOOKUP(N2,SkillTable!$A$2:$E$2200,5,FALSE)</f>
        <v>레일 스팅거</v>
      </c>
      <c r="O3" s="19" t="str">
        <f>"MAX LV "&amp;O2</f>
        <v>MAX LV 5</v>
      </c>
      <c r="P3" s="20" t="e">
        <f>VLOOKUP(P2,SkillTable!$A$2:$E$2200,5,FALSE)</f>
        <v>#N/A</v>
      </c>
      <c r="Q3" s="17"/>
      <c r="R3" s="18" t="str">
        <f>VLOOKUP(R2,SkillTable!$A$2:$E$2200,5,FALSE)</f>
        <v>시즈모드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14">
        <v>3</v>
      </c>
      <c r="C5" s="15">
        <v>5</v>
      </c>
      <c r="D5" s="16"/>
      <c r="E5" s="17"/>
      <c r="F5" s="34"/>
      <c r="G5" s="15"/>
      <c r="H5" s="16"/>
      <c r="I5" s="17"/>
      <c r="J5" s="34"/>
      <c r="K5" s="15"/>
      <c r="L5" s="16"/>
      <c r="M5" s="17"/>
      <c r="N5" s="14">
        <v>2002</v>
      </c>
      <c r="O5" s="15">
        <v>5</v>
      </c>
      <c r="P5" s="16"/>
      <c r="Q5" s="17"/>
      <c r="R5" s="14"/>
      <c r="S5" s="15"/>
      <c r="T5" s="16"/>
    </row>
    <row r="6" spans="1:20" ht="99.95" customHeight="1" thickBot="1">
      <c r="B6" s="18" t="str">
        <f>VLOOKUP(B5,SkillTable!$A$2:$E$2200,5,FALSE)</f>
        <v>기초 물리방어술</v>
      </c>
      <c r="C6" s="19" t="str">
        <f>"MAX LV "&amp;C5</f>
        <v>MAX LV 5</v>
      </c>
      <c r="D6" s="20" t="e">
        <f>VLOOKUP(D5,SkillTable!$A$2:$E$2200,5,FALSE)</f>
        <v>#N/A</v>
      </c>
      <c r="E6" s="17"/>
      <c r="F6" s="18" t="e">
        <f>VLOOKUP(F5,SkillTable!$A$2:$E$2200,5,FALSE)</f>
        <v>#N/A</v>
      </c>
      <c r="G6" s="19" t="str">
        <f>"MAX LV "&amp;G5</f>
        <v xml:space="preserve">MAX LV </v>
      </c>
      <c r="H6" s="20" t="e">
        <f>VLOOKUP(H5,SkillTable!$A$2:$E$2200,5,FALSE)</f>
        <v>#N/A</v>
      </c>
      <c r="I6" s="17"/>
      <c r="J6" s="18" t="e">
        <f>VLOOKUP(J5,SkillTable!$A$2:$E$2200,5,FALSE)</f>
        <v>#N/A</v>
      </c>
      <c r="K6" s="19" t="str">
        <f>"MAX LV "&amp;K5</f>
        <v xml:space="preserve">MAX LV </v>
      </c>
      <c r="L6" s="20" t="e">
        <f>VLOOKUP(L5,SkillTable!$A$2:$E$2200,5,FALSE)</f>
        <v>#N/A</v>
      </c>
      <c r="M6" s="17"/>
      <c r="N6" s="18" t="str">
        <f>VLOOKUP(N5,SkillTable!$A$2:$E$2200,5,FALSE)</f>
        <v>퍼펙트 스톰</v>
      </c>
      <c r="O6" s="19" t="str">
        <f>"MAX LV "&amp;O5</f>
        <v>MAX LV 5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14">
        <v>1</v>
      </c>
      <c r="C8" s="15">
        <v>5</v>
      </c>
      <c r="D8" s="16">
        <v>3</v>
      </c>
      <c r="E8" s="17"/>
      <c r="F8" s="34"/>
      <c r="G8" s="15"/>
      <c r="H8" s="16"/>
      <c r="I8" s="17"/>
      <c r="J8" s="14">
        <v>2001</v>
      </c>
      <c r="K8" s="15">
        <v>5</v>
      </c>
      <c r="L8" s="16"/>
      <c r="M8" s="17"/>
      <c r="N8" s="34"/>
      <c r="O8" s="15"/>
      <c r="P8" s="16"/>
      <c r="Q8" s="17"/>
      <c r="R8" s="34"/>
      <c r="S8" s="15"/>
      <c r="T8" s="16"/>
    </row>
    <row r="9" spans="1:20" ht="99.95" customHeight="1" thickBot="1">
      <c r="B9" s="18" t="str">
        <f>VLOOKUP(B8,SkillTable!$A$2:$E$2200,5,FALSE)</f>
        <v>기초 근력단련</v>
      </c>
      <c r="C9" s="19" t="str">
        <f>"MAX LV "&amp;C8</f>
        <v>MAX LV 5</v>
      </c>
      <c r="D9" s="20" t="str">
        <f>VLOOKUP(D8,SkillTable!$A$2:$E$2200,5,FALSE)</f>
        <v>기초 물리방어술</v>
      </c>
      <c r="E9" s="17"/>
      <c r="F9" s="18" t="e">
        <f>VLOOKUP(F8,SkillTable!$A$2:$E$2200,5,FALSE)</f>
        <v>#N/A</v>
      </c>
      <c r="G9" s="19" t="str">
        <f>"MAX LV "&amp;G8</f>
        <v xml:space="preserve">MAX LV </v>
      </c>
      <c r="H9" s="20" t="e">
        <f>VLOOKUP(H8,SkillTable!$A$2:$E$2200,5,FALSE)</f>
        <v>#N/A</v>
      </c>
      <c r="I9" s="17"/>
      <c r="J9" s="18" t="str">
        <f>VLOOKUP(J8,SkillTable!$A$2:$E$2200,5,FALSE)</f>
        <v>어설트 킥</v>
      </c>
      <c r="K9" s="19" t="str">
        <f>"MAX LV "&amp;K8</f>
        <v>MAX LV 5</v>
      </c>
      <c r="L9" s="20" t="e">
        <f>VLOOKUP(L8,SkillTable!$A$2:$E$2200,5,FALSE)</f>
        <v>#N/A</v>
      </c>
      <c r="M9" s="17"/>
      <c r="N9" s="18" t="e">
        <f>VLOOKUP(N8,SkillTable!$A$2:$E$2200,5,FALSE)</f>
        <v>#N/A</v>
      </c>
      <c r="O9" s="19" t="str">
        <f>"MAX LV "&amp;O8</f>
        <v xml:space="preserve">MAX LV 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34"/>
      <c r="C11" s="15"/>
      <c r="D11" s="16"/>
      <c r="E11" s="17"/>
      <c r="F11" s="14">
        <v>2</v>
      </c>
      <c r="G11" s="15">
        <v>5</v>
      </c>
      <c r="H11" s="16">
        <v>4</v>
      </c>
      <c r="I11" s="17"/>
      <c r="J11" s="34"/>
      <c r="K11" s="15"/>
      <c r="L11" s="16"/>
      <c r="M11" s="17"/>
      <c r="N11" s="34"/>
      <c r="O11" s="15"/>
      <c r="P11" s="16"/>
      <c r="Q11" s="17"/>
      <c r="R11" s="34"/>
      <c r="S11" s="15"/>
      <c r="T11" s="16"/>
    </row>
    <row r="12" spans="1:20" ht="99.95" customHeight="1" thickBot="1">
      <c r="B12" s="18" t="e">
        <f>VLOOKUP(B11,SkillTable!$A$2:$E$2200,5,FALSE)</f>
        <v>#N/A</v>
      </c>
      <c r="C12" s="19" t="str">
        <f>"MAX LV "&amp;C11</f>
        <v xml:space="preserve">MAX LV </v>
      </c>
      <c r="D12" s="20" t="e">
        <f>VLOOKUP(D11,SkillTable!$A$2:$E$2200,5,FALSE)</f>
        <v>#N/A</v>
      </c>
      <c r="E12" s="17"/>
      <c r="F12" s="18" t="str">
        <f>VLOOKUP(F11,SkillTable!$A$2:$E$2200,5,FALSE)</f>
        <v>기초 마법수련</v>
      </c>
      <c r="G12" s="19" t="str">
        <f>"MAX LV "&amp;G11</f>
        <v>MAX LV 5</v>
      </c>
      <c r="H12" s="20" t="str">
        <f>VLOOKUP(H11,SkillTable!$A$2:$E$2200,5,FALSE)</f>
        <v>기초 마법방어술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e">
        <f>VLOOKUP(N11,SkillTable!$A$2:$E$2200,5,FALSE)</f>
        <v>#N/A</v>
      </c>
      <c r="O12" s="19" t="str">
        <f>"MAX LV "&amp;O11</f>
        <v xml:space="preserve">MAX LV </v>
      </c>
      <c r="P12" s="20" t="e">
        <f>VLOOKUP(P11,SkillTable!$A$2:$E$2200,5,FALSE)</f>
        <v>#N/A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34"/>
      <c r="C14" s="15"/>
      <c r="D14" s="16"/>
      <c r="E14" s="17"/>
      <c r="F14" s="14">
        <v>301</v>
      </c>
      <c r="G14" s="15">
        <v>3</v>
      </c>
      <c r="H14" s="16"/>
      <c r="I14" s="17"/>
      <c r="J14" s="14">
        <v>2003</v>
      </c>
      <c r="K14" s="15">
        <v>5</v>
      </c>
      <c r="L14" s="16">
        <v>2001</v>
      </c>
      <c r="M14" s="17"/>
      <c r="N14" s="34"/>
      <c r="O14" s="15"/>
      <c r="P14" s="16"/>
      <c r="Q14" s="17"/>
      <c r="R14" s="34"/>
      <c r="S14" s="15"/>
      <c r="T14" s="16"/>
    </row>
    <row r="15" spans="1:20" ht="99.95" customHeight="1" thickBot="1">
      <c r="B15" s="18" t="e">
        <f>VLOOKUP(B14,SkillTable!$A$2:$E$2200,5,FALSE)</f>
        <v>#N/A</v>
      </c>
      <c r="C15" s="19" t="str">
        <f>"MAX LV "&amp;C14</f>
        <v xml:space="preserve">MAX LV </v>
      </c>
      <c r="D15" s="20" t="e">
        <f>VLOOKUP(D14,SkillTable!$A$2:$E$2200,5,FALSE)</f>
        <v>#N/A</v>
      </c>
      <c r="E15" s="17"/>
      <c r="F15" s="18" t="str">
        <f>VLOOKUP(F14,SkillTable!$A$2:$E$2200,5,FALSE)</f>
        <v>매직 액셀레이터</v>
      </c>
      <c r="G15" s="19" t="str">
        <f>"MAX LV "&amp;G14</f>
        <v>MAX LV 3</v>
      </c>
      <c r="H15" s="20" t="e">
        <f>VLOOKUP(H14,SkillTable!$A$2:$E$2200,5,FALSE)</f>
        <v>#N/A</v>
      </c>
      <c r="I15" s="17"/>
      <c r="J15" s="18" t="str">
        <f>VLOOKUP(J14,SkillTable!$A$2:$E$2200,5,FALSE)</f>
        <v>멀티플 스팅거</v>
      </c>
      <c r="K15" s="19" t="str">
        <f>"MAX LV "&amp;K14</f>
        <v>MAX LV 5</v>
      </c>
      <c r="L15" s="20" t="str">
        <f>VLOOKUP(L14,SkillTable!$A$2:$E$2200,5,FALSE)</f>
        <v>어설트 킥</v>
      </c>
      <c r="M15" s="17"/>
      <c r="N15" s="18" t="e">
        <f>VLOOKUP(N14,SkillTable!$A$2:$E$2200,5,FALSE)</f>
        <v>#N/A</v>
      </c>
      <c r="O15" s="19" t="str">
        <f>"MAX LV "&amp;O14</f>
        <v xml:space="preserve">MAX LV </v>
      </c>
      <c r="P15" s="20" t="e">
        <f>VLOOKUP(P14,SkillTable!$A$2:$E$2200,5,FALSE)</f>
        <v>#N/A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14">
        <v>300</v>
      </c>
      <c r="C17" s="15">
        <v>3</v>
      </c>
      <c r="D17" s="16">
        <v>1</v>
      </c>
      <c r="E17" s="17"/>
      <c r="F17" s="14">
        <v>302</v>
      </c>
      <c r="G17" s="15">
        <v>3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2400</v>
      </c>
      <c r="S17" s="15">
        <v>3</v>
      </c>
      <c r="T17" s="16">
        <v>2200</v>
      </c>
    </row>
    <row r="18" spans="1:20" ht="99.95" customHeight="1" thickBot="1">
      <c r="B18" s="18" t="str">
        <f>VLOOKUP(B17,SkillTable!$A$2:$E$2200,5,FALSE)</f>
        <v>파워 액셀레이터</v>
      </c>
      <c r="C18" s="19" t="str">
        <f>"MAX LV "&amp;C17</f>
        <v>MAX LV 3</v>
      </c>
      <c r="D18" s="20" t="str">
        <f>VLOOKUP(D17,SkillTable!$A$2:$E$2200,5,FALSE)</f>
        <v>기초 근력단련</v>
      </c>
      <c r="E18" s="17"/>
      <c r="F18" s="18" t="str">
        <f>VLOOKUP(F17,SkillTable!$A$2:$E$2200,5,FALSE)</f>
        <v>실드 액셀레이터</v>
      </c>
      <c r="G18" s="19" t="str">
        <f>"MAX LV "&amp;G17</f>
        <v>MAX LV 3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시즈모드 연마</v>
      </c>
      <c r="S18" s="19" t="str">
        <f>"MAX LV "&amp;S17</f>
        <v>MAX LV 3</v>
      </c>
      <c r="T18" s="20" t="str">
        <f>VLOOKUP(T17,SkillTable!$A$2:$E$2200,5,FALSE)</f>
        <v>시즈모드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2005</v>
      </c>
      <c r="K20" s="15">
        <v>5</v>
      </c>
      <c r="L20" s="16"/>
      <c r="M20" s="17"/>
      <c r="N20" s="14">
        <v>2004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피닉스 스트라이크</v>
      </c>
      <c r="K21" s="19" t="str">
        <f>"MAX LV "&amp;K20</f>
        <v>MAX LV 5</v>
      </c>
      <c r="L21" s="20" t="e">
        <f>VLOOKUP(L20,SkillTable!$A$2:$E$2200,5,FALSE)</f>
        <v>#N/A</v>
      </c>
      <c r="M21" s="17"/>
      <c r="N21" s="18" t="str">
        <f>VLOOKUP(N20,SkillTable!$A$2:$E$2200,5,FALSE)</f>
        <v>에어로 토네이도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29">
        <v>2201</v>
      </c>
      <c r="S23" s="30">
        <v>3</v>
      </c>
      <c r="T23" s="31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백덤블링 샷</v>
      </c>
      <c r="S24" s="19" t="str">
        <f>"MAX LV "&amp;S23</f>
        <v>MAX LV 3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34"/>
      <c r="K26" s="15"/>
      <c r="L26" s="16"/>
      <c r="M26" s="17"/>
      <c r="N26" s="14">
        <v>2009</v>
      </c>
      <c r="O26" s="15">
        <v>5</v>
      </c>
      <c r="P26" s="16"/>
      <c r="Q26" s="17"/>
      <c r="R26" s="34">
        <v>2204</v>
      </c>
      <c r="S26" s="15">
        <v>5</v>
      </c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e">
        <f>VLOOKUP(J26,SkillTable!$A$2:$E$2200,5,FALSE)</f>
        <v>#N/A</v>
      </c>
      <c r="K27" s="19" t="str">
        <f>"MAX LV "&amp;K26</f>
        <v xml:space="preserve">MAX LV </v>
      </c>
      <c r="L27" s="20" t="e">
        <f>VLOOKUP(L26,SkillTable!$A$2:$E$2200,5,FALSE)</f>
        <v>#N/A</v>
      </c>
      <c r="M27" s="17"/>
      <c r="N27" s="18" t="str">
        <f>VLOOKUP(N26,SkillTable!$A$2:$E$2200,5,FALSE)</f>
        <v>허밍 윈드</v>
      </c>
      <c r="O27" s="19" t="str">
        <f>"MAX LV "&amp;O26</f>
        <v>MAX LV 5</v>
      </c>
      <c r="P27" s="20" t="e">
        <f>VLOOKUP(P26,SkillTable!$A$2:$E$2200,5,FALSE)</f>
        <v>#N/A</v>
      </c>
      <c r="Q27" s="17"/>
      <c r="R27" s="18" t="str">
        <f>VLOOKUP(R26,SkillTable!$A$2:$E$2200,5,FALSE)</f>
        <v>인탱글</v>
      </c>
      <c r="S27" s="19" t="str">
        <f>"MAX LV "&amp;S26</f>
        <v>MAX LV 5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14">
        <v>5</v>
      </c>
      <c r="C29" s="15">
        <v>3</v>
      </c>
      <c r="D29" s="16"/>
      <c r="E29" s="17"/>
      <c r="F29" s="14">
        <v>6</v>
      </c>
      <c r="G29" s="15">
        <v>5</v>
      </c>
      <c r="H29" s="16"/>
      <c r="I29" s="17"/>
      <c r="J29" s="14">
        <v>2404</v>
      </c>
      <c r="K29" s="15">
        <v>5</v>
      </c>
      <c r="L29" s="16"/>
      <c r="M29" s="17"/>
      <c r="N29" s="34"/>
      <c r="O29" s="15"/>
      <c r="P29" s="16"/>
      <c r="Q29" s="17"/>
      <c r="R29" s="34"/>
      <c r="S29" s="15"/>
      <c r="T29" s="16"/>
    </row>
    <row r="30" spans="1:20" ht="99.95" customHeight="1" thickBot="1">
      <c r="B30" s="18" t="str">
        <f>VLOOKUP(B29,SkillTable!$A$2:$E$2200,5,FALSE)</f>
        <v>중급 근력단련</v>
      </c>
      <c r="C30" s="19" t="str">
        <f>"MAX LV "&amp;C29</f>
        <v>MAX LV 3</v>
      </c>
      <c r="D30" s="20" t="e">
        <f>VLOOKUP(D29,SkillTable!$A$2:$E$2200,5,FALSE)</f>
        <v>#N/A</v>
      </c>
      <c r="E30" s="17"/>
      <c r="F30" s="18" t="str">
        <f>VLOOKUP(F29,SkillTable!$A$2:$E$2200,5,FALSE)</f>
        <v>중급 마법수련</v>
      </c>
      <c r="G30" s="19" t="str">
        <f>"MAX LV "&amp;G29</f>
        <v>MAX LV 5</v>
      </c>
      <c r="H30" s="20" t="e">
        <f>VLOOKUP(H29,SkillTable!$A$2:$E$2200,5,FALSE)</f>
        <v>#N/A</v>
      </c>
      <c r="I30" s="17"/>
      <c r="J30" s="18" t="str">
        <f>VLOOKUP(J29,SkillTable!$A$2:$E$2200,5,FALSE)</f>
        <v>다듬어진 화살</v>
      </c>
      <c r="K30" s="19" t="str">
        <f>"MAX LV "&amp;K29</f>
        <v>MAX LV 5</v>
      </c>
      <c r="L30" s="20" t="e">
        <f>VLOOKUP(L29,SkillTable!$A$2:$E$2200,5,FALSE)</f>
        <v>#N/A</v>
      </c>
      <c r="M30" s="17"/>
      <c r="N30" s="18" t="e">
        <f>VLOOKUP(N29,SkillTable!$A$2:$E$2200,5,FALSE)</f>
        <v>#N/A</v>
      </c>
      <c r="O30" s="19" t="str">
        <f>"MAX LV "&amp;O29</f>
        <v xml:space="preserve">MAX LV 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34"/>
      <c r="K32" s="15"/>
      <c r="L32" s="16"/>
      <c r="M32" s="17"/>
      <c r="N32" s="14">
        <v>2010</v>
      </c>
      <c r="O32" s="15">
        <v>5</v>
      </c>
      <c r="P32" s="16">
        <v>2009</v>
      </c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e">
        <f>VLOOKUP(J32,SkillTable!$A$2:$E$2200,5,FALSE)</f>
        <v>#N/A</v>
      </c>
      <c r="K33" s="19" t="str">
        <f>"MAX LV "&amp;K32</f>
        <v xml:space="preserve">MAX LV </v>
      </c>
      <c r="L33" s="20" t="e">
        <f>VLOOKUP(L32,SkillTable!$A$2:$E$2200,5,FALSE)</f>
        <v>#N/A</v>
      </c>
      <c r="M33" s="17"/>
      <c r="N33" s="18" t="str">
        <f>VLOOKUP(N32,SkillTable!$A$2:$E$2200,5,FALSE)</f>
        <v>가이드 애로우</v>
      </c>
      <c r="O33" s="19" t="str">
        <f>"MAX LV "&amp;O32</f>
        <v>MAX LV 5</v>
      </c>
      <c r="P33" s="20" t="str">
        <f>VLOOKUP(P32,SkillTable!$A$2:$E$2200,5,FALSE)</f>
        <v>허밍 윈드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14">
        <v>306</v>
      </c>
      <c r="C35" s="15">
        <v>3</v>
      </c>
      <c r="D35" s="16">
        <v>5</v>
      </c>
      <c r="E35" s="17"/>
      <c r="F35" s="14">
        <v>307</v>
      </c>
      <c r="G35" s="15">
        <v>5</v>
      </c>
      <c r="H35" s="16">
        <v>6</v>
      </c>
      <c r="I35" s="17"/>
      <c r="J35" s="14">
        <v>2402</v>
      </c>
      <c r="K35" s="15">
        <v>5</v>
      </c>
      <c r="L35" s="16"/>
      <c r="M35" s="17"/>
      <c r="N35" s="34"/>
      <c r="O35" s="15"/>
      <c r="P35" s="16"/>
      <c r="Q35" s="17"/>
      <c r="R35" s="14">
        <v>2202</v>
      </c>
      <c r="S35" s="15">
        <v>3</v>
      </c>
      <c r="T35" s="16"/>
    </row>
    <row r="36" spans="1:20" ht="99.95" customHeight="1" thickBot="1">
      <c r="B36" s="18" t="str">
        <f>VLOOKUP(B35,SkillTable!$A$2:$E$2200,5,FALSE)</f>
        <v>파워 아드레날린</v>
      </c>
      <c r="C36" s="19" t="str">
        <f>"MAX LV "&amp;C35</f>
        <v>MAX LV 3</v>
      </c>
      <c r="D36" s="20" t="str">
        <f>VLOOKUP(D35,SkillTable!$A$2:$E$2200,5,FALSE)</f>
        <v>중급 근력단련</v>
      </c>
      <c r="E36" s="17"/>
      <c r="F36" s="18" t="str">
        <f>VLOOKUP(F35,SkillTable!$A$2:$E$2200,5,FALSE)</f>
        <v>매직 아드레날린</v>
      </c>
      <c r="G36" s="19" t="str">
        <f>"MAX LV "&amp;G35</f>
        <v>MAX LV 5</v>
      </c>
      <c r="H36" s="20" t="str">
        <f>VLOOKUP(H35,SkillTable!$A$2:$E$2200,5,FALSE)</f>
        <v>중급 마법수련</v>
      </c>
      <c r="I36" s="17"/>
      <c r="J36" s="18" t="str">
        <f>VLOOKUP(J35,SkillTable!$A$2:$E$2200,5,FALSE)</f>
        <v>강화된 보우스트링</v>
      </c>
      <c r="K36" s="19" t="str">
        <f>"MAX LV "&amp;K35</f>
        <v>MAX LV 5</v>
      </c>
      <c r="L36" s="20" t="e">
        <f>VLOOKUP(L35,SkillTable!$A$2:$E$2200,5,FALSE)</f>
        <v>#N/A</v>
      </c>
      <c r="M36" s="17"/>
      <c r="N36" s="18" t="e">
        <f>VLOOKUP(N35,SkillTable!$A$2:$E$2200,5,FALSE)</f>
        <v>#N/A</v>
      </c>
      <c r="O36" s="19" t="str">
        <f>"MAX LV "&amp;O35</f>
        <v xml:space="preserve">MAX LV </v>
      </c>
      <c r="P36" s="20" t="e">
        <f>VLOOKUP(P35,SkillTable!$A$2:$E$2200,5,FALSE)</f>
        <v>#N/A</v>
      </c>
      <c r="Q36" s="17"/>
      <c r="R36" s="18" t="str">
        <f>VLOOKUP(R35,SkillTable!$A$2:$E$2200,5,FALSE)</f>
        <v>리플렉트 킥</v>
      </c>
      <c r="S36" s="19" t="str">
        <f>"MAX LV "&amp;S35</f>
        <v>MAX LV 3</v>
      </c>
      <c r="T36" s="20" t="e">
        <f>VLOOKUP(T35,SkillTable!$A$2:$E$2200,5,FALSE)</f>
        <v>#N/A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14">
        <v>2403</v>
      </c>
      <c r="G38" s="15">
        <v>5</v>
      </c>
      <c r="H38" s="16"/>
      <c r="I38" s="17"/>
      <c r="J38" s="34">
        <v>2013</v>
      </c>
      <c r="K38" s="15">
        <v>5</v>
      </c>
      <c r="L38" s="16"/>
      <c r="M38" s="17"/>
      <c r="N38" s="34"/>
      <c r="O38" s="15"/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str">
        <f>VLOOKUP(F38,SkillTable!$A$2:$E$2200,5,FALSE)</f>
        <v>호크 아이</v>
      </c>
      <c r="G39" s="19" t="str">
        <f>"MAX LV "&amp;G38</f>
        <v>MAX LV 5</v>
      </c>
      <c r="H39" s="20" t="e">
        <f>VLOOKUP(H38,SkillTable!$A$2:$E$2200,5,FALSE)</f>
        <v>#N/A</v>
      </c>
      <c r="I39" s="17"/>
      <c r="J39" s="18" t="str">
        <f>VLOOKUP(J38,SkillTable!$A$2:$E$2200,5,FALSE)</f>
        <v>윈드 워드</v>
      </c>
      <c r="K39" s="19" t="str">
        <f>"MAX LV "&amp;K38</f>
        <v>MAX LV 5</v>
      </c>
      <c r="L39" s="20" t="e">
        <f>VLOOKUP(L38,SkillTable!$A$2:$E$2200,5,FALSE)</f>
        <v>#N/A</v>
      </c>
      <c r="M39" s="17"/>
      <c r="N39" s="18" t="e">
        <f>VLOOKUP(N38,SkillTable!$A$2:$E$2200,5,FALSE)</f>
        <v>#N/A</v>
      </c>
      <c r="O39" s="19" t="str">
        <f>"MAX LV "&amp;O38</f>
        <v xml:space="preserve">MAX LV 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34"/>
      <c r="K41" s="15"/>
      <c r="L41" s="16"/>
      <c r="M41" s="17"/>
      <c r="N41" s="14">
        <v>2011</v>
      </c>
      <c r="O41" s="15">
        <v>5</v>
      </c>
      <c r="P41" s="16"/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e">
        <f>VLOOKUP(J41,SkillTable!$A$2:$E$2200,5,FALSE)</f>
        <v>#N/A</v>
      </c>
      <c r="K42" s="19" t="str">
        <f>"MAX LV "&amp;K41</f>
        <v xml:space="preserve">MAX LV </v>
      </c>
      <c r="L42" s="20" t="e">
        <f>VLOOKUP(L41,SkillTable!$A$2:$E$2200,5,FALSE)</f>
        <v>#N/A</v>
      </c>
      <c r="M42" s="17"/>
      <c r="N42" s="18" t="str">
        <f>VLOOKUP(N41,SkillTable!$A$2:$E$2200,5,FALSE)</f>
        <v>크레이지 샷</v>
      </c>
      <c r="O42" s="19" t="str">
        <f>"MAX LV "&amp;O41</f>
        <v>MAX LV 5</v>
      </c>
      <c r="P42" s="20" t="e">
        <f>VLOOKUP(P41,SkillTable!$A$2:$E$2200,5,FALSE)</f>
        <v>#N/A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7"/>
  <dimension ref="A1:T43"/>
  <sheetViews>
    <sheetView topLeftCell="A22" zoomScale="60" zoomScaleNormal="60" workbookViewId="0">
      <selection activeCell="Q28" sqref="Q28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34"/>
      <c r="C2" s="15"/>
      <c r="D2" s="16"/>
      <c r="E2" s="17"/>
      <c r="F2" s="14">
        <v>3</v>
      </c>
      <c r="G2" s="15">
        <v>5</v>
      </c>
      <c r="H2" s="16"/>
      <c r="I2" s="17"/>
      <c r="J2" s="14">
        <v>2500</v>
      </c>
      <c r="K2" s="15">
        <v>5</v>
      </c>
      <c r="L2" s="16"/>
      <c r="M2" s="17"/>
      <c r="N2" s="34"/>
      <c r="O2" s="15"/>
      <c r="P2" s="16"/>
      <c r="Q2" s="17"/>
      <c r="R2" s="14">
        <v>2700</v>
      </c>
      <c r="S2" s="15">
        <v>1</v>
      </c>
      <c r="T2" s="16"/>
    </row>
    <row r="3" spans="1:20" ht="99.95" customHeight="1" thickBot="1">
      <c r="B3" s="18" t="e">
        <f>VLOOKUP(B2,SkillTable!$A$2:$E$2200,5,FALSE)</f>
        <v>#N/A</v>
      </c>
      <c r="C3" s="19" t="str">
        <f>"MAX LV "&amp;C2</f>
        <v xml:space="preserve">MAX LV </v>
      </c>
      <c r="D3" s="20" t="e">
        <f>VLOOKUP(D2,SkillTable!$A$2:$E$2200,5,FALSE)</f>
        <v>#N/A</v>
      </c>
      <c r="E3" s="17"/>
      <c r="F3" s="18" t="str">
        <f>VLOOKUP(F2,SkillTable!$A$2:$E$2200,5,FALSE)</f>
        <v>기초 물리방어술</v>
      </c>
      <c r="G3" s="19" t="str">
        <f>"MAX LV "&amp;G2</f>
        <v>MAX LV 5</v>
      </c>
      <c r="H3" s="20" t="e">
        <f>VLOOKUP(H2,SkillTable!$A$2:$E$2200,5,FALSE)</f>
        <v>#N/A</v>
      </c>
      <c r="I3" s="17"/>
      <c r="J3" s="18" t="str">
        <f>VLOOKUP(J2,SkillTable!$A$2:$E$2200,5,FALSE)</f>
        <v>맥시멈 캐논</v>
      </c>
      <c r="K3" s="19" t="str">
        <f>"MAX LV "&amp;K2</f>
        <v>MAX LV 5</v>
      </c>
      <c r="L3" s="20" t="e">
        <f>VLOOKUP(L2,SkillTable!$A$2:$E$2200,5,FALSE)</f>
        <v>#N/A</v>
      </c>
      <c r="M3" s="17"/>
      <c r="N3" s="18" t="e">
        <f>VLOOKUP(N2,SkillTable!$A$2:$E$2200,5,FALSE)</f>
        <v>#N/A</v>
      </c>
      <c r="O3" s="19" t="str">
        <f>"MAX LV "&amp;O2</f>
        <v xml:space="preserve">MAX LV </v>
      </c>
      <c r="P3" s="20" t="e">
        <f>VLOOKUP(P2,SkillTable!$A$2:$E$2200,5,FALSE)</f>
        <v>#N/A</v>
      </c>
      <c r="Q3" s="17"/>
      <c r="R3" s="18" t="str">
        <f>VLOOKUP(R2,SkillTable!$A$2:$E$2200,5,FALSE)</f>
        <v>버닝 러시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14">
        <v>4</v>
      </c>
      <c r="C5" s="15">
        <v>5</v>
      </c>
      <c r="D5" s="16"/>
      <c r="E5" s="17"/>
      <c r="F5" s="34"/>
      <c r="G5" s="15"/>
      <c r="H5" s="16"/>
      <c r="I5" s="17"/>
      <c r="J5" s="14">
        <v>2503</v>
      </c>
      <c r="K5" s="15">
        <v>5</v>
      </c>
      <c r="L5" s="16"/>
      <c r="M5" s="17"/>
      <c r="N5" s="34"/>
      <c r="O5" s="15"/>
      <c r="P5" s="16"/>
      <c r="Q5" s="17"/>
      <c r="R5" s="14"/>
      <c r="S5" s="15"/>
      <c r="T5" s="16"/>
    </row>
    <row r="6" spans="1:20" ht="99.95" customHeight="1" thickBot="1">
      <c r="B6" s="18" t="str">
        <f>VLOOKUP(B5,SkillTable!$A$2:$E$2200,5,FALSE)</f>
        <v>기초 마법방어술</v>
      </c>
      <c r="C6" s="19" t="str">
        <f>"MAX LV "&amp;C5</f>
        <v>MAX LV 5</v>
      </c>
      <c r="D6" s="20" t="e">
        <f>VLOOKUP(D5,SkillTable!$A$2:$E$2200,5,FALSE)</f>
        <v>#N/A</v>
      </c>
      <c r="E6" s="17"/>
      <c r="F6" s="18" t="e">
        <f>VLOOKUP(F5,SkillTable!$A$2:$E$2200,5,FALSE)</f>
        <v>#N/A</v>
      </c>
      <c r="G6" s="19" t="str">
        <f>"MAX LV "&amp;G5</f>
        <v xml:space="preserve">MAX LV </v>
      </c>
      <c r="H6" s="20" t="e">
        <f>VLOOKUP(H5,SkillTable!$A$2:$E$2200,5,FALSE)</f>
        <v>#N/A</v>
      </c>
      <c r="I6" s="17"/>
      <c r="J6" s="18" t="str">
        <f>VLOOKUP(J5,SkillTable!$A$2:$E$2200,5,FALSE)</f>
        <v>캐논 블레이드</v>
      </c>
      <c r="K6" s="19" t="str">
        <f>"MAX LV "&amp;K5</f>
        <v>MAX LV 5</v>
      </c>
      <c r="L6" s="20" t="e">
        <f>VLOOKUP(L5,SkillTable!$A$2:$E$2200,5,FALSE)</f>
        <v>#N/A</v>
      </c>
      <c r="M6" s="17"/>
      <c r="N6" s="18" t="e">
        <f>VLOOKUP(N5,SkillTable!$A$2:$E$2200,5,FALSE)</f>
        <v>#N/A</v>
      </c>
      <c r="O6" s="19" t="str">
        <f>"MAX LV "&amp;O5</f>
        <v xml:space="preserve">MAX LV 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34"/>
      <c r="C8" s="15"/>
      <c r="D8" s="16"/>
      <c r="E8" s="17"/>
      <c r="F8" s="14">
        <v>1</v>
      </c>
      <c r="G8" s="15">
        <v>5</v>
      </c>
      <c r="H8" s="16">
        <v>3</v>
      </c>
      <c r="I8" s="17"/>
      <c r="J8" s="34"/>
      <c r="K8" s="15"/>
      <c r="L8" s="16"/>
      <c r="M8" s="17"/>
      <c r="N8" s="14">
        <v>2502</v>
      </c>
      <c r="O8" s="15">
        <v>5</v>
      </c>
      <c r="P8" s="16"/>
      <c r="Q8" s="17"/>
      <c r="R8" s="34"/>
      <c r="S8" s="15"/>
      <c r="T8" s="16"/>
    </row>
    <row r="9" spans="1:20" ht="99.95" customHeight="1" thickBot="1">
      <c r="B9" s="18" t="e">
        <f>VLOOKUP(B8,SkillTable!$A$2:$E$2200,5,FALSE)</f>
        <v>#N/A</v>
      </c>
      <c r="C9" s="19" t="str">
        <f>"MAX LV "&amp;C8</f>
        <v xml:space="preserve">MAX LV </v>
      </c>
      <c r="D9" s="20" t="e">
        <f>VLOOKUP(D8,SkillTable!$A$2:$E$2200,5,FALSE)</f>
        <v>#N/A</v>
      </c>
      <c r="E9" s="17"/>
      <c r="F9" s="18" t="str">
        <f>VLOOKUP(F8,SkillTable!$A$2:$E$2200,5,FALSE)</f>
        <v>기초 근력단련</v>
      </c>
      <c r="G9" s="19" t="str">
        <f>"MAX LV "&amp;G8</f>
        <v>MAX LV 5</v>
      </c>
      <c r="H9" s="20" t="str">
        <f>VLOOKUP(H8,SkillTable!$A$2:$E$2200,5,FALSE)</f>
        <v>기초 물리방어술</v>
      </c>
      <c r="I9" s="17"/>
      <c r="J9" s="18" t="e">
        <f>VLOOKUP(J8,SkillTable!$A$2:$E$2200,5,FALSE)</f>
        <v>#N/A</v>
      </c>
      <c r="K9" s="19" t="str">
        <f>"MAX LV "&amp;K8</f>
        <v xml:space="preserve">MAX LV </v>
      </c>
      <c r="L9" s="20" t="e">
        <f>VLOOKUP(L8,SkillTable!$A$2:$E$2200,5,FALSE)</f>
        <v>#N/A</v>
      </c>
      <c r="M9" s="17"/>
      <c r="N9" s="18" t="str">
        <f>VLOOKUP(N8,SkillTable!$A$2:$E$2200,5,FALSE)</f>
        <v>파워 어설트</v>
      </c>
      <c r="O9" s="19" t="str">
        <f>"MAX LV "&amp;O8</f>
        <v>MAX LV 5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14">
        <v>2</v>
      </c>
      <c r="C11" s="15">
        <v>5</v>
      </c>
      <c r="D11" s="16">
        <v>4</v>
      </c>
      <c r="E11" s="17"/>
      <c r="F11" s="34"/>
      <c r="G11" s="15"/>
      <c r="H11" s="16"/>
      <c r="I11" s="17"/>
      <c r="J11" s="34"/>
      <c r="K11" s="15"/>
      <c r="L11" s="16"/>
      <c r="M11" s="17"/>
      <c r="N11" s="34"/>
      <c r="O11" s="15"/>
      <c r="P11" s="16"/>
      <c r="Q11" s="17"/>
      <c r="R11" s="34"/>
      <c r="S11" s="15"/>
      <c r="T11" s="16"/>
    </row>
    <row r="12" spans="1:20" ht="99.95" customHeight="1" thickBot="1">
      <c r="B12" s="18" t="str">
        <f>VLOOKUP(B11,SkillTable!$A$2:$E$2200,5,FALSE)</f>
        <v>기초 마법수련</v>
      </c>
      <c r="C12" s="19" t="str">
        <f>"MAX LV "&amp;C11</f>
        <v>MAX LV 5</v>
      </c>
      <c r="D12" s="20" t="str">
        <f>VLOOKUP(D11,SkillTable!$A$2:$E$2200,5,FALSE)</f>
        <v>기초 마법방어술</v>
      </c>
      <c r="E12" s="17"/>
      <c r="F12" s="18" t="e">
        <f>VLOOKUP(F11,SkillTable!$A$2:$E$2200,5,FALSE)</f>
        <v>#N/A</v>
      </c>
      <c r="G12" s="19" t="str">
        <f>"MAX LV "&amp;G11</f>
        <v xml:space="preserve">MAX LV </v>
      </c>
      <c r="H12" s="20" t="e">
        <f>VLOOKUP(H11,SkillTable!$A$2:$E$2200,5,FALSE)</f>
        <v>#N/A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e">
        <f>VLOOKUP(N11,SkillTable!$A$2:$E$2200,5,FALSE)</f>
        <v>#N/A</v>
      </c>
      <c r="O12" s="19" t="str">
        <f>"MAX LV "&amp;O11</f>
        <v xml:space="preserve">MAX LV </v>
      </c>
      <c r="P12" s="20" t="e">
        <f>VLOOKUP(P11,SkillTable!$A$2:$E$2200,5,FALSE)</f>
        <v>#N/A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14">
        <v>301</v>
      </c>
      <c r="C14" s="15">
        <v>3</v>
      </c>
      <c r="D14" s="16"/>
      <c r="E14" s="17"/>
      <c r="F14" s="34"/>
      <c r="G14" s="15"/>
      <c r="H14" s="16"/>
      <c r="I14" s="17"/>
      <c r="J14" s="34"/>
      <c r="K14" s="15"/>
      <c r="L14" s="16"/>
      <c r="M14" s="17"/>
      <c r="N14" s="14">
        <v>2501</v>
      </c>
      <c r="O14" s="15">
        <v>5</v>
      </c>
      <c r="P14" s="16">
        <v>2502</v>
      </c>
      <c r="Q14" s="17"/>
      <c r="R14" s="34"/>
      <c r="S14" s="15"/>
      <c r="T14" s="16"/>
    </row>
    <row r="15" spans="1:20" ht="99.95" customHeight="1" thickBot="1">
      <c r="B15" s="18" t="str">
        <f>VLOOKUP(B14,SkillTable!$A$2:$E$2200,5,FALSE)</f>
        <v>매직 액셀레이터</v>
      </c>
      <c r="C15" s="19" t="str">
        <f>"MAX LV "&amp;C14</f>
        <v>MAX LV 3</v>
      </c>
      <c r="D15" s="20" t="e">
        <f>VLOOKUP(D14,SkillTable!$A$2:$E$2200,5,FALSE)</f>
        <v>#N/A</v>
      </c>
      <c r="E15" s="17"/>
      <c r="F15" s="18" t="e">
        <f>VLOOKUP(F14,SkillTable!$A$2:$E$2200,5,FALSE)</f>
        <v>#N/A</v>
      </c>
      <c r="G15" s="19" t="str">
        <f>"MAX LV "&amp;G14</f>
        <v xml:space="preserve">MAX LV </v>
      </c>
      <c r="H15" s="20" t="e">
        <f>VLOOKUP(H14,SkillTable!$A$2:$E$2200,5,FALSE)</f>
        <v>#N/A</v>
      </c>
      <c r="I15" s="17"/>
      <c r="J15" s="18" t="e">
        <f>VLOOKUP(J14,SkillTable!$A$2:$E$2200,5,FALSE)</f>
        <v>#N/A</v>
      </c>
      <c r="K15" s="19" t="str">
        <f>"MAX LV "&amp;K14</f>
        <v xml:space="preserve">MAX LV </v>
      </c>
      <c r="L15" s="20" t="e">
        <f>VLOOKUP(L14,SkillTable!$A$2:$E$2200,5,FALSE)</f>
        <v>#N/A</v>
      </c>
      <c r="M15" s="17"/>
      <c r="N15" s="18" t="str">
        <f>VLOOKUP(N14,SkillTable!$A$2:$E$2200,5,FALSE)</f>
        <v>어스 브레이크</v>
      </c>
      <c r="O15" s="19" t="str">
        <f>"MAX LV "&amp;O14</f>
        <v>MAX LV 5</v>
      </c>
      <c r="P15" s="20" t="str">
        <f>VLOOKUP(P14,SkillTable!$A$2:$E$2200,5,FALSE)</f>
        <v>파워 어설트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14">
        <v>302</v>
      </c>
      <c r="C17" s="15">
        <v>3</v>
      </c>
      <c r="D17" s="16"/>
      <c r="E17" s="17"/>
      <c r="F17" s="14">
        <v>300</v>
      </c>
      <c r="G17" s="15">
        <v>3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9</v>
      </c>
      <c r="S17" s="15">
        <v>5</v>
      </c>
      <c r="T17" s="16"/>
    </row>
    <row r="18" spans="1:20" ht="99.95" customHeight="1" thickBot="1">
      <c r="B18" s="18" t="str">
        <f>VLOOKUP(B17,SkillTable!$A$2:$E$2200,5,FALSE)</f>
        <v>실드 액셀레이터</v>
      </c>
      <c r="C18" s="19" t="str">
        <f>"MAX LV "&amp;C17</f>
        <v>MAX LV 3</v>
      </c>
      <c r="D18" s="20" t="e">
        <f>VLOOKUP(D17,SkillTable!$A$2:$E$2200,5,FALSE)</f>
        <v>#N/A</v>
      </c>
      <c r="E18" s="17"/>
      <c r="F18" s="18" t="str">
        <f>VLOOKUP(F17,SkillTable!$A$2:$E$2200,5,FALSE)</f>
        <v>파워 액셀레이터</v>
      </c>
      <c r="G18" s="19" t="str">
        <f>"MAX LV "&amp;G17</f>
        <v>MAX LV 3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기회의 포착</v>
      </c>
      <c r="S18" s="19" t="str">
        <f>"MAX LV "&amp;S17</f>
        <v>MAX LV 5</v>
      </c>
      <c r="T18" s="20" t="e">
        <f>VLOOKUP(T17,SkillTable!$A$2:$E$2200,5,FALSE)</f>
        <v>#N/A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2505</v>
      </c>
      <c r="K20" s="15">
        <v>5</v>
      </c>
      <c r="L20" s="16">
        <v>2503</v>
      </c>
      <c r="M20" s="17"/>
      <c r="N20" s="14">
        <v>2504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세븐 버스트</v>
      </c>
      <c r="K21" s="19" t="str">
        <f>"MAX LV "&amp;K20</f>
        <v>MAX LV 5</v>
      </c>
      <c r="L21" s="20" t="str">
        <f>VLOOKUP(L20,SkillTable!$A$2:$E$2200,5,FALSE)</f>
        <v>캐논 블레이드</v>
      </c>
      <c r="M21" s="17"/>
      <c r="N21" s="18" t="str">
        <f>VLOOKUP(N20,SkillTable!$A$2:$E$2200,5,FALSE)</f>
        <v>매그넘 블래스터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14">
        <v>2701</v>
      </c>
      <c r="S23" s="15">
        <v>5</v>
      </c>
      <c r="T23" s="16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섀도우 스탭</v>
      </c>
      <c r="S24" s="19" t="str">
        <f>"MAX LV "&amp;S23</f>
        <v>MAX LV 5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34"/>
      <c r="K26" s="15"/>
      <c r="L26" s="16"/>
      <c r="M26" s="17"/>
      <c r="N26" s="34"/>
      <c r="O26" s="15"/>
      <c r="P26" s="16"/>
      <c r="Q26" s="17"/>
      <c r="R26" s="34"/>
      <c r="S26" s="15"/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e">
        <f>VLOOKUP(J26,SkillTable!$A$2:$E$2200,5,FALSE)</f>
        <v>#N/A</v>
      </c>
      <c r="K27" s="19" t="str">
        <f>"MAX LV "&amp;K26</f>
        <v xml:space="preserve">MAX LV </v>
      </c>
      <c r="L27" s="20" t="e">
        <f>VLOOKUP(L26,SkillTable!$A$2:$E$2200,5,FALSE)</f>
        <v>#N/A</v>
      </c>
      <c r="M27" s="17"/>
      <c r="N27" s="18" t="e">
        <f>VLOOKUP(N26,SkillTable!$A$2:$E$2200,5,FALSE)</f>
        <v>#N/A</v>
      </c>
      <c r="O27" s="19" t="str">
        <f>"MAX LV "&amp;O26</f>
        <v xml:space="preserve">MAX LV </v>
      </c>
      <c r="P27" s="20" t="e">
        <f>VLOOKUP(P26,SkillTable!$A$2:$E$2200,5,FALSE)</f>
        <v>#N/A</v>
      </c>
      <c r="Q27" s="17"/>
      <c r="R27" s="18" t="e">
        <f>VLOOKUP(R26,SkillTable!$A$2:$E$2200,5,FALSE)</f>
        <v>#N/A</v>
      </c>
      <c r="S27" s="19" t="str">
        <f>"MAX LV "&amp;S26</f>
        <v xml:space="preserve">MAX LV 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34"/>
      <c r="C29" s="15"/>
      <c r="D29" s="16"/>
      <c r="E29" s="17"/>
      <c r="F29" s="34"/>
      <c r="G29" s="15"/>
      <c r="H29" s="16"/>
      <c r="I29" s="17"/>
      <c r="J29" s="34"/>
      <c r="K29" s="15"/>
      <c r="L29" s="16"/>
      <c r="M29" s="17"/>
      <c r="N29" s="34"/>
      <c r="O29" s="15"/>
      <c r="P29" s="16"/>
      <c r="Q29" s="17"/>
      <c r="R29" s="34"/>
      <c r="S29" s="15"/>
      <c r="T29" s="16"/>
    </row>
    <row r="30" spans="1:20" ht="99.95" customHeight="1" thickBot="1">
      <c r="B30" s="18" t="e">
        <f>VLOOKUP(B29,SkillTable!$A$2:$E$2200,5,FALSE)</f>
        <v>#N/A</v>
      </c>
      <c r="C30" s="19" t="str">
        <f>"MAX LV "&amp;C29</f>
        <v xml:space="preserve">MAX LV </v>
      </c>
      <c r="D30" s="20" t="e">
        <f>VLOOKUP(D29,SkillTable!$A$2:$E$2200,5,FALSE)</f>
        <v>#N/A</v>
      </c>
      <c r="E30" s="17"/>
      <c r="F30" s="18" t="e">
        <f>VLOOKUP(F29,SkillTable!$A$2:$E$2200,5,FALSE)</f>
        <v>#N/A</v>
      </c>
      <c r="G30" s="19" t="str">
        <f>"MAX LV "&amp;G29</f>
        <v xml:space="preserve">MAX LV </v>
      </c>
      <c r="H30" s="20" t="e">
        <f>VLOOKUP(H29,SkillTable!$A$2:$E$2200,5,FALSE)</f>
        <v>#N/A</v>
      </c>
      <c r="I30" s="17"/>
      <c r="J30" s="18" t="e">
        <f>VLOOKUP(J29,SkillTable!$A$2:$E$2200,5,FALSE)</f>
        <v>#N/A</v>
      </c>
      <c r="K30" s="19" t="str">
        <f>"MAX LV "&amp;K29</f>
        <v xml:space="preserve">MAX LV </v>
      </c>
      <c r="L30" s="20" t="e">
        <f>VLOOKUP(L29,SkillTable!$A$2:$E$2200,5,FALSE)</f>
        <v>#N/A</v>
      </c>
      <c r="M30" s="17"/>
      <c r="N30" s="18" t="e">
        <f>VLOOKUP(N29,SkillTable!$A$2:$E$2200,5,FALSE)</f>
        <v>#N/A</v>
      </c>
      <c r="O30" s="19" t="str">
        <f>"MAX LV "&amp;O29</f>
        <v xml:space="preserve">MAX LV 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34"/>
      <c r="K32" s="15"/>
      <c r="L32" s="16"/>
      <c r="M32" s="17"/>
      <c r="N32" s="34"/>
      <c r="O32" s="15"/>
      <c r="P32" s="16"/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e">
        <f>VLOOKUP(J32,SkillTable!$A$2:$E$2200,5,FALSE)</f>
        <v>#N/A</v>
      </c>
      <c r="K33" s="19" t="str">
        <f>"MAX LV "&amp;K32</f>
        <v xml:space="preserve">MAX LV </v>
      </c>
      <c r="L33" s="20" t="e">
        <f>VLOOKUP(L32,SkillTable!$A$2:$E$2200,5,FALSE)</f>
        <v>#N/A</v>
      </c>
      <c r="M33" s="17"/>
      <c r="N33" s="18" t="e">
        <f>VLOOKUP(N32,SkillTable!$A$2:$E$2200,5,FALSE)</f>
        <v>#N/A</v>
      </c>
      <c r="O33" s="19" t="str">
        <f>"MAX LV "&amp;O32</f>
        <v xml:space="preserve">MAX LV </v>
      </c>
      <c r="P33" s="20" t="e">
        <f>VLOOKUP(P32,SkillTable!$A$2:$E$2200,5,FALSE)</f>
        <v>#N/A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34"/>
      <c r="C35" s="15"/>
      <c r="D35" s="16"/>
      <c r="E35" s="17"/>
      <c r="F35" s="34"/>
      <c r="G35" s="15"/>
      <c r="H35" s="16"/>
      <c r="I35" s="17"/>
      <c r="J35" s="34"/>
      <c r="K35" s="15"/>
      <c r="L35" s="16"/>
      <c r="M35" s="17"/>
      <c r="N35" s="34"/>
      <c r="O35" s="15"/>
      <c r="P35" s="16"/>
      <c r="Q35" s="17"/>
      <c r="R35" s="34"/>
      <c r="S35" s="15"/>
      <c r="T35" s="16"/>
    </row>
    <row r="36" spans="1:20" ht="99.95" customHeight="1" thickBot="1">
      <c r="B36" s="18" t="e">
        <f>VLOOKUP(B35,SkillTable!$A$2:$E$2200,5,FALSE)</f>
        <v>#N/A</v>
      </c>
      <c r="C36" s="19" t="str">
        <f>"MAX LV "&amp;C35</f>
        <v xml:space="preserve">MAX LV </v>
      </c>
      <c r="D36" s="20" t="e">
        <f>VLOOKUP(D35,SkillTable!$A$2:$E$2200,5,FALSE)</f>
        <v>#N/A</v>
      </c>
      <c r="E36" s="17"/>
      <c r="F36" s="18" t="e">
        <f>VLOOKUP(F35,SkillTable!$A$2:$E$2200,5,FALSE)</f>
        <v>#N/A</v>
      </c>
      <c r="G36" s="19" t="str">
        <f>"MAX LV "&amp;G35</f>
        <v xml:space="preserve">MAX LV </v>
      </c>
      <c r="H36" s="20" t="e">
        <f>VLOOKUP(H35,SkillTable!$A$2:$E$2200,5,FALSE)</f>
        <v>#N/A</v>
      </c>
      <c r="I36" s="17"/>
      <c r="J36" s="18" t="e">
        <f>VLOOKUP(J35,SkillTable!$A$2:$E$2200,5,FALSE)</f>
        <v>#N/A</v>
      </c>
      <c r="K36" s="19" t="str">
        <f>"MAX LV "&amp;K35</f>
        <v xml:space="preserve">MAX LV </v>
      </c>
      <c r="L36" s="20" t="e">
        <f>VLOOKUP(L35,SkillTable!$A$2:$E$2200,5,FALSE)</f>
        <v>#N/A</v>
      </c>
      <c r="M36" s="17"/>
      <c r="N36" s="18" t="e">
        <f>VLOOKUP(N35,SkillTable!$A$2:$E$2200,5,FALSE)</f>
        <v>#N/A</v>
      </c>
      <c r="O36" s="19" t="str">
        <f>"MAX LV "&amp;O35</f>
        <v xml:space="preserve">MAX LV </v>
      </c>
      <c r="P36" s="20" t="e">
        <f>VLOOKUP(P35,SkillTable!$A$2:$E$2200,5,FALSE)</f>
        <v>#N/A</v>
      </c>
      <c r="Q36" s="17"/>
      <c r="R36" s="18" t="e">
        <f>VLOOKUP(R35,SkillTable!$A$2:$E$2200,5,FALSE)</f>
        <v>#N/A</v>
      </c>
      <c r="S36" s="19" t="str">
        <f>"MAX LV "&amp;S35</f>
        <v xml:space="preserve">MAX LV </v>
      </c>
      <c r="T36" s="20" t="e">
        <f>VLOOKUP(T35,SkillTable!$A$2:$E$2200,5,FALSE)</f>
        <v>#N/A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34"/>
      <c r="G38" s="15"/>
      <c r="H38" s="16"/>
      <c r="I38" s="17"/>
      <c r="J38" s="34"/>
      <c r="K38" s="15"/>
      <c r="L38" s="16"/>
      <c r="M38" s="17"/>
      <c r="N38" s="34"/>
      <c r="O38" s="15"/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e">
        <f>VLOOKUP(F38,SkillTable!$A$2:$E$2200,5,FALSE)</f>
        <v>#N/A</v>
      </c>
      <c r="G39" s="19" t="str">
        <f>"MAX LV "&amp;G38</f>
        <v xml:space="preserve">MAX LV </v>
      </c>
      <c r="H39" s="20" t="e">
        <f>VLOOKUP(H38,SkillTable!$A$2:$E$2200,5,FALSE)</f>
        <v>#N/A</v>
      </c>
      <c r="I39" s="17"/>
      <c r="J39" s="18" t="e">
        <f>VLOOKUP(J38,SkillTable!$A$2:$E$2200,5,FALSE)</f>
        <v>#N/A</v>
      </c>
      <c r="K39" s="19" t="str">
        <f>"MAX LV "&amp;K38</f>
        <v xml:space="preserve">MAX LV </v>
      </c>
      <c r="L39" s="20" t="e">
        <f>VLOOKUP(L38,SkillTable!$A$2:$E$2200,5,FALSE)</f>
        <v>#N/A</v>
      </c>
      <c r="M39" s="17"/>
      <c r="N39" s="18" t="e">
        <f>VLOOKUP(N38,SkillTable!$A$2:$E$2200,5,FALSE)</f>
        <v>#N/A</v>
      </c>
      <c r="O39" s="19" t="str">
        <f>"MAX LV "&amp;O38</f>
        <v xml:space="preserve">MAX LV 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34"/>
      <c r="K41" s="15"/>
      <c r="L41" s="16"/>
      <c r="M41" s="17"/>
      <c r="N41" s="34"/>
      <c r="O41" s="15"/>
      <c r="P41" s="16"/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e">
        <f>VLOOKUP(J41,SkillTable!$A$2:$E$2200,5,FALSE)</f>
        <v>#N/A</v>
      </c>
      <c r="K42" s="19" t="str">
        <f>"MAX LV "&amp;K41</f>
        <v xml:space="preserve">MAX LV </v>
      </c>
      <c r="L42" s="20" t="e">
        <f>VLOOKUP(L41,SkillTable!$A$2:$E$2200,5,FALSE)</f>
        <v>#N/A</v>
      </c>
      <c r="M42" s="17"/>
      <c r="N42" s="18" t="e">
        <f>VLOOKUP(N41,SkillTable!$A$2:$E$2200,5,FALSE)</f>
        <v>#N/A</v>
      </c>
      <c r="O42" s="19" t="str">
        <f>"MAX LV "&amp;O41</f>
        <v xml:space="preserve">MAX LV </v>
      </c>
      <c r="P42" s="20" t="e">
        <f>VLOOKUP(P41,SkillTable!$A$2:$E$2200,5,FALSE)</f>
        <v>#N/A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8"/>
  <dimension ref="A1:T43"/>
  <sheetViews>
    <sheetView topLeftCell="A19" zoomScale="60" zoomScaleNormal="60" workbookViewId="0">
      <selection activeCell="R26" sqref="R26:S26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34"/>
      <c r="C2" s="15"/>
      <c r="D2" s="16"/>
      <c r="E2" s="17"/>
      <c r="F2" s="14">
        <v>3</v>
      </c>
      <c r="G2" s="15">
        <v>5</v>
      </c>
      <c r="H2" s="16"/>
      <c r="I2" s="17"/>
      <c r="J2" s="14">
        <v>2500</v>
      </c>
      <c r="K2" s="15">
        <v>5</v>
      </c>
      <c r="L2" s="16"/>
      <c r="M2" s="17"/>
      <c r="N2" s="34"/>
      <c r="O2" s="15"/>
      <c r="P2" s="16"/>
      <c r="Q2" s="17"/>
      <c r="R2" s="14">
        <v>2700</v>
      </c>
      <c r="S2" s="15">
        <v>1</v>
      </c>
      <c r="T2" s="16"/>
    </row>
    <row r="3" spans="1:20" ht="99.95" customHeight="1" thickBot="1">
      <c r="B3" s="18" t="e">
        <f>VLOOKUP(B2,SkillTable!$A$2:$E$2200,5,FALSE)</f>
        <v>#N/A</v>
      </c>
      <c r="C3" s="19" t="str">
        <f>"MAX LV "&amp;C2</f>
        <v xml:space="preserve">MAX LV </v>
      </c>
      <c r="D3" s="20" t="e">
        <f>VLOOKUP(D2,SkillTable!$A$2:$E$2200,5,FALSE)</f>
        <v>#N/A</v>
      </c>
      <c r="E3" s="17"/>
      <c r="F3" s="18" t="str">
        <f>VLOOKUP(F2,SkillTable!$A$2:$E$2200,5,FALSE)</f>
        <v>기초 물리방어술</v>
      </c>
      <c r="G3" s="19" t="str">
        <f>"MAX LV "&amp;G2</f>
        <v>MAX LV 5</v>
      </c>
      <c r="H3" s="20" t="e">
        <f>VLOOKUP(H2,SkillTable!$A$2:$E$2200,5,FALSE)</f>
        <v>#N/A</v>
      </c>
      <c r="I3" s="17"/>
      <c r="J3" s="18" t="str">
        <f>VLOOKUP(J2,SkillTable!$A$2:$E$2200,5,FALSE)</f>
        <v>맥시멈 캐논</v>
      </c>
      <c r="K3" s="19" t="str">
        <f>"MAX LV "&amp;K2</f>
        <v>MAX LV 5</v>
      </c>
      <c r="L3" s="20" t="e">
        <f>VLOOKUP(L2,SkillTable!$A$2:$E$2200,5,FALSE)</f>
        <v>#N/A</v>
      </c>
      <c r="M3" s="17"/>
      <c r="N3" s="18" t="e">
        <f>VLOOKUP(N2,SkillTable!$A$2:$E$2200,5,FALSE)</f>
        <v>#N/A</v>
      </c>
      <c r="O3" s="19" t="str">
        <f>"MAX LV "&amp;O2</f>
        <v xml:space="preserve">MAX LV </v>
      </c>
      <c r="P3" s="20" t="e">
        <f>VLOOKUP(P2,SkillTable!$A$2:$E$2200,5,FALSE)</f>
        <v>#N/A</v>
      </c>
      <c r="Q3" s="17"/>
      <c r="R3" s="18" t="str">
        <f>VLOOKUP(R2,SkillTable!$A$2:$E$2200,5,FALSE)</f>
        <v>버닝 러시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14">
        <v>4</v>
      </c>
      <c r="C5" s="15">
        <v>5</v>
      </c>
      <c r="D5" s="16"/>
      <c r="E5" s="17"/>
      <c r="F5" s="34"/>
      <c r="G5" s="15"/>
      <c r="H5" s="16"/>
      <c r="I5" s="17"/>
      <c r="J5" s="14">
        <v>2503</v>
      </c>
      <c r="K5" s="15">
        <v>5</v>
      </c>
      <c r="L5" s="16"/>
      <c r="M5" s="17"/>
      <c r="N5" s="34"/>
      <c r="O5" s="15"/>
      <c r="P5" s="16"/>
      <c r="Q5" s="17"/>
      <c r="R5" s="14"/>
      <c r="S5" s="15"/>
      <c r="T5" s="16"/>
    </row>
    <row r="6" spans="1:20" ht="99.95" customHeight="1" thickBot="1">
      <c r="B6" s="18" t="str">
        <f>VLOOKUP(B5,SkillTable!$A$2:$E$2200,5,FALSE)</f>
        <v>기초 마법방어술</v>
      </c>
      <c r="C6" s="19" t="str">
        <f>"MAX LV "&amp;C5</f>
        <v>MAX LV 5</v>
      </c>
      <c r="D6" s="20" t="e">
        <f>VLOOKUP(D5,SkillTable!$A$2:$E$2200,5,FALSE)</f>
        <v>#N/A</v>
      </c>
      <c r="E6" s="17"/>
      <c r="F6" s="18" t="e">
        <f>VLOOKUP(F5,SkillTable!$A$2:$E$2200,5,FALSE)</f>
        <v>#N/A</v>
      </c>
      <c r="G6" s="19" t="str">
        <f>"MAX LV "&amp;G5</f>
        <v xml:space="preserve">MAX LV </v>
      </c>
      <c r="H6" s="20" t="e">
        <f>VLOOKUP(H5,SkillTable!$A$2:$E$2200,5,FALSE)</f>
        <v>#N/A</v>
      </c>
      <c r="I6" s="17"/>
      <c r="J6" s="18" t="str">
        <f>VLOOKUP(J5,SkillTable!$A$2:$E$2200,5,FALSE)</f>
        <v>캐논 블레이드</v>
      </c>
      <c r="K6" s="19" t="str">
        <f>"MAX LV "&amp;K5</f>
        <v>MAX LV 5</v>
      </c>
      <c r="L6" s="20" t="e">
        <f>VLOOKUP(L5,SkillTable!$A$2:$E$2200,5,FALSE)</f>
        <v>#N/A</v>
      </c>
      <c r="M6" s="17"/>
      <c r="N6" s="18" t="e">
        <f>VLOOKUP(N5,SkillTable!$A$2:$E$2200,5,FALSE)</f>
        <v>#N/A</v>
      </c>
      <c r="O6" s="19" t="str">
        <f>"MAX LV "&amp;O5</f>
        <v xml:space="preserve">MAX LV 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34"/>
      <c r="C8" s="15"/>
      <c r="D8" s="16"/>
      <c r="E8" s="17"/>
      <c r="F8" s="14">
        <v>1</v>
      </c>
      <c r="G8" s="15">
        <v>5</v>
      </c>
      <c r="H8" s="16">
        <v>3</v>
      </c>
      <c r="I8" s="17"/>
      <c r="J8" s="34"/>
      <c r="K8" s="15"/>
      <c r="L8" s="16"/>
      <c r="M8" s="17"/>
      <c r="N8" s="14">
        <v>2502</v>
      </c>
      <c r="O8" s="15">
        <v>5</v>
      </c>
      <c r="P8" s="16"/>
      <c r="Q8" s="17"/>
      <c r="R8" s="34"/>
      <c r="S8" s="15"/>
      <c r="T8" s="16"/>
    </row>
    <row r="9" spans="1:20" ht="99.95" customHeight="1" thickBot="1">
      <c r="B9" s="18" t="e">
        <f>VLOOKUP(B8,SkillTable!$A$2:$E$2200,5,FALSE)</f>
        <v>#N/A</v>
      </c>
      <c r="C9" s="19" t="str">
        <f>"MAX LV "&amp;C8</f>
        <v xml:space="preserve">MAX LV </v>
      </c>
      <c r="D9" s="20" t="e">
        <f>VLOOKUP(D8,SkillTable!$A$2:$E$2200,5,FALSE)</f>
        <v>#N/A</v>
      </c>
      <c r="E9" s="17"/>
      <c r="F9" s="18" t="str">
        <f>VLOOKUP(F8,SkillTable!$A$2:$E$2200,5,FALSE)</f>
        <v>기초 근력단련</v>
      </c>
      <c r="G9" s="19" t="str">
        <f>"MAX LV "&amp;G8</f>
        <v>MAX LV 5</v>
      </c>
      <c r="H9" s="20" t="str">
        <f>VLOOKUP(H8,SkillTable!$A$2:$E$2200,5,FALSE)</f>
        <v>기초 물리방어술</v>
      </c>
      <c r="I9" s="17"/>
      <c r="J9" s="18" t="e">
        <f>VLOOKUP(J8,SkillTable!$A$2:$E$2200,5,FALSE)</f>
        <v>#N/A</v>
      </c>
      <c r="K9" s="19" t="str">
        <f>"MAX LV "&amp;K8</f>
        <v xml:space="preserve">MAX LV </v>
      </c>
      <c r="L9" s="20" t="e">
        <f>VLOOKUP(L8,SkillTable!$A$2:$E$2200,5,FALSE)</f>
        <v>#N/A</v>
      </c>
      <c r="M9" s="17"/>
      <c r="N9" s="18" t="str">
        <f>VLOOKUP(N8,SkillTable!$A$2:$E$2200,5,FALSE)</f>
        <v>파워 어설트</v>
      </c>
      <c r="O9" s="19" t="str">
        <f>"MAX LV "&amp;O8</f>
        <v>MAX LV 5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14">
        <v>2</v>
      </c>
      <c r="C11" s="15">
        <v>5</v>
      </c>
      <c r="D11" s="16">
        <v>4</v>
      </c>
      <c r="E11" s="17"/>
      <c r="F11" s="34"/>
      <c r="G11" s="15"/>
      <c r="H11" s="16"/>
      <c r="I11" s="17"/>
      <c r="J11" s="34"/>
      <c r="K11" s="15"/>
      <c r="L11" s="16"/>
      <c r="M11" s="17"/>
      <c r="N11" s="34"/>
      <c r="O11" s="15"/>
      <c r="P11" s="16"/>
      <c r="Q11" s="17"/>
      <c r="R11" s="34"/>
      <c r="S11" s="15"/>
      <c r="T11" s="16"/>
    </row>
    <row r="12" spans="1:20" ht="99.95" customHeight="1" thickBot="1">
      <c r="B12" s="18" t="str">
        <f>VLOOKUP(B11,SkillTable!$A$2:$E$2200,5,FALSE)</f>
        <v>기초 마법수련</v>
      </c>
      <c r="C12" s="19" t="str">
        <f>"MAX LV "&amp;C11</f>
        <v>MAX LV 5</v>
      </c>
      <c r="D12" s="20" t="str">
        <f>VLOOKUP(D11,SkillTable!$A$2:$E$2200,5,FALSE)</f>
        <v>기초 마법방어술</v>
      </c>
      <c r="E12" s="17"/>
      <c r="F12" s="18" t="e">
        <f>VLOOKUP(F11,SkillTable!$A$2:$E$2200,5,FALSE)</f>
        <v>#N/A</v>
      </c>
      <c r="G12" s="19" t="str">
        <f>"MAX LV "&amp;G11</f>
        <v xml:space="preserve">MAX LV </v>
      </c>
      <c r="H12" s="20" t="e">
        <f>VLOOKUP(H11,SkillTable!$A$2:$E$2200,5,FALSE)</f>
        <v>#N/A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e">
        <f>VLOOKUP(N11,SkillTable!$A$2:$E$2200,5,FALSE)</f>
        <v>#N/A</v>
      </c>
      <c r="O12" s="19" t="str">
        <f>"MAX LV "&amp;O11</f>
        <v xml:space="preserve">MAX LV </v>
      </c>
      <c r="P12" s="20" t="e">
        <f>VLOOKUP(P11,SkillTable!$A$2:$E$2200,5,FALSE)</f>
        <v>#N/A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14">
        <v>301</v>
      </c>
      <c r="C14" s="15">
        <v>3</v>
      </c>
      <c r="D14" s="16"/>
      <c r="E14" s="17"/>
      <c r="F14" s="34"/>
      <c r="G14" s="15"/>
      <c r="H14" s="16"/>
      <c r="I14" s="17"/>
      <c r="J14" s="34"/>
      <c r="K14" s="15"/>
      <c r="L14" s="16"/>
      <c r="M14" s="17"/>
      <c r="N14" s="14">
        <v>2501</v>
      </c>
      <c r="O14" s="15">
        <v>5</v>
      </c>
      <c r="P14" s="16">
        <v>2502</v>
      </c>
      <c r="Q14" s="17"/>
      <c r="R14" s="34"/>
      <c r="S14" s="15"/>
      <c r="T14" s="16"/>
    </row>
    <row r="15" spans="1:20" ht="99.95" customHeight="1" thickBot="1">
      <c r="B15" s="18" t="str">
        <f>VLOOKUP(B14,SkillTable!$A$2:$E$2200,5,FALSE)</f>
        <v>매직 액셀레이터</v>
      </c>
      <c r="C15" s="19" t="str">
        <f>"MAX LV "&amp;C14</f>
        <v>MAX LV 3</v>
      </c>
      <c r="D15" s="20" t="e">
        <f>VLOOKUP(D14,SkillTable!$A$2:$E$2200,5,FALSE)</f>
        <v>#N/A</v>
      </c>
      <c r="E15" s="17"/>
      <c r="F15" s="18" t="e">
        <f>VLOOKUP(F14,SkillTable!$A$2:$E$2200,5,FALSE)</f>
        <v>#N/A</v>
      </c>
      <c r="G15" s="19" t="str">
        <f>"MAX LV "&amp;G14</f>
        <v xml:space="preserve">MAX LV </v>
      </c>
      <c r="H15" s="20" t="e">
        <f>VLOOKUP(H14,SkillTable!$A$2:$E$2200,5,FALSE)</f>
        <v>#N/A</v>
      </c>
      <c r="I15" s="17"/>
      <c r="J15" s="18" t="e">
        <f>VLOOKUP(J14,SkillTable!$A$2:$E$2200,5,FALSE)</f>
        <v>#N/A</v>
      </c>
      <c r="K15" s="19" t="str">
        <f>"MAX LV "&amp;K14</f>
        <v xml:space="preserve">MAX LV </v>
      </c>
      <c r="L15" s="20" t="e">
        <f>VLOOKUP(L14,SkillTable!$A$2:$E$2200,5,FALSE)</f>
        <v>#N/A</v>
      </c>
      <c r="M15" s="17"/>
      <c r="N15" s="18" t="str">
        <f>VLOOKUP(N14,SkillTable!$A$2:$E$2200,5,FALSE)</f>
        <v>어스 브레이크</v>
      </c>
      <c r="O15" s="19" t="str">
        <f>"MAX LV "&amp;O14</f>
        <v>MAX LV 5</v>
      </c>
      <c r="P15" s="20" t="str">
        <f>VLOOKUP(P14,SkillTable!$A$2:$E$2200,5,FALSE)</f>
        <v>파워 어설트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14">
        <v>302</v>
      </c>
      <c r="C17" s="15">
        <v>3</v>
      </c>
      <c r="D17" s="16"/>
      <c r="E17" s="17"/>
      <c r="F17" s="14">
        <v>300</v>
      </c>
      <c r="G17" s="15">
        <v>3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9</v>
      </c>
      <c r="S17" s="15">
        <v>5</v>
      </c>
      <c r="T17" s="16"/>
    </row>
    <row r="18" spans="1:20" ht="99.95" customHeight="1" thickBot="1">
      <c r="B18" s="18" t="str">
        <f>VLOOKUP(B17,SkillTable!$A$2:$E$2200,5,FALSE)</f>
        <v>실드 액셀레이터</v>
      </c>
      <c r="C18" s="19" t="str">
        <f>"MAX LV "&amp;C17</f>
        <v>MAX LV 3</v>
      </c>
      <c r="D18" s="20" t="e">
        <f>VLOOKUP(D17,SkillTable!$A$2:$E$2200,5,FALSE)</f>
        <v>#N/A</v>
      </c>
      <c r="E18" s="17"/>
      <c r="F18" s="18" t="str">
        <f>VLOOKUP(F17,SkillTable!$A$2:$E$2200,5,FALSE)</f>
        <v>파워 액셀레이터</v>
      </c>
      <c r="G18" s="19" t="str">
        <f>"MAX LV "&amp;G17</f>
        <v>MAX LV 3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기회의 포착</v>
      </c>
      <c r="S18" s="19" t="str">
        <f>"MAX LV "&amp;S17</f>
        <v>MAX LV 5</v>
      </c>
      <c r="T18" s="20" t="e">
        <f>VLOOKUP(T17,SkillTable!$A$2:$E$2200,5,FALSE)</f>
        <v>#N/A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2505</v>
      </c>
      <c r="K20" s="15">
        <v>5</v>
      </c>
      <c r="L20" s="16">
        <v>2503</v>
      </c>
      <c r="M20" s="17"/>
      <c r="N20" s="14">
        <v>2504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세븐 버스트</v>
      </c>
      <c r="K21" s="19" t="str">
        <f>"MAX LV "&amp;K20</f>
        <v>MAX LV 5</v>
      </c>
      <c r="L21" s="20" t="str">
        <f>VLOOKUP(L20,SkillTable!$A$2:$E$2200,5,FALSE)</f>
        <v>캐논 블레이드</v>
      </c>
      <c r="M21" s="17"/>
      <c r="N21" s="18" t="str">
        <f>VLOOKUP(N20,SkillTable!$A$2:$E$2200,5,FALSE)</f>
        <v>매그넘 블래스터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14">
        <v>2701</v>
      </c>
      <c r="S23" s="15">
        <v>5</v>
      </c>
      <c r="T23" s="16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섀도우 스탭</v>
      </c>
      <c r="S24" s="19" t="str">
        <f>"MAX LV "&amp;S23</f>
        <v>MAX LV 5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34">
        <v>2702</v>
      </c>
      <c r="K26" s="15">
        <v>5</v>
      </c>
      <c r="L26" s="16"/>
      <c r="M26" s="17"/>
      <c r="N26" s="14">
        <v>2506</v>
      </c>
      <c r="O26" s="15">
        <v>5</v>
      </c>
      <c r="P26" s="16"/>
      <c r="Q26" s="17"/>
      <c r="R26" s="34"/>
      <c r="S26" s="15"/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str">
        <f>VLOOKUP(J26,SkillTable!$A$2:$E$2200,5,FALSE)</f>
        <v>컷텐던</v>
      </c>
      <c r="K27" s="19" t="str">
        <f>"MAX LV "&amp;K26</f>
        <v>MAX LV 5</v>
      </c>
      <c r="L27" s="20" t="e">
        <f>VLOOKUP(L26,SkillTable!$A$2:$E$2200,5,FALSE)</f>
        <v>#N/A</v>
      </c>
      <c r="M27" s="17"/>
      <c r="N27" s="18" t="str">
        <f>VLOOKUP(N26,SkillTable!$A$2:$E$2200,5,FALSE)</f>
        <v>버서커 블레이드</v>
      </c>
      <c r="O27" s="19" t="str">
        <f>"MAX LV "&amp;O26</f>
        <v>MAX LV 5</v>
      </c>
      <c r="P27" s="20" t="e">
        <f>VLOOKUP(P26,SkillTable!$A$2:$E$2200,5,FALSE)</f>
        <v>#N/A</v>
      </c>
      <c r="Q27" s="17"/>
      <c r="R27" s="18" t="e">
        <f>VLOOKUP(R26,SkillTable!$A$2:$E$2200,5,FALSE)</f>
        <v>#N/A</v>
      </c>
      <c r="S27" s="19" t="str">
        <f>"MAX LV "&amp;S26</f>
        <v xml:space="preserve">MAX LV 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34"/>
      <c r="C29" s="15"/>
      <c r="D29" s="16"/>
      <c r="E29" s="17"/>
      <c r="F29" s="14">
        <v>5</v>
      </c>
      <c r="G29" s="15">
        <v>5</v>
      </c>
      <c r="H29" s="16"/>
      <c r="I29" s="17"/>
      <c r="J29" s="14">
        <v>23</v>
      </c>
      <c r="K29" s="15">
        <v>5</v>
      </c>
      <c r="L29" s="16"/>
      <c r="M29" s="17"/>
      <c r="N29" s="34"/>
      <c r="O29" s="15"/>
      <c r="P29" s="16"/>
      <c r="Q29" s="17"/>
      <c r="R29" s="34"/>
      <c r="S29" s="15"/>
      <c r="T29" s="16"/>
    </row>
    <row r="30" spans="1:20" ht="99.95" customHeight="1" thickBot="1">
      <c r="B30" s="18" t="e">
        <f>VLOOKUP(B29,SkillTable!$A$2:$E$2200,5,FALSE)</f>
        <v>#N/A</v>
      </c>
      <c r="C30" s="19" t="str">
        <f>"MAX LV "&amp;C29</f>
        <v xml:space="preserve">MAX LV </v>
      </c>
      <c r="D30" s="20" t="e">
        <f>VLOOKUP(D29,SkillTable!$A$2:$E$2200,5,FALSE)</f>
        <v>#N/A</v>
      </c>
      <c r="E30" s="17"/>
      <c r="F30" s="18" t="str">
        <f>VLOOKUP(F29,SkillTable!$A$2:$E$2200,5,FALSE)</f>
        <v>중급 근력단련</v>
      </c>
      <c r="G30" s="19" t="str">
        <f>"MAX LV "&amp;G29</f>
        <v>MAX LV 5</v>
      </c>
      <c r="H30" s="20" t="e">
        <f>VLOOKUP(H29,SkillTable!$A$2:$E$2200,5,FALSE)</f>
        <v>#N/A</v>
      </c>
      <c r="I30" s="17"/>
      <c r="J30" s="18" t="str">
        <f>VLOOKUP(J29,SkillTable!$A$2:$E$2200,5,FALSE)</f>
        <v>호승심 유발</v>
      </c>
      <c r="K30" s="19" t="str">
        <f>"MAX LV "&amp;K29</f>
        <v>MAX LV 5</v>
      </c>
      <c r="L30" s="20" t="e">
        <f>VLOOKUP(L29,SkillTable!$A$2:$E$2200,5,FALSE)</f>
        <v>#N/A</v>
      </c>
      <c r="M30" s="17"/>
      <c r="N30" s="18" t="e">
        <f>VLOOKUP(N29,SkillTable!$A$2:$E$2200,5,FALSE)</f>
        <v>#N/A</v>
      </c>
      <c r="O30" s="19" t="str">
        <f>"MAX LV "&amp;O29</f>
        <v xml:space="preserve">MAX LV 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34"/>
      <c r="K32" s="15"/>
      <c r="L32" s="16"/>
      <c r="M32" s="17"/>
      <c r="N32" s="14">
        <v>2507</v>
      </c>
      <c r="O32" s="15">
        <v>5</v>
      </c>
      <c r="P32" s="16"/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e">
        <f>VLOOKUP(J32,SkillTable!$A$2:$E$2200,5,FALSE)</f>
        <v>#N/A</v>
      </c>
      <c r="K33" s="19" t="str">
        <f>"MAX LV "&amp;K32</f>
        <v xml:space="preserve">MAX LV </v>
      </c>
      <c r="L33" s="20" t="e">
        <f>VLOOKUP(L32,SkillTable!$A$2:$E$2200,5,FALSE)</f>
        <v>#N/A</v>
      </c>
      <c r="M33" s="17"/>
      <c r="N33" s="18" t="str">
        <f>VLOOKUP(N32,SkillTable!$A$2:$E$2200,5,FALSE)</f>
        <v>플라잉 임팩트</v>
      </c>
      <c r="O33" s="19" t="str">
        <f>"MAX LV "&amp;O32</f>
        <v>MAX LV 5</v>
      </c>
      <c r="P33" s="20" t="e">
        <f>VLOOKUP(P32,SkillTable!$A$2:$E$2200,5,FALSE)</f>
        <v>#N/A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34"/>
      <c r="C35" s="15"/>
      <c r="D35" s="16"/>
      <c r="E35" s="17"/>
      <c r="F35" s="14">
        <v>306</v>
      </c>
      <c r="G35" s="15">
        <v>4</v>
      </c>
      <c r="H35" s="16">
        <v>5</v>
      </c>
      <c r="I35" s="17"/>
      <c r="J35" s="14">
        <v>21</v>
      </c>
      <c r="K35" s="15">
        <v>5</v>
      </c>
      <c r="L35" s="16"/>
      <c r="M35" s="17"/>
      <c r="N35" s="34"/>
      <c r="O35" s="15"/>
      <c r="P35" s="16"/>
      <c r="Q35" s="17"/>
      <c r="R35" s="14">
        <v>2900</v>
      </c>
      <c r="S35" s="15">
        <v>5</v>
      </c>
      <c r="T35" s="16">
        <v>2701</v>
      </c>
    </row>
    <row r="36" spans="1:20" ht="99.95" customHeight="1" thickBot="1">
      <c r="B36" s="18" t="e">
        <f>VLOOKUP(B35,SkillTable!$A$2:$E$2200,5,FALSE)</f>
        <v>#N/A</v>
      </c>
      <c r="C36" s="19" t="str">
        <f>"MAX LV "&amp;C35</f>
        <v xml:space="preserve">MAX LV </v>
      </c>
      <c r="D36" s="20" t="e">
        <f>VLOOKUP(D35,SkillTable!$A$2:$E$2200,5,FALSE)</f>
        <v>#N/A</v>
      </c>
      <c r="E36" s="17"/>
      <c r="F36" s="18" t="str">
        <f>VLOOKUP(F35,SkillTable!$A$2:$E$2200,5,FALSE)</f>
        <v>파워 아드레날린</v>
      </c>
      <c r="G36" s="19" t="str">
        <f>"MAX LV "&amp;G35</f>
        <v>MAX LV 4</v>
      </c>
      <c r="H36" s="20" t="str">
        <f>VLOOKUP(H35,SkillTable!$A$2:$E$2200,5,FALSE)</f>
        <v>중급 근력단련</v>
      </c>
      <c r="I36" s="17"/>
      <c r="J36" s="18" t="str">
        <f>VLOOKUP(J35,SkillTable!$A$2:$E$2200,5,FALSE)</f>
        <v>단련된 신체</v>
      </c>
      <c r="K36" s="19" t="str">
        <f>"MAX LV "&amp;K35</f>
        <v>MAX LV 5</v>
      </c>
      <c r="L36" s="20" t="e">
        <f>VLOOKUP(L35,SkillTable!$A$2:$E$2200,5,FALSE)</f>
        <v>#N/A</v>
      </c>
      <c r="M36" s="17"/>
      <c r="N36" s="18" t="e">
        <f>VLOOKUP(N35,SkillTable!$A$2:$E$2200,5,FALSE)</f>
        <v>#N/A</v>
      </c>
      <c r="O36" s="19" t="str">
        <f>"MAX LV "&amp;O35</f>
        <v xml:space="preserve">MAX LV </v>
      </c>
      <c r="P36" s="20" t="e">
        <f>VLOOKUP(P35,SkillTable!$A$2:$E$2200,5,FALSE)</f>
        <v>#N/A</v>
      </c>
      <c r="Q36" s="17"/>
      <c r="R36" s="18" t="str">
        <f>VLOOKUP(R35,SkillTable!$A$2:$E$2200,5,FALSE)</f>
        <v>섀도우 피어싱</v>
      </c>
      <c r="S36" s="19" t="str">
        <f>"MAX LV "&amp;S35</f>
        <v>MAX LV 5</v>
      </c>
      <c r="T36" s="20" t="str">
        <f>VLOOKUP(T35,SkillTable!$A$2:$E$2200,5,FALSE)</f>
        <v>섀도우 스탭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14">
        <v>20</v>
      </c>
      <c r="G38" s="15">
        <v>5</v>
      </c>
      <c r="H38" s="16"/>
      <c r="I38" s="17"/>
      <c r="J38" s="34">
        <v>2512</v>
      </c>
      <c r="K38" s="15">
        <v>5</v>
      </c>
      <c r="L38" s="16"/>
      <c r="M38" s="17"/>
      <c r="N38" s="34"/>
      <c r="O38" s="15"/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str">
        <f>VLOOKUP(F38,SkillTable!$A$2:$E$2200,5,FALSE)</f>
        <v>승리의 자신감</v>
      </c>
      <c r="G39" s="19" t="str">
        <f>"MAX LV "&amp;G38</f>
        <v>MAX LV 5</v>
      </c>
      <c r="H39" s="20" t="e">
        <f>VLOOKUP(H38,SkillTable!$A$2:$E$2200,5,FALSE)</f>
        <v>#N/A</v>
      </c>
      <c r="I39" s="17"/>
      <c r="J39" s="18" t="str">
        <f>VLOOKUP(J38,SkillTable!$A$2:$E$2200,5,FALSE)</f>
        <v>쇼크 웨이브</v>
      </c>
      <c r="K39" s="19" t="str">
        <f>"MAX LV "&amp;K38</f>
        <v>MAX LV 5</v>
      </c>
      <c r="L39" s="20" t="e">
        <f>VLOOKUP(L38,SkillTable!$A$2:$E$2200,5,FALSE)</f>
        <v>#N/A</v>
      </c>
      <c r="M39" s="17"/>
      <c r="N39" s="18" t="e">
        <f>VLOOKUP(N38,SkillTable!$A$2:$E$2200,5,FALSE)</f>
        <v>#N/A</v>
      </c>
      <c r="O39" s="19" t="str">
        <f>"MAX LV "&amp;O38</f>
        <v xml:space="preserve">MAX LV 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34"/>
      <c r="K41" s="15"/>
      <c r="L41" s="16"/>
      <c r="M41" s="17"/>
      <c r="N41" s="14">
        <v>2508</v>
      </c>
      <c r="O41" s="15">
        <v>5</v>
      </c>
      <c r="P41" s="16"/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e">
        <f>VLOOKUP(J41,SkillTable!$A$2:$E$2200,5,FALSE)</f>
        <v>#N/A</v>
      </c>
      <c r="K42" s="19" t="str">
        <f>"MAX LV "&amp;K41</f>
        <v xml:space="preserve">MAX LV </v>
      </c>
      <c r="L42" s="20" t="e">
        <f>VLOOKUP(L41,SkillTable!$A$2:$E$2200,5,FALSE)</f>
        <v>#N/A</v>
      </c>
      <c r="M42" s="17"/>
      <c r="N42" s="18" t="str">
        <f>VLOOKUP(N41,SkillTable!$A$2:$E$2200,5,FALSE)</f>
        <v>하이퍼 소닉 스탭</v>
      </c>
      <c r="O42" s="19" t="str">
        <f>"MAX LV "&amp;O41</f>
        <v>MAX LV 5</v>
      </c>
      <c r="P42" s="20" t="e">
        <f>VLOOKUP(P41,SkillTable!$A$2:$E$2200,5,FALSE)</f>
        <v>#N/A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9"/>
  <dimension ref="A1:T43"/>
  <sheetViews>
    <sheetView topLeftCell="A22" zoomScale="60" zoomScaleNormal="60" workbookViewId="0">
      <selection activeCell="R26" sqref="R26:S26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34"/>
      <c r="C2" s="15"/>
      <c r="D2" s="16"/>
      <c r="E2" s="17"/>
      <c r="F2" s="14">
        <v>3</v>
      </c>
      <c r="G2" s="15">
        <v>5</v>
      </c>
      <c r="H2" s="16"/>
      <c r="I2" s="17"/>
      <c r="J2" s="14">
        <v>2500</v>
      </c>
      <c r="K2" s="15">
        <v>5</v>
      </c>
      <c r="L2" s="16"/>
      <c r="M2" s="17"/>
      <c r="N2" s="34"/>
      <c r="O2" s="15"/>
      <c r="P2" s="16"/>
      <c r="Q2" s="17"/>
      <c r="R2" s="14">
        <v>2700</v>
      </c>
      <c r="S2" s="15">
        <v>1</v>
      </c>
      <c r="T2" s="16"/>
    </row>
    <row r="3" spans="1:20" ht="99.95" customHeight="1" thickBot="1">
      <c r="B3" s="18" t="e">
        <f>VLOOKUP(B2,SkillTable!$A$2:$E$2200,5,FALSE)</f>
        <v>#N/A</v>
      </c>
      <c r="C3" s="19" t="str">
        <f>"MAX LV "&amp;C2</f>
        <v xml:space="preserve">MAX LV </v>
      </c>
      <c r="D3" s="20" t="e">
        <f>VLOOKUP(D2,SkillTable!$A$2:$E$2200,5,FALSE)</f>
        <v>#N/A</v>
      </c>
      <c r="E3" s="17"/>
      <c r="F3" s="18" t="str">
        <f>VLOOKUP(F2,SkillTable!$A$2:$E$2200,5,FALSE)</f>
        <v>기초 물리방어술</v>
      </c>
      <c r="G3" s="19" t="str">
        <f>"MAX LV "&amp;G2</f>
        <v>MAX LV 5</v>
      </c>
      <c r="H3" s="20" t="e">
        <f>VLOOKUP(H2,SkillTable!$A$2:$E$2200,5,FALSE)</f>
        <v>#N/A</v>
      </c>
      <c r="I3" s="17"/>
      <c r="J3" s="18" t="str">
        <f>VLOOKUP(J2,SkillTable!$A$2:$E$2200,5,FALSE)</f>
        <v>맥시멈 캐논</v>
      </c>
      <c r="K3" s="19" t="str">
        <f>"MAX LV "&amp;K2</f>
        <v>MAX LV 5</v>
      </c>
      <c r="L3" s="20" t="e">
        <f>VLOOKUP(L2,SkillTable!$A$2:$E$2200,5,FALSE)</f>
        <v>#N/A</v>
      </c>
      <c r="M3" s="17"/>
      <c r="N3" s="18" t="e">
        <f>VLOOKUP(N2,SkillTable!$A$2:$E$2200,5,FALSE)</f>
        <v>#N/A</v>
      </c>
      <c r="O3" s="19" t="str">
        <f>"MAX LV "&amp;O2</f>
        <v xml:space="preserve">MAX LV </v>
      </c>
      <c r="P3" s="20" t="e">
        <f>VLOOKUP(P2,SkillTable!$A$2:$E$2200,5,FALSE)</f>
        <v>#N/A</v>
      </c>
      <c r="Q3" s="17"/>
      <c r="R3" s="18" t="str">
        <f>VLOOKUP(R2,SkillTable!$A$2:$E$2200,5,FALSE)</f>
        <v>버닝 러시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14">
        <v>4</v>
      </c>
      <c r="C5" s="15">
        <v>5</v>
      </c>
      <c r="D5" s="16"/>
      <c r="E5" s="17"/>
      <c r="F5" s="34"/>
      <c r="G5" s="15"/>
      <c r="H5" s="16"/>
      <c r="I5" s="17"/>
      <c r="J5" s="14">
        <v>2503</v>
      </c>
      <c r="K5" s="15">
        <v>5</v>
      </c>
      <c r="L5" s="16"/>
      <c r="M5" s="17"/>
      <c r="N5" s="34"/>
      <c r="O5" s="15"/>
      <c r="P5" s="16"/>
      <c r="Q5" s="17"/>
      <c r="R5" s="14"/>
      <c r="S5" s="15"/>
      <c r="T5" s="16"/>
    </row>
    <row r="6" spans="1:20" ht="99.95" customHeight="1" thickBot="1">
      <c r="B6" s="18" t="str">
        <f>VLOOKUP(B5,SkillTable!$A$2:$E$2200,5,FALSE)</f>
        <v>기초 마법방어술</v>
      </c>
      <c r="C6" s="19" t="str">
        <f>"MAX LV "&amp;C5</f>
        <v>MAX LV 5</v>
      </c>
      <c r="D6" s="20" t="e">
        <f>VLOOKUP(D5,SkillTable!$A$2:$E$2200,5,FALSE)</f>
        <v>#N/A</v>
      </c>
      <c r="E6" s="17"/>
      <c r="F6" s="18" t="e">
        <f>VLOOKUP(F5,SkillTable!$A$2:$E$2200,5,FALSE)</f>
        <v>#N/A</v>
      </c>
      <c r="G6" s="19" t="str">
        <f>"MAX LV "&amp;G5</f>
        <v xml:space="preserve">MAX LV </v>
      </c>
      <c r="H6" s="20" t="e">
        <f>VLOOKUP(H5,SkillTable!$A$2:$E$2200,5,FALSE)</f>
        <v>#N/A</v>
      </c>
      <c r="I6" s="17"/>
      <c r="J6" s="18" t="str">
        <f>VLOOKUP(J5,SkillTable!$A$2:$E$2200,5,FALSE)</f>
        <v>캐논 블레이드</v>
      </c>
      <c r="K6" s="19" t="str">
        <f>"MAX LV "&amp;K5</f>
        <v>MAX LV 5</v>
      </c>
      <c r="L6" s="20" t="e">
        <f>VLOOKUP(L5,SkillTable!$A$2:$E$2200,5,FALSE)</f>
        <v>#N/A</v>
      </c>
      <c r="M6" s="17"/>
      <c r="N6" s="18" t="e">
        <f>VLOOKUP(N5,SkillTable!$A$2:$E$2200,5,FALSE)</f>
        <v>#N/A</v>
      </c>
      <c r="O6" s="19" t="str">
        <f>"MAX LV "&amp;O5</f>
        <v xml:space="preserve">MAX LV 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34"/>
      <c r="C8" s="15"/>
      <c r="D8" s="16"/>
      <c r="E8" s="17"/>
      <c r="F8" s="14">
        <v>1</v>
      </c>
      <c r="G8" s="15">
        <v>5</v>
      </c>
      <c r="H8" s="16">
        <v>3</v>
      </c>
      <c r="I8" s="17"/>
      <c r="J8" s="34"/>
      <c r="K8" s="15"/>
      <c r="L8" s="16"/>
      <c r="M8" s="17"/>
      <c r="N8" s="14">
        <v>2502</v>
      </c>
      <c r="O8" s="15">
        <v>5</v>
      </c>
      <c r="P8" s="16"/>
      <c r="Q8" s="17"/>
      <c r="R8" s="34"/>
      <c r="S8" s="15"/>
      <c r="T8" s="16"/>
    </row>
    <row r="9" spans="1:20" ht="99.95" customHeight="1" thickBot="1">
      <c r="B9" s="18" t="e">
        <f>VLOOKUP(B8,SkillTable!$A$2:$E$2200,5,FALSE)</f>
        <v>#N/A</v>
      </c>
      <c r="C9" s="19" t="str">
        <f>"MAX LV "&amp;C8</f>
        <v xml:space="preserve">MAX LV </v>
      </c>
      <c r="D9" s="20" t="e">
        <f>VLOOKUP(D8,SkillTable!$A$2:$E$2200,5,FALSE)</f>
        <v>#N/A</v>
      </c>
      <c r="E9" s="17"/>
      <c r="F9" s="18" t="str">
        <f>VLOOKUP(F8,SkillTable!$A$2:$E$2200,5,FALSE)</f>
        <v>기초 근력단련</v>
      </c>
      <c r="G9" s="19" t="str">
        <f>"MAX LV "&amp;G8</f>
        <v>MAX LV 5</v>
      </c>
      <c r="H9" s="20" t="str">
        <f>VLOOKUP(H8,SkillTable!$A$2:$E$2200,5,FALSE)</f>
        <v>기초 물리방어술</v>
      </c>
      <c r="I9" s="17"/>
      <c r="J9" s="18" t="e">
        <f>VLOOKUP(J8,SkillTable!$A$2:$E$2200,5,FALSE)</f>
        <v>#N/A</v>
      </c>
      <c r="K9" s="19" t="str">
        <f>"MAX LV "&amp;K8</f>
        <v xml:space="preserve">MAX LV </v>
      </c>
      <c r="L9" s="20" t="e">
        <f>VLOOKUP(L8,SkillTable!$A$2:$E$2200,5,FALSE)</f>
        <v>#N/A</v>
      </c>
      <c r="M9" s="17"/>
      <c r="N9" s="18" t="str">
        <f>VLOOKUP(N8,SkillTable!$A$2:$E$2200,5,FALSE)</f>
        <v>파워 어설트</v>
      </c>
      <c r="O9" s="19" t="str">
        <f>"MAX LV "&amp;O8</f>
        <v>MAX LV 5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14">
        <v>2</v>
      </c>
      <c r="C11" s="15">
        <v>5</v>
      </c>
      <c r="D11" s="16">
        <v>4</v>
      </c>
      <c r="E11" s="17"/>
      <c r="F11" s="34"/>
      <c r="G11" s="15"/>
      <c r="H11" s="16"/>
      <c r="I11" s="17"/>
      <c r="J11" s="34"/>
      <c r="K11" s="15"/>
      <c r="L11" s="16"/>
      <c r="M11" s="17"/>
      <c r="N11" s="34"/>
      <c r="O11" s="15"/>
      <c r="P11" s="16"/>
      <c r="Q11" s="17"/>
      <c r="R11" s="34"/>
      <c r="S11" s="15"/>
      <c r="T11" s="16"/>
    </row>
    <row r="12" spans="1:20" ht="99.95" customHeight="1" thickBot="1">
      <c r="B12" s="18" t="str">
        <f>VLOOKUP(B11,SkillTable!$A$2:$E$2200,5,FALSE)</f>
        <v>기초 마법수련</v>
      </c>
      <c r="C12" s="19" t="str">
        <f>"MAX LV "&amp;C11</f>
        <v>MAX LV 5</v>
      </c>
      <c r="D12" s="20" t="str">
        <f>VLOOKUP(D11,SkillTable!$A$2:$E$2200,5,FALSE)</f>
        <v>기초 마법방어술</v>
      </c>
      <c r="E12" s="17"/>
      <c r="F12" s="18" t="e">
        <f>VLOOKUP(F11,SkillTable!$A$2:$E$2200,5,FALSE)</f>
        <v>#N/A</v>
      </c>
      <c r="G12" s="19" t="str">
        <f>"MAX LV "&amp;G11</f>
        <v xml:space="preserve">MAX LV </v>
      </c>
      <c r="H12" s="20" t="e">
        <f>VLOOKUP(H11,SkillTable!$A$2:$E$2200,5,FALSE)</f>
        <v>#N/A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e">
        <f>VLOOKUP(N11,SkillTable!$A$2:$E$2200,5,FALSE)</f>
        <v>#N/A</v>
      </c>
      <c r="O12" s="19" t="str">
        <f>"MAX LV "&amp;O11</f>
        <v xml:space="preserve">MAX LV </v>
      </c>
      <c r="P12" s="20" t="e">
        <f>VLOOKUP(P11,SkillTable!$A$2:$E$2200,5,FALSE)</f>
        <v>#N/A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14">
        <v>301</v>
      </c>
      <c r="C14" s="15">
        <v>3</v>
      </c>
      <c r="D14" s="16"/>
      <c r="E14" s="17"/>
      <c r="F14" s="34"/>
      <c r="G14" s="15"/>
      <c r="H14" s="16"/>
      <c r="I14" s="17"/>
      <c r="J14" s="34"/>
      <c r="K14" s="15"/>
      <c r="L14" s="16"/>
      <c r="M14" s="17"/>
      <c r="N14" s="14">
        <v>2501</v>
      </c>
      <c r="O14" s="15">
        <v>5</v>
      </c>
      <c r="P14" s="16">
        <v>2502</v>
      </c>
      <c r="Q14" s="17"/>
      <c r="R14" s="34"/>
      <c r="S14" s="15"/>
      <c r="T14" s="16"/>
    </row>
    <row r="15" spans="1:20" ht="99.95" customHeight="1" thickBot="1">
      <c r="B15" s="18" t="str">
        <f>VLOOKUP(B14,SkillTable!$A$2:$E$2200,5,FALSE)</f>
        <v>매직 액셀레이터</v>
      </c>
      <c r="C15" s="19" t="str">
        <f>"MAX LV "&amp;C14</f>
        <v>MAX LV 3</v>
      </c>
      <c r="D15" s="20" t="e">
        <f>VLOOKUP(D14,SkillTable!$A$2:$E$2200,5,FALSE)</f>
        <v>#N/A</v>
      </c>
      <c r="E15" s="17"/>
      <c r="F15" s="18" t="e">
        <f>VLOOKUP(F14,SkillTable!$A$2:$E$2200,5,FALSE)</f>
        <v>#N/A</v>
      </c>
      <c r="G15" s="19" t="str">
        <f>"MAX LV "&amp;G14</f>
        <v xml:space="preserve">MAX LV </v>
      </c>
      <c r="H15" s="20" t="e">
        <f>VLOOKUP(H14,SkillTable!$A$2:$E$2200,5,FALSE)</f>
        <v>#N/A</v>
      </c>
      <c r="I15" s="17"/>
      <c r="J15" s="18" t="e">
        <f>VLOOKUP(J14,SkillTable!$A$2:$E$2200,5,FALSE)</f>
        <v>#N/A</v>
      </c>
      <c r="K15" s="19" t="str">
        <f>"MAX LV "&amp;K14</f>
        <v xml:space="preserve">MAX LV </v>
      </c>
      <c r="L15" s="20" t="e">
        <f>VLOOKUP(L14,SkillTable!$A$2:$E$2200,5,FALSE)</f>
        <v>#N/A</v>
      </c>
      <c r="M15" s="17"/>
      <c r="N15" s="18" t="str">
        <f>VLOOKUP(N14,SkillTable!$A$2:$E$2200,5,FALSE)</f>
        <v>어스 브레이크</v>
      </c>
      <c r="O15" s="19" t="str">
        <f>"MAX LV "&amp;O14</f>
        <v>MAX LV 5</v>
      </c>
      <c r="P15" s="20" t="str">
        <f>VLOOKUP(P14,SkillTable!$A$2:$E$2200,5,FALSE)</f>
        <v>파워 어설트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14">
        <v>302</v>
      </c>
      <c r="C17" s="15">
        <v>3</v>
      </c>
      <c r="D17" s="16"/>
      <c r="E17" s="17"/>
      <c r="F17" s="14">
        <v>300</v>
      </c>
      <c r="G17" s="15">
        <v>3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9</v>
      </c>
      <c r="S17" s="15">
        <v>5</v>
      </c>
      <c r="T17" s="16"/>
    </row>
    <row r="18" spans="1:20" ht="99.95" customHeight="1" thickBot="1">
      <c r="B18" s="18" t="str">
        <f>VLOOKUP(B17,SkillTable!$A$2:$E$2200,5,FALSE)</f>
        <v>실드 액셀레이터</v>
      </c>
      <c r="C18" s="19" t="str">
        <f>"MAX LV "&amp;C17</f>
        <v>MAX LV 3</v>
      </c>
      <c r="D18" s="20" t="e">
        <f>VLOOKUP(D17,SkillTable!$A$2:$E$2200,5,FALSE)</f>
        <v>#N/A</v>
      </c>
      <c r="E18" s="17"/>
      <c r="F18" s="18" t="str">
        <f>VLOOKUP(F17,SkillTable!$A$2:$E$2200,5,FALSE)</f>
        <v>파워 액셀레이터</v>
      </c>
      <c r="G18" s="19" t="str">
        <f>"MAX LV "&amp;G17</f>
        <v>MAX LV 3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기회의 포착</v>
      </c>
      <c r="S18" s="19" t="str">
        <f>"MAX LV "&amp;S17</f>
        <v>MAX LV 5</v>
      </c>
      <c r="T18" s="20" t="e">
        <f>VLOOKUP(T17,SkillTable!$A$2:$E$2200,5,FALSE)</f>
        <v>#N/A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2505</v>
      </c>
      <c r="K20" s="15">
        <v>5</v>
      </c>
      <c r="L20" s="16">
        <v>2503</v>
      </c>
      <c r="M20" s="17"/>
      <c r="N20" s="14">
        <v>2504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세븐 버스트</v>
      </c>
      <c r="K21" s="19" t="str">
        <f>"MAX LV "&amp;K20</f>
        <v>MAX LV 5</v>
      </c>
      <c r="L21" s="20" t="str">
        <f>VLOOKUP(L20,SkillTable!$A$2:$E$2200,5,FALSE)</f>
        <v>캐논 블레이드</v>
      </c>
      <c r="M21" s="17"/>
      <c r="N21" s="18" t="str">
        <f>VLOOKUP(N20,SkillTable!$A$2:$E$2200,5,FALSE)</f>
        <v>매그넘 블래스터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14">
        <v>2701</v>
      </c>
      <c r="S23" s="15">
        <v>5</v>
      </c>
      <c r="T23" s="16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섀도우 스탭</v>
      </c>
      <c r="S24" s="19" t="str">
        <f>"MAX LV "&amp;S23</f>
        <v>MAX LV 5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14">
        <v>2509</v>
      </c>
      <c r="K26" s="15">
        <v>5</v>
      </c>
      <c r="L26" s="16"/>
      <c r="M26" s="17"/>
      <c r="N26" s="34">
        <v>2703</v>
      </c>
      <c r="O26" s="15">
        <v>5</v>
      </c>
      <c r="P26" s="16"/>
      <c r="Q26" s="17"/>
      <c r="R26" s="34"/>
      <c r="S26" s="15"/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str">
        <f>VLOOKUP(J26,SkillTable!$A$2:$E$2200,5,FALSE)</f>
        <v>차지드 볼트</v>
      </c>
      <c r="K27" s="19" t="str">
        <f>"MAX LV "&amp;K26</f>
        <v>MAX LV 5</v>
      </c>
      <c r="L27" s="20" t="e">
        <f>VLOOKUP(L26,SkillTable!$A$2:$E$2200,5,FALSE)</f>
        <v>#N/A</v>
      </c>
      <c r="M27" s="17"/>
      <c r="N27" s="18" t="str">
        <f>VLOOKUP(N26,SkillTable!$A$2:$E$2200,5,FALSE)</f>
        <v>웨폰 브레이크</v>
      </c>
      <c r="O27" s="19" t="str">
        <f>"MAX LV "&amp;O26</f>
        <v>MAX LV 5</v>
      </c>
      <c r="P27" s="20" t="e">
        <f>VLOOKUP(P26,SkillTable!$A$2:$E$2200,5,FALSE)</f>
        <v>#N/A</v>
      </c>
      <c r="Q27" s="17"/>
      <c r="R27" s="18" t="e">
        <f>VLOOKUP(R26,SkillTable!$A$2:$E$2200,5,FALSE)</f>
        <v>#N/A</v>
      </c>
      <c r="S27" s="19" t="str">
        <f>"MAX LV "&amp;S26</f>
        <v xml:space="preserve">MAX LV 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34"/>
      <c r="C29" s="15"/>
      <c r="D29" s="16"/>
      <c r="E29" s="17"/>
      <c r="F29" s="34"/>
      <c r="G29" s="15"/>
      <c r="H29" s="16"/>
      <c r="I29" s="17"/>
      <c r="J29" s="14">
        <v>23</v>
      </c>
      <c r="K29" s="15">
        <v>5</v>
      </c>
      <c r="L29" s="16"/>
      <c r="M29" s="17"/>
      <c r="N29" s="14">
        <v>6</v>
      </c>
      <c r="O29" s="15">
        <v>5</v>
      </c>
      <c r="P29" s="16"/>
      <c r="Q29" s="17"/>
      <c r="R29" s="34"/>
      <c r="S29" s="15"/>
      <c r="T29" s="16"/>
    </row>
    <row r="30" spans="1:20" ht="99.95" customHeight="1" thickBot="1">
      <c r="B30" s="18" t="e">
        <f>VLOOKUP(B29,SkillTable!$A$2:$E$2200,5,FALSE)</f>
        <v>#N/A</v>
      </c>
      <c r="C30" s="19" t="str">
        <f>"MAX LV "&amp;C29</f>
        <v xml:space="preserve">MAX LV </v>
      </c>
      <c r="D30" s="20" t="e">
        <f>VLOOKUP(D29,SkillTable!$A$2:$E$2200,5,FALSE)</f>
        <v>#N/A</v>
      </c>
      <c r="E30" s="17"/>
      <c r="F30" s="18" t="e">
        <f>VLOOKUP(F29,SkillTable!$A$2:$E$2200,5,FALSE)</f>
        <v>#N/A</v>
      </c>
      <c r="G30" s="19" t="str">
        <f>"MAX LV "&amp;G29</f>
        <v xml:space="preserve">MAX LV </v>
      </c>
      <c r="H30" s="20" t="e">
        <f>VLOOKUP(H29,SkillTable!$A$2:$E$2200,5,FALSE)</f>
        <v>#N/A</v>
      </c>
      <c r="I30" s="17"/>
      <c r="J30" s="18" t="str">
        <f>VLOOKUP(J29,SkillTable!$A$2:$E$2200,5,FALSE)</f>
        <v>호승심 유발</v>
      </c>
      <c r="K30" s="19" t="str">
        <f>"MAX LV "&amp;K29</f>
        <v>MAX LV 5</v>
      </c>
      <c r="L30" s="20" t="e">
        <f>VLOOKUP(L29,SkillTable!$A$2:$E$2200,5,FALSE)</f>
        <v>#N/A</v>
      </c>
      <c r="M30" s="17"/>
      <c r="N30" s="18" t="str">
        <f>VLOOKUP(N29,SkillTable!$A$2:$E$2200,5,FALSE)</f>
        <v>중급 마법수련</v>
      </c>
      <c r="O30" s="19" t="str">
        <f>"MAX LV "&amp;O29</f>
        <v>MAX LV 5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14">
        <v>2510</v>
      </c>
      <c r="K32" s="15">
        <v>5</v>
      </c>
      <c r="L32" s="16"/>
      <c r="M32" s="17"/>
      <c r="N32" s="34"/>
      <c r="O32" s="15"/>
      <c r="P32" s="16"/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str">
        <f>VLOOKUP(J32,SkillTable!$A$2:$E$2200,5,FALSE)</f>
        <v>아크 에너미</v>
      </c>
      <c r="K33" s="19" t="str">
        <f>"MAX LV "&amp;K32</f>
        <v>MAX LV 5</v>
      </c>
      <c r="L33" s="20" t="e">
        <f>VLOOKUP(L32,SkillTable!$A$2:$E$2200,5,FALSE)</f>
        <v>#N/A</v>
      </c>
      <c r="M33" s="17"/>
      <c r="N33" s="18" t="e">
        <f>VLOOKUP(N32,SkillTable!$A$2:$E$2200,5,FALSE)</f>
        <v>#N/A</v>
      </c>
      <c r="O33" s="19" t="str">
        <f>"MAX LV "&amp;O32</f>
        <v xml:space="preserve">MAX LV </v>
      </c>
      <c r="P33" s="20" t="e">
        <f>VLOOKUP(P32,SkillTable!$A$2:$E$2200,5,FALSE)</f>
        <v>#N/A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14">
        <v>306</v>
      </c>
      <c r="C35" s="15">
        <v>3</v>
      </c>
      <c r="D35" s="16"/>
      <c r="E35" s="17"/>
      <c r="F35" s="34"/>
      <c r="G35" s="15"/>
      <c r="H35" s="16"/>
      <c r="I35" s="17"/>
      <c r="J35" s="14">
        <v>12</v>
      </c>
      <c r="K35" s="15">
        <v>5</v>
      </c>
      <c r="L35" s="16"/>
      <c r="M35" s="17"/>
      <c r="N35" s="14">
        <v>307</v>
      </c>
      <c r="O35" s="15">
        <v>3</v>
      </c>
      <c r="P35" s="16">
        <v>6</v>
      </c>
      <c r="Q35" s="17"/>
      <c r="R35" s="14">
        <v>2900</v>
      </c>
      <c r="S35" s="15">
        <v>5</v>
      </c>
      <c r="T35" s="16">
        <v>2701</v>
      </c>
    </row>
    <row r="36" spans="1:20" ht="99.95" customHeight="1" thickBot="1">
      <c r="B36" s="18" t="str">
        <f>VLOOKUP(B35,SkillTable!$A$2:$E$2200,5,FALSE)</f>
        <v>파워 아드레날린</v>
      </c>
      <c r="C36" s="19" t="str">
        <f>"MAX LV "&amp;C35</f>
        <v>MAX LV 3</v>
      </c>
      <c r="D36" s="20" t="e">
        <f>VLOOKUP(D35,SkillTable!$A$2:$E$2200,5,FALSE)</f>
        <v>#N/A</v>
      </c>
      <c r="E36" s="17"/>
      <c r="F36" s="18" t="e">
        <f>VLOOKUP(F35,SkillTable!$A$2:$E$2200,5,FALSE)</f>
        <v>#N/A</v>
      </c>
      <c r="G36" s="19" t="str">
        <f>"MAX LV "&amp;G35</f>
        <v xml:space="preserve">MAX LV </v>
      </c>
      <c r="H36" s="20" t="e">
        <f>VLOOKUP(H35,SkillTable!$A$2:$E$2200,5,FALSE)</f>
        <v>#N/A</v>
      </c>
      <c r="I36" s="17"/>
      <c r="J36" s="18" t="str">
        <f>VLOOKUP(J35,SkillTable!$A$2:$E$2200,5,FALSE)</f>
        <v>강인한 정신력</v>
      </c>
      <c r="K36" s="19" t="str">
        <f>"MAX LV "&amp;K35</f>
        <v>MAX LV 5</v>
      </c>
      <c r="L36" s="20" t="e">
        <f>VLOOKUP(L35,SkillTable!$A$2:$E$2200,5,FALSE)</f>
        <v>#N/A</v>
      </c>
      <c r="M36" s="17"/>
      <c r="N36" s="18" t="str">
        <f>VLOOKUP(N35,SkillTable!$A$2:$E$2200,5,FALSE)</f>
        <v>매직 아드레날린</v>
      </c>
      <c r="O36" s="19" t="str">
        <f>"MAX LV "&amp;O35</f>
        <v>MAX LV 3</v>
      </c>
      <c r="P36" s="20" t="str">
        <f>VLOOKUP(P35,SkillTable!$A$2:$E$2200,5,FALSE)</f>
        <v>중급 마법수련</v>
      </c>
      <c r="Q36" s="17"/>
      <c r="R36" s="18" t="str">
        <f>VLOOKUP(R35,SkillTable!$A$2:$E$2200,5,FALSE)</f>
        <v>섀도우 피어싱</v>
      </c>
      <c r="S36" s="19" t="str">
        <f>"MAX LV "&amp;S35</f>
        <v>MAX LV 5</v>
      </c>
      <c r="T36" s="20" t="str">
        <f>VLOOKUP(T35,SkillTable!$A$2:$E$2200,5,FALSE)</f>
        <v>섀도우 스탭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14">
        <v>22</v>
      </c>
      <c r="G38" s="15">
        <v>5</v>
      </c>
      <c r="H38" s="16"/>
      <c r="I38" s="17"/>
      <c r="J38" s="34"/>
      <c r="K38" s="15"/>
      <c r="L38" s="16"/>
      <c r="M38" s="17"/>
      <c r="N38" s="34">
        <v>2513</v>
      </c>
      <c r="O38" s="15">
        <v>5</v>
      </c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str">
        <f>VLOOKUP(F38,SkillTable!$A$2:$E$2200,5,FALSE)</f>
        <v>역전의 용사</v>
      </c>
      <c r="G39" s="19" t="str">
        <f>"MAX LV "&amp;G38</f>
        <v>MAX LV 5</v>
      </c>
      <c r="H39" s="20" t="e">
        <f>VLOOKUP(H38,SkillTable!$A$2:$E$2200,5,FALSE)</f>
        <v>#N/A</v>
      </c>
      <c r="I39" s="17"/>
      <c r="J39" s="18" t="e">
        <f>VLOOKUP(J38,SkillTable!$A$2:$E$2200,5,FALSE)</f>
        <v>#N/A</v>
      </c>
      <c r="K39" s="19" t="str">
        <f>"MAX LV "&amp;K38</f>
        <v xml:space="preserve">MAX LV </v>
      </c>
      <c r="L39" s="20" t="e">
        <f>VLOOKUP(L38,SkillTable!$A$2:$E$2200,5,FALSE)</f>
        <v>#N/A</v>
      </c>
      <c r="M39" s="17"/>
      <c r="N39" s="18" t="str">
        <f>VLOOKUP(N38,SkillTable!$A$2:$E$2200,5,FALSE)</f>
        <v>발키리스 자벨린</v>
      </c>
      <c r="O39" s="19" t="str">
        <f>"MAX LV "&amp;O38</f>
        <v>MAX LV 5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14">
        <v>2511</v>
      </c>
      <c r="K41" s="15">
        <v>5</v>
      </c>
      <c r="L41" s="16"/>
      <c r="M41" s="17"/>
      <c r="N41" s="34"/>
      <c r="O41" s="15"/>
      <c r="P41" s="16"/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str">
        <f>VLOOKUP(J41,SkillTable!$A$2:$E$2200,5,FALSE)</f>
        <v>가디언 스트라이크</v>
      </c>
      <c r="K42" s="19" t="str">
        <f>"MAX LV "&amp;K41</f>
        <v>MAX LV 5</v>
      </c>
      <c r="L42" s="20" t="e">
        <f>VLOOKUP(L41,SkillTable!$A$2:$E$2200,5,FALSE)</f>
        <v>#N/A</v>
      </c>
      <c r="M42" s="17"/>
      <c r="N42" s="18" t="e">
        <f>VLOOKUP(N41,SkillTable!$A$2:$E$2200,5,FALSE)</f>
        <v>#N/A</v>
      </c>
      <c r="O42" s="19" t="str">
        <f>"MAX LV "&amp;O41</f>
        <v xml:space="preserve">MAX LV </v>
      </c>
      <c r="P42" s="20" t="e">
        <f>VLOOKUP(P41,SkillTable!$A$2:$E$2200,5,FALSE)</f>
        <v>#N/A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0"/>
  <dimension ref="A1:T43"/>
  <sheetViews>
    <sheetView topLeftCell="A19" zoomScale="60" zoomScaleNormal="60" workbookViewId="0">
      <selection activeCell="P10" sqref="P10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14">
        <v>4</v>
      </c>
      <c r="C2" s="15">
        <v>5</v>
      </c>
      <c r="D2" s="16"/>
      <c r="E2" s="17"/>
      <c r="F2" s="34"/>
      <c r="G2" s="15"/>
      <c r="H2" s="16"/>
      <c r="I2" s="17"/>
      <c r="J2" s="14">
        <v>3000</v>
      </c>
      <c r="K2" s="15">
        <v>5</v>
      </c>
      <c r="L2" s="16"/>
      <c r="M2" s="17"/>
      <c r="N2" s="34"/>
      <c r="O2" s="15"/>
      <c r="P2" s="16"/>
      <c r="Q2" s="17"/>
      <c r="R2" s="14">
        <v>3200</v>
      </c>
      <c r="S2" s="15">
        <v>1</v>
      </c>
      <c r="T2" s="16"/>
    </row>
    <row r="3" spans="1:20" ht="99.95" customHeight="1" thickBot="1">
      <c r="B3" s="18" t="str">
        <f>VLOOKUP(B2,SkillTable!$A$2:$E$2200,5,FALSE)</f>
        <v>기초 마법방어술</v>
      </c>
      <c r="C3" s="19" t="str">
        <f>"MAX LV "&amp;C2</f>
        <v>MAX LV 5</v>
      </c>
      <c r="D3" s="20" t="e">
        <f>VLOOKUP(D2,SkillTable!$A$2:$E$2200,5,FALSE)</f>
        <v>#N/A</v>
      </c>
      <c r="E3" s="17"/>
      <c r="F3" s="18" t="e">
        <f>VLOOKUP(F2,SkillTable!$A$2:$E$2200,5,FALSE)</f>
        <v>#N/A</v>
      </c>
      <c r="G3" s="19" t="str">
        <f>"MAX LV "&amp;G2</f>
        <v xml:space="preserve">MAX LV </v>
      </c>
      <c r="H3" s="20" t="e">
        <f>VLOOKUP(H2,SkillTable!$A$2:$E$2200,5,FALSE)</f>
        <v>#N/A</v>
      </c>
      <c r="I3" s="17"/>
      <c r="J3" s="18" t="str">
        <f>VLOOKUP(J2,SkillTable!$A$2:$E$2200,5,FALSE)</f>
        <v>일루전 스트라이크</v>
      </c>
      <c r="K3" s="19" t="str">
        <f>"MAX LV "&amp;K2</f>
        <v>MAX LV 5</v>
      </c>
      <c r="L3" s="20" t="e">
        <f>VLOOKUP(L2,SkillTable!$A$2:$E$2200,5,FALSE)</f>
        <v>#N/A</v>
      </c>
      <c r="M3" s="17"/>
      <c r="N3" s="18" t="e">
        <f>VLOOKUP(N2,SkillTable!$A$2:$E$2200,5,FALSE)</f>
        <v>#N/A</v>
      </c>
      <c r="O3" s="19" t="str">
        <f>"MAX LV "&amp;O2</f>
        <v xml:space="preserve">MAX LV </v>
      </c>
      <c r="P3" s="20" t="e">
        <f>VLOOKUP(P2,SkillTable!$A$2:$E$2200,5,FALSE)</f>
        <v>#N/A</v>
      </c>
      <c r="Q3" s="17"/>
      <c r="R3" s="18" t="str">
        <f>VLOOKUP(R2,SkillTable!$A$2:$E$2200,5,FALSE)</f>
        <v>클로킹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34"/>
      <c r="C5" s="15"/>
      <c r="D5" s="16"/>
      <c r="E5" s="17"/>
      <c r="F5" s="14">
        <v>3</v>
      </c>
      <c r="G5" s="15">
        <v>5</v>
      </c>
      <c r="H5" s="16"/>
      <c r="I5" s="17"/>
      <c r="J5" s="34"/>
      <c r="K5" s="15"/>
      <c r="L5" s="16"/>
      <c r="M5" s="17"/>
      <c r="N5" s="14">
        <v>3001</v>
      </c>
      <c r="O5" s="15">
        <v>5</v>
      </c>
      <c r="P5" s="16"/>
      <c r="Q5" s="17"/>
      <c r="R5" s="14"/>
      <c r="S5" s="15"/>
      <c r="T5" s="16"/>
    </row>
    <row r="6" spans="1:20" ht="99.95" customHeight="1" thickBot="1">
      <c r="B6" s="18" t="e">
        <f>VLOOKUP(B5,SkillTable!$A$2:$E$2200,5,FALSE)</f>
        <v>#N/A</v>
      </c>
      <c r="C6" s="19" t="str">
        <f>"MAX LV "&amp;C5</f>
        <v xml:space="preserve">MAX LV </v>
      </c>
      <c r="D6" s="20" t="e">
        <f>VLOOKUP(D5,SkillTable!$A$2:$E$2200,5,FALSE)</f>
        <v>#N/A</v>
      </c>
      <c r="E6" s="17"/>
      <c r="F6" s="18" t="str">
        <f>VLOOKUP(F5,SkillTable!$A$2:$E$2200,5,FALSE)</f>
        <v>기초 물리방어술</v>
      </c>
      <c r="G6" s="19" t="str">
        <f>"MAX LV "&amp;G5</f>
        <v>MAX LV 5</v>
      </c>
      <c r="H6" s="20" t="e">
        <f>VLOOKUP(H5,SkillTable!$A$2:$E$2200,5,FALSE)</f>
        <v>#N/A</v>
      </c>
      <c r="I6" s="17"/>
      <c r="J6" s="18" t="e">
        <f>VLOOKUP(J5,SkillTable!$A$2:$E$2200,5,FALSE)</f>
        <v>#N/A</v>
      </c>
      <c r="K6" s="19" t="str">
        <f>"MAX LV "&amp;K5</f>
        <v xml:space="preserve">MAX LV </v>
      </c>
      <c r="L6" s="20" t="e">
        <f>VLOOKUP(L5,SkillTable!$A$2:$E$2200,5,FALSE)</f>
        <v>#N/A</v>
      </c>
      <c r="M6" s="17"/>
      <c r="N6" s="18" t="str">
        <f>VLOOKUP(N5,SkillTable!$A$2:$E$2200,5,FALSE)</f>
        <v>디멘션 링크</v>
      </c>
      <c r="O6" s="19" t="str">
        <f>"MAX LV "&amp;O5</f>
        <v>MAX LV 5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14">
        <v>2</v>
      </c>
      <c r="C8" s="15">
        <v>5</v>
      </c>
      <c r="D8" s="16">
        <v>4</v>
      </c>
      <c r="E8" s="17"/>
      <c r="F8" s="34"/>
      <c r="G8" s="15"/>
      <c r="H8" s="16"/>
      <c r="I8" s="17"/>
      <c r="J8" s="14">
        <v>3002</v>
      </c>
      <c r="K8" s="15">
        <v>5</v>
      </c>
      <c r="L8" s="16"/>
      <c r="M8" s="17"/>
      <c r="N8" s="34"/>
      <c r="O8" s="15"/>
      <c r="P8" s="16"/>
      <c r="Q8" s="17"/>
      <c r="R8" s="34"/>
      <c r="S8" s="15"/>
      <c r="T8" s="16"/>
    </row>
    <row r="9" spans="1:20" ht="99.95" customHeight="1" thickBot="1">
      <c r="B9" s="18" t="str">
        <f>VLOOKUP(B8,SkillTable!$A$2:$E$2200,5,FALSE)</f>
        <v>기초 마법수련</v>
      </c>
      <c r="C9" s="19" t="str">
        <f>"MAX LV "&amp;C8</f>
        <v>MAX LV 5</v>
      </c>
      <c r="D9" s="20" t="str">
        <f>VLOOKUP(D8,SkillTable!$A$2:$E$2200,5,FALSE)</f>
        <v>기초 마법방어술</v>
      </c>
      <c r="E9" s="17"/>
      <c r="F9" s="18" t="e">
        <f>VLOOKUP(F8,SkillTable!$A$2:$E$2200,5,FALSE)</f>
        <v>#N/A</v>
      </c>
      <c r="G9" s="19" t="str">
        <f>"MAX LV "&amp;G8</f>
        <v xml:space="preserve">MAX LV </v>
      </c>
      <c r="H9" s="20" t="e">
        <f>VLOOKUP(H8,SkillTable!$A$2:$E$2200,5,FALSE)</f>
        <v>#N/A</v>
      </c>
      <c r="I9" s="17"/>
      <c r="J9" s="18" t="str">
        <f>VLOOKUP(J8,SkillTable!$A$2:$E$2200,5,FALSE)</f>
        <v>일루전 스팅어</v>
      </c>
      <c r="K9" s="19" t="str">
        <f>"MAX LV "&amp;K8</f>
        <v>MAX LV 5</v>
      </c>
      <c r="L9" s="20" t="e">
        <f>VLOOKUP(L8,SkillTable!$A$2:$E$2200,5,FALSE)</f>
        <v>#N/A</v>
      </c>
      <c r="M9" s="17"/>
      <c r="N9" s="18" t="e">
        <f>VLOOKUP(N8,SkillTable!$A$2:$E$2200,5,FALSE)</f>
        <v>#N/A</v>
      </c>
      <c r="O9" s="19" t="str">
        <f>"MAX LV "&amp;O8</f>
        <v xml:space="preserve">MAX LV 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14">
        <v>304</v>
      </c>
      <c r="C11" s="15">
        <v>5</v>
      </c>
      <c r="D11" s="16"/>
      <c r="E11" s="17"/>
      <c r="F11" s="14">
        <v>1</v>
      </c>
      <c r="G11" s="15">
        <v>5</v>
      </c>
      <c r="H11" s="16">
        <v>3</v>
      </c>
      <c r="I11" s="17"/>
      <c r="J11" s="34"/>
      <c r="K11" s="15"/>
      <c r="L11" s="16"/>
      <c r="M11" s="17"/>
      <c r="N11" s="14">
        <v>3003</v>
      </c>
      <c r="O11" s="15">
        <v>5</v>
      </c>
      <c r="P11" s="16">
        <v>3001</v>
      </c>
      <c r="Q11" s="17"/>
      <c r="R11" s="34"/>
      <c r="S11" s="15"/>
      <c r="T11" s="16"/>
    </row>
    <row r="12" spans="1:20" ht="99.95" customHeight="1" thickBot="1">
      <c r="B12" s="18" t="str">
        <f>VLOOKUP(B11,SkillTable!$A$2:$E$2200,5,FALSE)</f>
        <v>오러 매직 액셀레이터</v>
      </c>
      <c r="C12" s="19" t="str">
        <f>"MAX LV "&amp;C11</f>
        <v>MAX LV 5</v>
      </c>
      <c r="D12" s="20" t="e">
        <f>VLOOKUP(D11,SkillTable!$A$2:$E$2200,5,FALSE)</f>
        <v>#N/A</v>
      </c>
      <c r="E12" s="17"/>
      <c r="F12" s="18" t="str">
        <f>VLOOKUP(F11,SkillTable!$A$2:$E$2200,5,FALSE)</f>
        <v>기초 근력단련</v>
      </c>
      <c r="G12" s="19" t="str">
        <f>"MAX LV "&amp;G11</f>
        <v>MAX LV 5</v>
      </c>
      <c r="H12" s="20" t="str">
        <f>VLOOKUP(H11,SkillTable!$A$2:$E$2200,5,FALSE)</f>
        <v>기초 물리방어술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str">
        <f>VLOOKUP(N11,SkillTable!$A$2:$E$2200,5,FALSE)</f>
        <v>디멘션 링크 블레이더</v>
      </c>
      <c r="O12" s="19" t="str">
        <f>"MAX LV "&amp;O11</f>
        <v>MAX LV 5</v>
      </c>
      <c r="P12" s="20" t="str">
        <f>VLOOKUP(P11,SkillTable!$A$2:$E$2200,5,FALSE)</f>
        <v>디멘션 링크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34"/>
      <c r="C14" s="15"/>
      <c r="D14" s="16"/>
      <c r="E14" s="17"/>
      <c r="F14" s="14">
        <v>305</v>
      </c>
      <c r="G14" s="15">
        <v>5</v>
      </c>
      <c r="H14" s="16"/>
      <c r="I14" s="17"/>
      <c r="J14" s="34"/>
      <c r="K14" s="15"/>
      <c r="L14" s="16"/>
      <c r="M14" s="17"/>
      <c r="N14" s="34"/>
      <c r="O14" s="15"/>
      <c r="P14" s="16"/>
      <c r="Q14" s="17"/>
      <c r="R14" s="34"/>
      <c r="S14" s="15"/>
      <c r="T14" s="16"/>
    </row>
    <row r="15" spans="1:20" ht="99.95" customHeight="1" thickBot="1">
      <c r="B15" s="18" t="e">
        <f>VLOOKUP(B14,SkillTable!$A$2:$E$2200,5,FALSE)</f>
        <v>#N/A</v>
      </c>
      <c r="C15" s="19" t="str">
        <f>"MAX LV "&amp;C14</f>
        <v xml:space="preserve">MAX LV </v>
      </c>
      <c r="D15" s="20" t="e">
        <f>VLOOKUP(D14,SkillTable!$A$2:$E$2200,5,FALSE)</f>
        <v>#N/A</v>
      </c>
      <c r="E15" s="17"/>
      <c r="F15" s="18" t="str">
        <f>VLOOKUP(F14,SkillTable!$A$2:$E$2200,5,FALSE)</f>
        <v>오러 실드 액셀레이터</v>
      </c>
      <c r="G15" s="19" t="str">
        <f>"MAX LV "&amp;G14</f>
        <v>MAX LV 5</v>
      </c>
      <c r="H15" s="20" t="e">
        <f>VLOOKUP(H14,SkillTable!$A$2:$E$2200,5,FALSE)</f>
        <v>#N/A</v>
      </c>
      <c r="I15" s="17"/>
      <c r="J15" s="18" t="e">
        <f>VLOOKUP(J14,SkillTable!$A$2:$E$2200,5,FALSE)</f>
        <v>#N/A</v>
      </c>
      <c r="K15" s="19" t="str">
        <f>"MAX LV "&amp;K14</f>
        <v xml:space="preserve">MAX LV </v>
      </c>
      <c r="L15" s="20" t="e">
        <f>VLOOKUP(L14,SkillTable!$A$2:$E$2200,5,FALSE)</f>
        <v>#N/A</v>
      </c>
      <c r="M15" s="17"/>
      <c r="N15" s="18" t="e">
        <f>VLOOKUP(N14,SkillTable!$A$2:$E$2200,5,FALSE)</f>
        <v>#N/A</v>
      </c>
      <c r="O15" s="19" t="str">
        <f>"MAX LV "&amp;O14</f>
        <v xml:space="preserve">MAX LV </v>
      </c>
      <c r="P15" s="20" t="e">
        <f>VLOOKUP(P14,SkillTable!$A$2:$E$2200,5,FALSE)</f>
        <v>#N/A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34"/>
      <c r="C17" s="15"/>
      <c r="D17" s="16"/>
      <c r="E17" s="17"/>
      <c r="F17" s="14">
        <v>303</v>
      </c>
      <c r="G17" s="15">
        <v>5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3400</v>
      </c>
      <c r="S17" s="15">
        <v>3</v>
      </c>
      <c r="T17" s="16">
        <v>3200</v>
      </c>
    </row>
    <row r="18" spans="1:20" ht="99.95" customHeight="1" thickBot="1">
      <c r="B18" s="18" t="e">
        <f>VLOOKUP(B17,SkillTable!$A$2:$E$2200,5,FALSE)</f>
        <v>#N/A</v>
      </c>
      <c r="C18" s="19" t="str">
        <f>"MAX LV "&amp;C17</f>
        <v xml:space="preserve">MAX LV </v>
      </c>
      <c r="D18" s="20" t="e">
        <f>VLOOKUP(D17,SkillTable!$A$2:$E$2200,5,FALSE)</f>
        <v>#N/A</v>
      </c>
      <c r="E18" s="17"/>
      <c r="F18" s="18" t="str">
        <f>VLOOKUP(F17,SkillTable!$A$2:$E$2200,5,FALSE)</f>
        <v>오러 파워 액셀레이터</v>
      </c>
      <c r="G18" s="19" t="str">
        <f>"MAX LV "&amp;G17</f>
        <v>MAX LV 5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클로킹 연마</v>
      </c>
      <c r="S18" s="19" t="str">
        <f>"MAX LV "&amp;S17</f>
        <v>MAX LV 3</v>
      </c>
      <c r="T18" s="20" t="str">
        <f>VLOOKUP(T17,SkillTable!$A$2:$E$2200,5,FALSE)</f>
        <v>클로킹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3004</v>
      </c>
      <c r="K20" s="15">
        <v>5</v>
      </c>
      <c r="L20" s="16">
        <v>3002</v>
      </c>
      <c r="M20" s="17"/>
      <c r="N20" s="14">
        <v>3005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제네레이터 블랙홀</v>
      </c>
      <c r="K21" s="19" t="str">
        <f>"MAX LV "&amp;K20</f>
        <v>MAX LV 5</v>
      </c>
      <c r="L21" s="20" t="str">
        <f>VLOOKUP(L20,SkillTable!$A$2:$E$2200,5,FALSE)</f>
        <v>일루전 스팅어</v>
      </c>
      <c r="M21" s="17"/>
      <c r="N21" s="18" t="str">
        <f>VLOOKUP(N20,SkillTable!$A$2:$E$2200,5,FALSE)</f>
        <v>디멘션 링크 가디언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14">
        <v>3201</v>
      </c>
      <c r="S23" s="15">
        <v>3</v>
      </c>
      <c r="T23" s="16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마력 전환</v>
      </c>
      <c r="S24" s="19" t="str">
        <f>"MAX LV "&amp;S23</f>
        <v>MAX LV 3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34"/>
      <c r="K26" s="15"/>
      <c r="L26" s="16"/>
      <c r="M26" s="17"/>
      <c r="N26" s="34"/>
      <c r="O26" s="15"/>
      <c r="P26" s="16"/>
      <c r="Q26" s="17"/>
      <c r="R26" s="34"/>
      <c r="S26" s="15"/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e">
        <f>VLOOKUP(J26,SkillTable!$A$2:$E$2200,5,FALSE)</f>
        <v>#N/A</v>
      </c>
      <c r="K27" s="19" t="str">
        <f>"MAX LV "&amp;K26</f>
        <v xml:space="preserve">MAX LV </v>
      </c>
      <c r="L27" s="20" t="e">
        <f>VLOOKUP(L26,SkillTable!$A$2:$E$2200,5,FALSE)</f>
        <v>#N/A</v>
      </c>
      <c r="M27" s="17"/>
      <c r="N27" s="18" t="e">
        <f>VLOOKUP(N26,SkillTable!$A$2:$E$2200,5,FALSE)</f>
        <v>#N/A</v>
      </c>
      <c r="O27" s="19" t="str">
        <f>"MAX LV "&amp;O26</f>
        <v xml:space="preserve">MAX LV </v>
      </c>
      <c r="P27" s="20" t="e">
        <f>VLOOKUP(P26,SkillTable!$A$2:$E$2200,5,FALSE)</f>
        <v>#N/A</v>
      </c>
      <c r="Q27" s="17"/>
      <c r="R27" s="18" t="e">
        <f>VLOOKUP(R26,SkillTable!$A$2:$E$2200,5,FALSE)</f>
        <v>#N/A</v>
      </c>
      <c r="S27" s="19" t="str">
        <f>"MAX LV "&amp;S26</f>
        <v xml:space="preserve">MAX LV 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34"/>
      <c r="C29" s="15"/>
      <c r="D29" s="16"/>
      <c r="E29" s="17"/>
      <c r="F29" s="34"/>
      <c r="G29" s="15"/>
      <c r="H29" s="16"/>
      <c r="I29" s="17"/>
      <c r="J29" s="34"/>
      <c r="K29" s="15"/>
      <c r="L29" s="16"/>
      <c r="M29" s="17"/>
      <c r="N29" s="34"/>
      <c r="O29" s="15"/>
      <c r="P29" s="16"/>
      <c r="Q29" s="17"/>
      <c r="R29" s="34"/>
      <c r="S29" s="15"/>
      <c r="T29" s="16"/>
    </row>
    <row r="30" spans="1:20" ht="99.95" customHeight="1" thickBot="1">
      <c r="B30" s="18" t="e">
        <f>VLOOKUP(B29,SkillTable!$A$2:$E$2200,5,FALSE)</f>
        <v>#N/A</v>
      </c>
      <c r="C30" s="19" t="str">
        <f>"MAX LV "&amp;C29</f>
        <v xml:space="preserve">MAX LV </v>
      </c>
      <c r="D30" s="20" t="e">
        <f>VLOOKUP(D29,SkillTable!$A$2:$E$2200,5,FALSE)</f>
        <v>#N/A</v>
      </c>
      <c r="E30" s="17"/>
      <c r="F30" s="18" t="e">
        <f>VLOOKUP(F29,SkillTable!$A$2:$E$2200,5,FALSE)</f>
        <v>#N/A</v>
      </c>
      <c r="G30" s="19" t="str">
        <f>"MAX LV "&amp;G29</f>
        <v xml:space="preserve">MAX LV </v>
      </c>
      <c r="H30" s="20" t="e">
        <f>VLOOKUP(H29,SkillTable!$A$2:$E$2200,5,FALSE)</f>
        <v>#N/A</v>
      </c>
      <c r="I30" s="17"/>
      <c r="J30" s="18" t="e">
        <f>VLOOKUP(J29,SkillTable!$A$2:$E$2200,5,FALSE)</f>
        <v>#N/A</v>
      </c>
      <c r="K30" s="19" t="str">
        <f>"MAX LV "&amp;K29</f>
        <v xml:space="preserve">MAX LV </v>
      </c>
      <c r="L30" s="20" t="e">
        <f>VLOOKUP(L29,SkillTable!$A$2:$E$2200,5,FALSE)</f>
        <v>#N/A</v>
      </c>
      <c r="M30" s="17"/>
      <c r="N30" s="18" t="e">
        <f>VLOOKUP(N29,SkillTable!$A$2:$E$2200,5,FALSE)</f>
        <v>#N/A</v>
      </c>
      <c r="O30" s="19" t="str">
        <f>"MAX LV "&amp;O29</f>
        <v xml:space="preserve">MAX LV 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34"/>
      <c r="K32" s="15"/>
      <c r="L32" s="16"/>
      <c r="M32" s="17"/>
      <c r="N32" s="34"/>
      <c r="O32" s="15"/>
      <c r="P32" s="16"/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e">
        <f>VLOOKUP(J32,SkillTable!$A$2:$E$2200,5,FALSE)</f>
        <v>#N/A</v>
      </c>
      <c r="K33" s="19" t="str">
        <f>"MAX LV "&amp;K32</f>
        <v xml:space="preserve">MAX LV </v>
      </c>
      <c r="L33" s="20" t="e">
        <f>VLOOKUP(L32,SkillTable!$A$2:$E$2200,5,FALSE)</f>
        <v>#N/A</v>
      </c>
      <c r="M33" s="17"/>
      <c r="N33" s="18" t="e">
        <f>VLOOKUP(N32,SkillTable!$A$2:$E$2200,5,FALSE)</f>
        <v>#N/A</v>
      </c>
      <c r="O33" s="19" t="str">
        <f>"MAX LV "&amp;O32</f>
        <v xml:space="preserve">MAX LV </v>
      </c>
      <c r="P33" s="20" t="e">
        <f>VLOOKUP(P32,SkillTable!$A$2:$E$2200,5,FALSE)</f>
        <v>#N/A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34"/>
      <c r="C35" s="15"/>
      <c r="D35" s="16"/>
      <c r="E35" s="17"/>
      <c r="F35" s="34"/>
      <c r="G35" s="15"/>
      <c r="H35" s="16"/>
      <c r="I35" s="17"/>
      <c r="J35" s="34"/>
      <c r="K35" s="15"/>
      <c r="L35" s="16"/>
      <c r="M35" s="17"/>
      <c r="N35" s="34"/>
      <c r="O35" s="15"/>
      <c r="P35" s="16"/>
      <c r="Q35" s="17"/>
      <c r="R35" s="34"/>
      <c r="S35" s="15"/>
      <c r="T35" s="16"/>
    </row>
    <row r="36" spans="1:20" ht="99.95" customHeight="1" thickBot="1">
      <c r="B36" s="18" t="e">
        <f>VLOOKUP(B35,SkillTable!$A$2:$E$2200,5,FALSE)</f>
        <v>#N/A</v>
      </c>
      <c r="C36" s="19" t="str">
        <f>"MAX LV "&amp;C35</f>
        <v xml:space="preserve">MAX LV </v>
      </c>
      <c r="D36" s="20" t="e">
        <f>VLOOKUP(D35,SkillTable!$A$2:$E$2200,5,FALSE)</f>
        <v>#N/A</v>
      </c>
      <c r="E36" s="17"/>
      <c r="F36" s="18" t="e">
        <f>VLOOKUP(F35,SkillTable!$A$2:$E$2200,5,FALSE)</f>
        <v>#N/A</v>
      </c>
      <c r="G36" s="19" t="str">
        <f>"MAX LV "&amp;G35</f>
        <v xml:space="preserve">MAX LV </v>
      </c>
      <c r="H36" s="20" t="e">
        <f>VLOOKUP(H35,SkillTable!$A$2:$E$2200,5,FALSE)</f>
        <v>#N/A</v>
      </c>
      <c r="I36" s="17"/>
      <c r="J36" s="18" t="e">
        <f>VLOOKUP(J35,SkillTable!$A$2:$E$2200,5,FALSE)</f>
        <v>#N/A</v>
      </c>
      <c r="K36" s="19" t="str">
        <f>"MAX LV "&amp;K35</f>
        <v xml:space="preserve">MAX LV </v>
      </c>
      <c r="L36" s="20" t="e">
        <f>VLOOKUP(L35,SkillTable!$A$2:$E$2200,5,FALSE)</f>
        <v>#N/A</v>
      </c>
      <c r="M36" s="17"/>
      <c r="N36" s="18" t="e">
        <f>VLOOKUP(N35,SkillTable!$A$2:$E$2200,5,FALSE)</f>
        <v>#N/A</v>
      </c>
      <c r="O36" s="19" t="str">
        <f>"MAX LV "&amp;O35</f>
        <v xml:space="preserve">MAX LV </v>
      </c>
      <c r="P36" s="20" t="e">
        <f>VLOOKUP(P35,SkillTable!$A$2:$E$2200,5,FALSE)</f>
        <v>#N/A</v>
      </c>
      <c r="Q36" s="17"/>
      <c r="R36" s="18" t="e">
        <f>VLOOKUP(R35,SkillTable!$A$2:$E$2200,5,FALSE)</f>
        <v>#N/A</v>
      </c>
      <c r="S36" s="19" t="str">
        <f>"MAX LV "&amp;S35</f>
        <v xml:space="preserve">MAX LV </v>
      </c>
      <c r="T36" s="20" t="e">
        <f>VLOOKUP(T35,SkillTable!$A$2:$E$2200,5,FALSE)</f>
        <v>#N/A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34"/>
      <c r="G38" s="15"/>
      <c r="H38" s="16"/>
      <c r="I38" s="17"/>
      <c r="J38" s="34"/>
      <c r="K38" s="15"/>
      <c r="L38" s="16"/>
      <c r="M38" s="17"/>
      <c r="N38" s="34"/>
      <c r="O38" s="15"/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e">
        <f>VLOOKUP(F38,SkillTable!$A$2:$E$2200,5,FALSE)</f>
        <v>#N/A</v>
      </c>
      <c r="G39" s="19" t="str">
        <f>"MAX LV "&amp;G38</f>
        <v xml:space="preserve">MAX LV </v>
      </c>
      <c r="H39" s="20" t="e">
        <f>VLOOKUP(H38,SkillTable!$A$2:$E$2200,5,FALSE)</f>
        <v>#N/A</v>
      </c>
      <c r="I39" s="17"/>
      <c r="J39" s="18" t="e">
        <f>VLOOKUP(J38,SkillTable!$A$2:$E$2200,5,FALSE)</f>
        <v>#N/A</v>
      </c>
      <c r="K39" s="19" t="str">
        <f>"MAX LV "&amp;K38</f>
        <v xml:space="preserve">MAX LV </v>
      </c>
      <c r="L39" s="20" t="e">
        <f>VLOOKUP(L38,SkillTable!$A$2:$E$2200,5,FALSE)</f>
        <v>#N/A</v>
      </c>
      <c r="M39" s="17"/>
      <c r="N39" s="18" t="e">
        <f>VLOOKUP(N38,SkillTable!$A$2:$E$2200,5,FALSE)</f>
        <v>#N/A</v>
      </c>
      <c r="O39" s="19" t="str">
        <f>"MAX LV "&amp;O38</f>
        <v xml:space="preserve">MAX LV 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34"/>
      <c r="K41" s="15"/>
      <c r="L41" s="16"/>
      <c r="M41" s="17"/>
      <c r="N41" s="34"/>
      <c r="O41" s="15"/>
      <c r="P41" s="16"/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e">
        <f>VLOOKUP(J41,SkillTable!$A$2:$E$2200,5,FALSE)</f>
        <v>#N/A</v>
      </c>
      <c r="K42" s="19" t="str">
        <f>"MAX LV "&amp;K41</f>
        <v xml:space="preserve">MAX LV </v>
      </c>
      <c r="L42" s="20" t="e">
        <f>VLOOKUP(L41,SkillTable!$A$2:$E$2200,5,FALSE)</f>
        <v>#N/A</v>
      </c>
      <c r="M42" s="17"/>
      <c r="N42" s="18" t="e">
        <f>VLOOKUP(N41,SkillTable!$A$2:$E$2200,5,FALSE)</f>
        <v>#N/A</v>
      </c>
      <c r="O42" s="19" t="str">
        <f>"MAX LV "&amp;O41</f>
        <v xml:space="preserve">MAX LV </v>
      </c>
      <c r="P42" s="20" t="e">
        <f>VLOOKUP(P41,SkillTable!$A$2:$E$2200,5,FALSE)</f>
        <v>#N/A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1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1"/>
  <dimension ref="A1:T43"/>
  <sheetViews>
    <sheetView topLeftCell="A21" zoomScale="60" zoomScaleNormal="60" workbookViewId="0">
      <selection activeCell="N26" sqref="N26:O26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14">
        <v>4</v>
      </c>
      <c r="C2" s="15">
        <v>5</v>
      </c>
      <c r="D2" s="16"/>
      <c r="E2" s="17"/>
      <c r="F2" s="34"/>
      <c r="G2" s="15"/>
      <c r="H2" s="16"/>
      <c r="I2" s="17"/>
      <c r="J2" s="14">
        <v>3000</v>
      </c>
      <c r="K2" s="15">
        <v>5</v>
      </c>
      <c r="L2" s="16"/>
      <c r="M2" s="17"/>
      <c r="N2" s="34"/>
      <c r="O2" s="15"/>
      <c r="P2" s="16"/>
      <c r="Q2" s="17"/>
      <c r="R2" s="14">
        <v>3200</v>
      </c>
      <c r="S2" s="15">
        <v>1</v>
      </c>
      <c r="T2" s="16"/>
    </row>
    <row r="3" spans="1:20" ht="99.95" customHeight="1" thickBot="1">
      <c r="B3" s="18" t="str">
        <f>VLOOKUP(B2,SkillTable!$A$2:$E$2200,5,FALSE)</f>
        <v>기초 마법방어술</v>
      </c>
      <c r="C3" s="19" t="str">
        <f>"MAX LV "&amp;C2</f>
        <v>MAX LV 5</v>
      </c>
      <c r="D3" s="20" t="e">
        <f>VLOOKUP(D2,SkillTable!$A$2:$E$2200,5,FALSE)</f>
        <v>#N/A</v>
      </c>
      <c r="E3" s="17"/>
      <c r="F3" s="18" t="e">
        <f>VLOOKUP(F2,SkillTable!$A$2:$E$2200,5,FALSE)</f>
        <v>#N/A</v>
      </c>
      <c r="G3" s="19" t="str">
        <f>"MAX LV "&amp;G2</f>
        <v xml:space="preserve">MAX LV </v>
      </c>
      <c r="H3" s="20" t="e">
        <f>VLOOKUP(H2,SkillTable!$A$2:$E$2200,5,FALSE)</f>
        <v>#N/A</v>
      </c>
      <c r="I3" s="17"/>
      <c r="J3" s="18" t="str">
        <f>VLOOKUP(J2,SkillTable!$A$2:$E$2200,5,FALSE)</f>
        <v>일루전 스트라이크</v>
      </c>
      <c r="K3" s="19" t="str">
        <f>"MAX LV "&amp;K2</f>
        <v>MAX LV 5</v>
      </c>
      <c r="L3" s="20" t="e">
        <f>VLOOKUP(L2,SkillTable!$A$2:$E$2200,5,FALSE)</f>
        <v>#N/A</v>
      </c>
      <c r="M3" s="17"/>
      <c r="N3" s="18" t="e">
        <f>VLOOKUP(N2,SkillTable!$A$2:$E$2200,5,FALSE)</f>
        <v>#N/A</v>
      </c>
      <c r="O3" s="19" t="str">
        <f>"MAX LV "&amp;O2</f>
        <v xml:space="preserve">MAX LV </v>
      </c>
      <c r="P3" s="20" t="e">
        <f>VLOOKUP(P2,SkillTable!$A$2:$E$2200,5,FALSE)</f>
        <v>#N/A</v>
      </c>
      <c r="Q3" s="17"/>
      <c r="R3" s="18" t="str">
        <f>VLOOKUP(R2,SkillTable!$A$2:$E$2200,5,FALSE)</f>
        <v>클로킹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34"/>
      <c r="C5" s="15"/>
      <c r="D5" s="16"/>
      <c r="E5" s="17"/>
      <c r="F5" s="14">
        <v>3</v>
      </c>
      <c r="G5" s="15">
        <v>5</v>
      </c>
      <c r="H5" s="16"/>
      <c r="I5" s="17"/>
      <c r="J5" s="34"/>
      <c r="K5" s="15"/>
      <c r="L5" s="16"/>
      <c r="M5" s="17"/>
      <c r="N5" s="14">
        <v>3001</v>
      </c>
      <c r="O5" s="15">
        <v>5</v>
      </c>
      <c r="P5" s="16"/>
      <c r="Q5" s="17"/>
      <c r="R5" s="14"/>
      <c r="S5" s="15"/>
      <c r="T5" s="16"/>
    </row>
    <row r="6" spans="1:20" ht="99.95" customHeight="1" thickBot="1">
      <c r="B6" s="18" t="e">
        <f>VLOOKUP(B5,SkillTable!$A$2:$E$2200,5,FALSE)</f>
        <v>#N/A</v>
      </c>
      <c r="C6" s="19" t="str">
        <f>"MAX LV "&amp;C5</f>
        <v xml:space="preserve">MAX LV </v>
      </c>
      <c r="D6" s="20" t="e">
        <f>VLOOKUP(D5,SkillTable!$A$2:$E$2200,5,FALSE)</f>
        <v>#N/A</v>
      </c>
      <c r="E6" s="17"/>
      <c r="F6" s="18" t="str">
        <f>VLOOKUP(F5,SkillTable!$A$2:$E$2200,5,FALSE)</f>
        <v>기초 물리방어술</v>
      </c>
      <c r="G6" s="19" t="str">
        <f>"MAX LV "&amp;G5</f>
        <v>MAX LV 5</v>
      </c>
      <c r="H6" s="20" t="e">
        <f>VLOOKUP(H5,SkillTable!$A$2:$E$2200,5,FALSE)</f>
        <v>#N/A</v>
      </c>
      <c r="I6" s="17"/>
      <c r="J6" s="18" t="e">
        <f>VLOOKUP(J5,SkillTable!$A$2:$E$2200,5,FALSE)</f>
        <v>#N/A</v>
      </c>
      <c r="K6" s="19" t="str">
        <f>"MAX LV "&amp;K5</f>
        <v xml:space="preserve">MAX LV </v>
      </c>
      <c r="L6" s="20" t="e">
        <f>VLOOKUP(L5,SkillTable!$A$2:$E$2200,5,FALSE)</f>
        <v>#N/A</v>
      </c>
      <c r="M6" s="17"/>
      <c r="N6" s="18" t="str">
        <f>VLOOKUP(N5,SkillTable!$A$2:$E$2200,5,FALSE)</f>
        <v>디멘션 링크</v>
      </c>
      <c r="O6" s="19" t="str">
        <f>"MAX LV "&amp;O5</f>
        <v>MAX LV 5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14">
        <v>2</v>
      </c>
      <c r="C8" s="15">
        <v>5</v>
      </c>
      <c r="D8" s="16">
        <v>4</v>
      </c>
      <c r="E8" s="17"/>
      <c r="F8" s="34"/>
      <c r="G8" s="15"/>
      <c r="H8" s="16"/>
      <c r="I8" s="17"/>
      <c r="J8" s="14">
        <v>3002</v>
      </c>
      <c r="K8" s="15">
        <v>5</v>
      </c>
      <c r="L8" s="16"/>
      <c r="M8" s="17"/>
      <c r="N8" s="34"/>
      <c r="O8" s="15"/>
      <c r="P8" s="16"/>
      <c r="Q8" s="17"/>
      <c r="R8" s="34"/>
      <c r="S8" s="15"/>
      <c r="T8" s="16"/>
    </row>
    <row r="9" spans="1:20" ht="99.95" customHeight="1" thickBot="1">
      <c r="B9" s="18" t="str">
        <f>VLOOKUP(B8,SkillTable!$A$2:$E$2200,5,FALSE)</f>
        <v>기초 마법수련</v>
      </c>
      <c r="C9" s="19" t="str">
        <f>"MAX LV "&amp;C8</f>
        <v>MAX LV 5</v>
      </c>
      <c r="D9" s="20" t="str">
        <f>VLOOKUP(D8,SkillTable!$A$2:$E$2200,5,FALSE)</f>
        <v>기초 마법방어술</v>
      </c>
      <c r="E9" s="17"/>
      <c r="F9" s="18" t="e">
        <f>VLOOKUP(F8,SkillTable!$A$2:$E$2200,5,FALSE)</f>
        <v>#N/A</v>
      </c>
      <c r="G9" s="19" t="str">
        <f>"MAX LV "&amp;G8</f>
        <v xml:space="preserve">MAX LV </v>
      </c>
      <c r="H9" s="20" t="e">
        <f>VLOOKUP(H8,SkillTable!$A$2:$E$2200,5,FALSE)</f>
        <v>#N/A</v>
      </c>
      <c r="I9" s="17"/>
      <c r="J9" s="18" t="str">
        <f>VLOOKUP(J8,SkillTable!$A$2:$E$2200,5,FALSE)</f>
        <v>일루전 스팅어</v>
      </c>
      <c r="K9" s="19" t="str">
        <f>"MAX LV "&amp;K8</f>
        <v>MAX LV 5</v>
      </c>
      <c r="L9" s="20" t="e">
        <f>VLOOKUP(L8,SkillTable!$A$2:$E$2200,5,FALSE)</f>
        <v>#N/A</v>
      </c>
      <c r="M9" s="17"/>
      <c r="N9" s="18" t="e">
        <f>VLOOKUP(N8,SkillTable!$A$2:$E$2200,5,FALSE)</f>
        <v>#N/A</v>
      </c>
      <c r="O9" s="19" t="str">
        <f>"MAX LV "&amp;O8</f>
        <v xml:space="preserve">MAX LV 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14">
        <v>304</v>
      </c>
      <c r="C11" s="15">
        <v>5</v>
      </c>
      <c r="D11" s="16"/>
      <c r="E11" s="17"/>
      <c r="F11" s="14">
        <v>1</v>
      </c>
      <c r="G11" s="15">
        <v>5</v>
      </c>
      <c r="H11" s="16">
        <v>3</v>
      </c>
      <c r="I11" s="17"/>
      <c r="J11" s="34"/>
      <c r="K11" s="15"/>
      <c r="L11" s="16"/>
      <c r="M11" s="17"/>
      <c r="N11" s="14">
        <v>3003</v>
      </c>
      <c r="O11" s="15">
        <v>5</v>
      </c>
      <c r="P11" s="16">
        <v>3001</v>
      </c>
      <c r="Q11" s="17"/>
      <c r="R11" s="34"/>
      <c r="S11" s="15"/>
      <c r="T11" s="16"/>
    </row>
    <row r="12" spans="1:20" ht="99.95" customHeight="1" thickBot="1">
      <c r="B12" s="18" t="str">
        <f>VLOOKUP(B11,SkillTable!$A$2:$E$2200,5,FALSE)</f>
        <v>오러 매직 액셀레이터</v>
      </c>
      <c r="C12" s="19" t="str">
        <f>"MAX LV "&amp;C11</f>
        <v>MAX LV 5</v>
      </c>
      <c r="D12" s="20" t="e">
        <f>VLOOKUP(D11,SkillTable!$A$2:$E$2200,5,FALSE)</f>
        <v>#N/A</v>
      </c>
      <c r="E12" s="17"/>
      <c r="F12" s="18" t="str">
        <f>VLOOKUP(F11,SkillTable!$A$2:$E$2200,5,FALSE)</f>
        <v>기초 근력단련</v>
      </c>
      <c r="G12" s="19" t="str">
        <f>"MAX LV "&amp;G11</f>
        <v>MAX LV 5</v>
      </c>
      <c r="H12" s="20" t="str">
        <f>VLOOKUP(H11,SkillTable!$A$2:$E$2200,5,FALSE)</f>
        <v>기초 물리방어술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str">
        <f>VLOOKUP(N11,SkillTable!$A$2:$E$2200,5,FALSE)</f>
        <v>디멘션 링크 블레이더</v>
      </c>
      <c r="O12" s="19" t="str">
        <f>"MAX LV "&amp;O11</f>
        <v>MAX LV 5</v>
      </c>
      <c r="P12" s="20" t="str">
        <f>VLOOKUP(P11,SkillTable!$A$2:$E$2200,5,FALSE)</f>
        <v>디멘션 링크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34"/>
      <c r="C14" s="15"/>
      <c r="D14" s="16"/>
      <c r="E14" s="17"/>
      <c r="F14" s="14">
        <v>305</v>
      </c>
      <c r="G14" s="15">
        <v>5</v>
      </c>
      <c r="H14" s="16"/>
      <c r="I14" s="17"/>
      <c r="J14" s="34"/>
      <c r="K14" s="15"/>
      <c r="L14" s="16"/>
      <c r="M14" s="17"/>
      <c r="N14" s="34"/>
      <c r="O14" s="15"/>
      <c r="P14" s="16"/>
      <c r="Q14" s="17"/>
      <c r="R14" s="34"/>
      <c r="S14" s="15"/>
      <c r="T14" s="16"/>
    </row>
    <row r="15" spans="1:20" ht="99.95" customHeight="1" thickBot="1">
      <c r="B15" s="18" t="e">
        <f>VLOOKUP(B14,SkillTable!$A$2:$E$2200,5,FALSE)</f>
        <v>#N/A</v>
      </c>
      <c r="C15" s="19" t="str">
        <f>"MAX LV "&amp;C14</f>
        <v xml:space="preserve">MAX LV </v>
      </c>
      <c r="D15" s="20" t="e">
        <f>VLOOKUP(D14,SkillTable!$A$2:$E$2200,5,FALSE)</f>
        <v>#N/A</v>
      </c>
      <c r="E15" s="17"/>
      <c r="F15" s="18" t="str">
        <f>VLOOKUP(F14,SkillTable!$A$2:$E$2200,5,FALSE)</f>
        <v>오러 실드 액셀레이터</v>
      </c>
      <c r="G15" s="19" t="str">
        <f>"MAX LV "&amp;G14</f>
        <v>MAX LV 5</v>
      </c>
      <c r="H15" s="20" t="e">
        <f>VLOOKUP(H14,SkillTable!$A$2:$E$2200,5,FALSE)</f>
        <v>#N/A</v>
      </c>
      <c r="I15" s="17"/>
      <c r="J15" s="18" t="e">
        <f>VLOOKUP(J14,SkillTable!$A$2:$E$2200,5,FALSE)</f>
        <v>#N/A</v>
      </c>
      <c r="K15" s="19" t="str">
        <f>"MAX LV "&amp;K14</f>
        <v xml:space="preserve">MAX LV </v>
      </c>
      <c r="L15" s="20" t="e">
        <f>VLOOKUP(L14,SkillTable!$A$2:$E$2200,5,FALSE)</f>
        <v>#N/A</v>
      </c>
      <c r="M15" s="17"/>
      <c r="N15" s="18" t="e">
        <f>VLOOKUP(N14,SkillTable!$A$2:$E$2200,5,FALSE)</f>
        <v>#N/A</v>
      </c>
      <c r="O15" s="19" t="str">
        <f>"MAX LV "&amp;O14</f>
        <v xml:space="preserve">MAX LV </v>
      </c>
      <c r="P15" s="20" t="e">
        <f>VLOOKUP(P14,SkillTable!$A$2:$E$2200,5,FALSE)</f>
        <v>#N/A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34"/>
      <c r="C17" s="15"/>
      <c r="D17" s="16"/>
      <c r="E17" s="17"/>
      <c r="F17" s="14">
        <v>303</v>
      </c>
      <c r="G17" s="15">
        <v>5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3400</v>
      </c>
      <c r="S17" s="15">
        <v>3</v>
      </c>
      <c r="T17" s="16">
        <v>3200</v>
      </c>
    </row>
    <row r="18" spans="1:20" ht="99.95" customHeight="1" thickBot="1">
      <c r="B18" s="18" t="e">
        <f>VLOOKUP(B17,SkillTable!$A$2:$E$2200,5,FALSE)</f>
        <v>#N/A</v>
      </c>
      <c r="C18" s="19" t="str">
        <f>"MAX LV "&amp;C17</f>
        <v xml:space="preserve">MAX LV </v>
      </c>
      <c r="D18" s="20" t="e">
        <f>VLOOKUP(D17,SkillTable!$A$2:$E$2200,5,FALSE)</f>
        <v>#N/A</v>
      </c>
      <c r="E18" s="17"/>
      <c r="F18" s="18" t="str">
        <f>VLOOKUP(F17,SkillTable!$A$2:$E$2200,5,FALSE)</f>
        <v>오러 파워 액셀레이터</v>
      </c>
      <c r="G18" s="19" t="str">
        <f>"MAX LV "&amp;G17</f>
        <v>MAX LV 5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클로킹 연마</v>
      </c>
      <c r="S18" s="19" t="str">
        <f>"MAX LV "&amp;S17</f>
        <v>MAX LV 3</v>
      </c>
      <c r="T18" s="20" t="str">
        <f>VLOOKUP(T17,SkillTable!$A$2:$E$2200,5,FALSE)</f>
        <v>클로킹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3004</v>
      </c>
      <c r="K20" s="15">
        <v>5</v>
      </c>
      <c r="L20" s="16">
        <v>3002</v>
      </c>
      <c r="M20" s="17"/>
      <c r="N20" s="14">
        <v>3005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제네레이터 블랙홀</v>
      </c>
      <c r="K21" s="19" t="str">
        <f>"MAX LV "&amp;K20</f>
        <v>MAX LV 5</v>
      </c>
      <c r="L21" s="20" t="str">
        <f>VLOOKUP(L20,SkillTable!$A$2:$E$2200,5,FALSE)</f>
        <v>일루전 스팅어</v>
      </c>
      <c r="M21" s="17"/>
      <c r="N21" s="18" t="str">
        <f>VLOOKUP(N20,SkillTable!$A$2:$E$2200,5,FALSE)</f>
        <v>디멘션 링크 가디언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14">
        <v>3201</v>
      </c>
      <c r="S23" s="15">
        <v>3</v>
      </c>
      <c r="T23" s="16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마력 전환</v>
      </c>
      <c r="S24" s="19" t="str">
        <f>"MAX LV "&amp;S23</f>
        <v>MAX LV 3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14">
        <v>3006</v>
      </c>
      <c r="K26" s="15">
        <v>5</v>
      </c>
      <c r="L26" s="16"/>
      <c r="M26" s="17"/>
      <c r="N26" s="34"/>
      <c r="O26" s="15"/>
      <c r="P26" s="16"/>
      <c r="Q26" s="17"/>
      <c r="R26" s="34">
        <v>3203</v>
      </c>
      <c r="S26" s="15">
        <v>5</v>
      </c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str">
        <f>VLOOKUP(J26,SkillTable!$A$2:$E$2200,5,FALSE)</f>
        <v>호넷 스팅</v>
      </c>
      <c r="K27" s="19" t="str">
        <f>"MAX LV "&amp;K26</f>
        <v>MAX LV 5</v>
      </c>
      <c r="L27" s="20" t="e">
        <f>VLOOKUP(L26,SkillTable!$A$2:$E$2200,5,FALSE)</f>
        <v>#N/A</v>
      </c>
      <c r="M27" s="17"/>
      <c r="N27" s="18" t="e">
        <f>VLOOKUP(N26,SkillTable!$A$2:$E$2200,5,FALSE)</f>
        <v>#N/A</v>
      </c>
      <c r="O27" s="19" t="str">
        <f>"MAX LV "&amp;O26</f>
        <v xml:space="preserve">MAX LV </v>
      </c>
      <c r="P27" s="20" t="e">
        <f>VLOOKUP(P26,SkillTable!$A$2:$E$2200,5,FALSE)</f>
        <v>#N/A</v>
      </c>
      <c r="Q27" s="17"/>
      <c r="R27" s="18" t="str">
        <f>VLOOKUP(R26,SkillTable!$A$2:$E$2200,5,FALSE)</f>
        <v>메탈 더스트 오라</v>
      </c>
      <c r="S27" s="19" t="str">
        <f>"MAX LV "&amp;S26</f>
        <v>MAX LV 5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34"/>
      <c r="C29" s="15"/>
      <c r="D29" s="16"/>
      <c r="E29" s="17"/>
      <c r="F29" s="14">
        <v>6</v>
      </c>
      <c r="G29" s="15">
        <v>5</v>
      </c>
      <c r="H29" s="16"/>
      <c r="I29" s="17"/>
      <c r="J29" s="14">
        <v>13</v>
      </c>
      <c r="K29" s="15">
        <v>5</v>
      </c>
      <c r="L29" s="16"/>
      <c r="M29" s="17"/>
      <c r="N29" s="34"/>
      <c r="O29" s="15"/>
      <c r="P29" s="16"/>
      <c r="Q29" s="17"/>
      <c r="R29" s="34"/>
      <c r="S29" s="15"/>
      <c r="T29" s="16"/>
    </row>
    <row r="30" spans="1:20" ht="99.95" customHeight="1" thickBot="1">
      <c r="B30" s="18" t="e">
        <f>VLOOKUP(B29,SkillTable!$A$2:$E$2200,5,FALSE)</f>
        <v>#N/A</v>
      </c>
      <c r="C30" s="19" t="str">
        <f>"MAX LV "&amp;C29</f>
        <v xml:space="preserve">MAX LV </v>
      </c>
      <c r="D30" s="20" t="e">
        <f>VLOOKUP(D29,SkillTable!$A$2:$E$2200,5,FALSE)</f>
        <v>#N/A</v>
      </c>
      <c r="E30" s="17"/>
      <c r="F30" s="18" t="str">
        <f>VLOOKUP(F29,SkillTable!$A$2:$E$2200,5,FALSE)</f>
        <v>중급 마법수련</v>
      </c>
      <c r="G30" s="19" t="str">
        <f>"MAX LV "&amp;G29</f>
        <v>MAX LV 5</v>
      </c>
      <c r="H30" s="20" t="e">
        <f>VLOOKUP(H29,SkillTable!$A$2:$E$2200,5,FALSE)</f>
        <v>#N/A</v>
      </c>
      <c r="I30" s="17"/>
      <c r="J30" s="18" t="str">
        <f>VLOOKUP(J29,SkillTable!$A$2:$E$2200,5,FALSE)</f>
        <v>격려의 기운</v>
      </c>
      <c r="K30" s="19" t="str">
        <f>"MAX LV "&amp;K29</f>
        <v>MAX LV 5</v>
      </c>
      <c r="L30" s="20" t="e">
        <f>VLOOKUP(L29,SkillTable!$A$2:$E$2200,5,FALSE)</f>
        <v>#N/A</v>
      </c>
      <c r="M30" s="17"/>
      <c r="N30" s="18" t="e">
        <f>VLOOKUP(N29,SkillTable!$A$2:$E$2200,5,FALSE)</f>
        <v>#N/A</v>
      </c>
      <c r="O30" s="19" t="str">
        <f>"MAX LV "&amp;O29</f>
        <v xml:space="preserve">MAX LV 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14">
        <v>3007</v>
      </c>
      <c r="K32" s="15">
        <v>5</v>
      </c>
      <c r="L32" s="16"/>
      <c r="M32" s="17"/>
      <c r="N32" s="34"/>
      <c r="O32" s="15"/>
      <c r="P32" s="16"/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str">
        <f>VLOOKUP(J32,SkillTable!$A$2:$E$2200,5,FALSE)</f>
        <v>익스플로전 임팩트</v>
      </c>
      <c r="K33" s="19" t="str">
        <f>"MAX LV "&amp;K32</f>
        <v>MAX LV 5</v>
      </c>
      <c r="L33" s="20" t="e">
        <f>VLOOKUP(L32,SkillTable!$A$2:$E$2200,5,FALSE)</f>
        <v>#N/A</v>
      </c>
      <c r="M33" s="17"/>
      <c r="N33" s="18" t="e">
        <f>VLOOKUP(N32,SkillTable!$A$2:$E$2200,5,FALSE)</f>
        <v>#N/A</v>
      </c>
      <c r="O33" s="19" t="str">
        <f>"MAX LV "&amp;O32</f>
        <v xml:space="preserve">MAX LV </v>
      </c>
      <c r="P33" s="20" t="e">
        <f>VLOOKUP(P32,SkillTable!$A$2:$E$2200,5,FALSE)</f>
        <v>#N/A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34"/>
      <c r="C35" s="15"/>
      <c r="D35" s="16"/>
      <c r="E35" s="17"/>
      <c r="F35" s="14">
        <v>307</v>
      </c>
      <c r="G35" s="15">
        <v>4</v>
      </c>
      <c r="H35" s="16">
        <v>6</v>
      </c>
      <c r="I35" s="17"/>
      <c r="J35" s="14">
        <v>306</v>
      </c>
      <c r="K35" s="15">
        <v>3</v>
      </c>
      <c r="L35" s="16">
        <v>12</v>
      </c>
      <c r="M35" s="17"/>
      <c r="N35" s="14">
        <v>12</v>
      </c>
      <c r="O35" s="15">
        <v>5</v>
      </c>
      <c r="P35" s="16"/>
      <c r="Q35" s="17"/>
      <c r="R35" s="14">
        <v>3202</v>
      </c>
      <c r="S35" s="15">
        <v>3</v>
      </c>
      <c r="T35" s="16"/>
    </row>
    <row r="36" spans="1:20" ht="99.95" customHeight="1" thickBot="1">
      <c r="B36" s="18" t="e">
        <f>VLOOKUP(B35,SkillTable!$A$2:$E$2200,5,FALSE)</f>
        <v>#N/A</v>
      </c>
      <c r="C36" s="19" t="str">
        <f>"MAX LV "&amp;C35</f>
        <v xml:space="preserve">MAX LV </v>
      </c>
      <c r="D36" s="20" t="e">
        <f>VLOOKUP(D35,SkillTable!$A$2:$E$2200,5,FALSE)</f>
        <v>#N/A</v>
      </c>
      <c r="E36" s="17"/>
      <c r="F36" s="18" t="str">
        <f>VLOOKUP(F35,SkillTable!$A$2:$E$2200,5,FALSE)</f>
        <v>매직 아드레날린</v>
      </c>
      <c r="G36" s="19" t="str">
        <f>"MAX LV "&amp;G35</f>
        <v>MAX LV 4</v>
      </c>
      <c r="H36" s="20" t="str">
        <f>VLOOKUP(H35,SkillTable!$A$2:$E$2200,5,FALSE)</f>
        <v>중급 마법수련</v>
      </c>
      <c r="I36" s="17"/>
      <c r="J36" s="18" t="str">
        <f>VLOOKUP(J35,SkillTable!$A$2:$E$2200,5,FALSE)</f>
        <v>파워 아드레날린</v>
      </c>
      <c r="K36" s="19" t="str">
        <f>"MAX LV "&amp;K35</f>
        <v>MAX LV 3</v>
      </c>
      <c r="L36" s="20" t="str">
        <f>VLOOKUP(L35,SkillTable!$A$2:$E$2200,5,FALSE)</f>
        <v>강인한 정신력</v>
      </c>
      <c r="M36" s="17"/>
      <c r="N36" s="18" t="str">
        <f>VLOOKUP(N35,SkillTable!$A$2:$E$2200,5,FALSE)</f>
        <v>강인한 정신력</v>
      </c>
      <c r="O36" s="19" t="str">
        <f>"MAX LV "&amp;O35</f>
        <v>MAX LV 5</v>
      </c>
      <c r="P36" s="20" t="e">
        <f>VLOOKUP(P35,SkillTable!$A$2:$E$2200,5,FALSE)</f>
        <v>#N/A</v>
      </c>
      <c r="Q36" s="17"/>
      <c r="R36" s="18" t="str">
        <f>VLOOKUP(R35,SkillTable!$A$2:$E$2200,5,FALSE)</f>
        <v>메가 일렉트론볼</v>
      </c>
      <c r="S36" s="19" t="str">
        <f>"MAX LV "&amp;S35</f>
        <v>MAX LV 3</v>
      </c>
      <c r="T36" s="20" t="e">
        <f>VLOOKUP(T35,SkillTable!$A$2:$E$2200,5,FALSE)</f>
        <v>#N/A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14">
        <v>24</v>
      </c>
      <c r="G38" s="15">
        <v>5</v>
      </c>
      <c r="H38" s="16"/>
      <c r="I38" s="17"/>
      <c r="J38" s="34"/>
      <c r="K38" s="15"/>
      <c r="L38" s="16"/>
      <c r="M38" s="17"/>
      <c r="N38" s="34">
        <v>3012</v>
      </c>
      <c r="O38" s="15">
        <v>5</v>
      </c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str">
        <f>VLOOKUP(F38,SkillTable!$A$2:$E$2200,5,FALSE)</f>
        <v>우아한 발걸음</v>
      </c>
      <c r="G39" s="19" t="str">
        <f>"MAX LV "&amp;G38</f>
        <v>MAX LV 5</v>
      </c>
      <c r="H39" s="20" t="e">
        <f>VLOOKUP(H38,SkillTable!$A$2:$E$2200,5,FALSE)</f>
        <v>#N/A</v>
      </c>
      <c r="I39" s="17"/>
      <c r="J39" s="18" t="e">
        <f>VLOOKUP(J38,SkillTable!$A$2:$E$2200,5,FALSE)</f>
        <v>#N/A</v>
      </c>
      <c r="K39" s="19" t="str">
        <f>"MAX LV "&amp;K38</f>
        <v xml:space="preserve">MAX LV </v>
      </c>
      <c r="L39" s="20" t="e">
        <f>VLOOKUP(L38,SkillTable!$A$2:$E$2200,5,FALSE)</f>
        <v>#N/A</v>
      </c>
      <c r="M39" s="17"/>
      <c r="N39" s="18" t="str">
        <f>VLOOKUP(N38,SkillTable!$A$2:$E$2200,5,FALSE)</f>
        <v>아이언 스크랩스</v>
      </c>
      <c r="O39" s="19" t="str">
        <f>"MAX LV "&amp;O38</f>
        <v>MAX LV 5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14">
        <v>3008</v>
      </c>
      <c r="K41" s="15">
        <v>5</v>
      </c>
      <c r="L41" s="16"/>
      <c r="M41" s="17"/>
      <c r="N41" s="34"/>
      <c r="O41" s="15"/>
      <c r="P41" s="16"/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str">
        <f>VLOOKUP(J41,SkillTable!$A$2:$E$2200,5,FALSE)</f>
        <v>퀸스 쓰론</v>
      </c>
      <c r="K42" s="19" t="str">
        <f>"MAX LV "&amp;K41</f>
        <v>MAX LV 5</v>
      </c>
      <c r="L42" s="20" t="e">
        <f>VLOOKUP(L41,SkillTable!$A$2:$E$2200,5,FALSE)</f>
        <v>#N/A</v>
      </c>
      <c r="M42" s="17"/>
      <c r="N42" s="18" t="e">
        <f>VLOOKUP(N41,SkillTable!$A$2:$E$2200,5,FALSE)</f>
        <v>#N/A</v>
      </c>
      <c r="O42" s="19" t="str">
        <f>"MAX LV "&amp;O41</f>
        <v xml:space="preserve">MAX LV </v>
      </c>
      <c r="P42" s="20" t="e">
        <f>VLOOKUP(P41,SkillTable!$A$2:$E$2200,5,FALSE)</f>
        <v>#N/A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10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2"/>
  <dimension ref="A1:T43"/>
  <sheetViews>
    <sheetView topLeftCell="A4" zoomScale="60" zoomScaleNormal="60" workbookViewId="0">
      <selection activeCell="Q29" sqref="Q29"/>
    </sheetView>
  </sheetViews>
  <sheetFormatPr defaultRowHeight="16.5"/>
  <cols>
    <col min="1" max="1" width="9" style="24"/>
    <col min="2" max="2" width="9.125" style="12" bestFit="1" customWidth="1"/>
    <col min="3" max="4" width="9" style="12"/>
    <col min="5" max="5" width="9" style="13"/>
    <col min="6" max="7" width="9.125" style="12" bestFit="1" customWidth="1"/>
    <col min="8" max="8" width="9" style="12"/>
    <col min="9" max="9" width="9" style="13"/>
    <col min="10" max="12" width="9" style="12"/>
    <col min="13" max="13" width="9" style="13"/>
    <col min="14" max="15" width="9.125" style="12" bestFit="1" customWidth="1"/>
    <col min="16" max="16" width="9" style="12"/>
    <col min="17" max="17" width="9" style="13"/>
    <col min="18" max="16384" width="9" style="12"/>
  </cols>
  <sheetData>
    <row r="1" spans="1:20" s="24" customFormat="1" ht="50.1" customHeight="1" thickBot="1">
      <c r="B1" s="25" t="s">
        <v>272</v>
      </c>
      <c r="C1" s="25" t="s">
        <v>273</v>
      </c>
      <c r="D1" s="25" t="s">
        <v>274</v>
      </c>
      <c r="E1" s="17"/>
      <c r="F1" s="25" t="s">
        <v>275</v>
      </c>
      <c r="G1" s="25" t="s">
        <v>276</v>
      </c>
      <c r="H1" s="25" t="s">
        <v>277</v>
      </c>
      <c r="I1" s="17"/>
      <c r="J1" s="25" t="s">
        <v>278</v>
      </c>
      <c r="K1" s="25" t="s">
        <v>279</v>
      </c>
      <c r="L1" s="25" t="s">
        <v>280</v>
      </c>
      <c r="M1" s="17"/>
      <c r="N1" s="25" t="s">
        <v>281</v>
      </c>
      <c r="O1" s="25" t="s">
        <v>282</v>
      </c>
      <c r="P1" s="25" t="s">
        <v>283</v>
      </c>
      <c r="Q1" s="17"/>
      <c r="R1" s="25" t="s">
        <v>284</v>
      </c>
      <c r="S1" s="25" t="s">
        <v>285</v>
      </c>
      <c r="T1" s="25" t="s">
        <v>286</v>
      </c>
    </row>
    <row r="2" spans="1:20" ht="50.1" customHeight="1" thickBot="1">
      <c r="A2" s="25" t="s">
        <v>271</v>
      </c>
      <c r="B2" s="14">
        <v>4</v>
      </c>
      <c r="C2" s="15">
        <v>5</v>
      </c>
      <c r="D2" s="16"/>
      <c r="E2" s="17"/>
      <c r="F2" s="34"/>
      <c r="G2" s="15"/>
      <c r="H2" s="16"/>
      <c r="I2" s="17"/>
      <c r="J2" s="14">
        <v>3000</v>
      </c>
      <c r="K2" s="15">
        <v>5</v>
      </c>
      <c r="L2" s="16"/>
      <c r="M2" s="17"/>
      <c r="N2" s="34"/>
      <c r="O2" s="15"/>
      <c r="P2" s="16"/>
      <c r="Q2" s="17"/>
      <c r="R2" s="14">
        <v>3200</v>
      </c>
      <c r="S2" s="15">
        <v>1</v>
      </c>
      <c r="T2" s="16"/>
    </row>
    <row r="3" spans="1:20" ht="99.95" customHeight="1" thickBot="1">
      <c r="B3" s="18" t="str">
        <f>VLOOKUP(B2,SkillTable!$A$2:$E$2200,5,FALSE)</f>
        <v>기초 마법방어술</v>
      </c>
      <c r="C3" s="19" t="str">
        <f>"MAX LV "&amp;C2</f>
        <v>MAX LV 5</v>
      </c>
      <c r="D3" s="20" t="e">
        <f>VLOOKUP(D2,SkillTable!$A$2:$E$2200,5,FALSE)</f>
        <v>#N/A</v>
      </c>
      <c r="E3" s="17"/>
      <c r="F3" s="18" t="e">
        <f>VLOOKUP(F2,SkillTable!$A$2:$E$2200,5,FALSE)</f>
        <v>#N/A</v>
      </c>
      <c r="G3" s="19" t="str">
        <f>"MAX LV "&amp;G2</f>
        <v xml:space="preserve">MAX LV </v>
      </c>
      <c r="H3" s="20" t="e">
        <f>VLOOKUP(H2,SkillTable!$A$2:$E$2200,5,FALSE)</f>
        <v>#N/A</v>
      </c>
      <c r="I3" s="17"/>
      <c r="J3" s="18" t="str">
        <f>VLOOKUP(J2,SkillTable!$A$2:$E$2200,5,FALSE)</f>
        <v>일루전 스트라이크</v>
      </c>
      <c r="K3" s="19" t="str">
        <f>"MAX LV "&amp;K2</f>
        <v>MAX LV 5</v>
      </c>
      <c r="L3" s="20" t="e">
        <f>VLOOKUP(L2,SkillTable!$A$2:$E$2200,5,FALSE)</f>
        <v>#N/A</v>
      </c>
      <c r="M3" s="17"/>
      <c r="N3" s="18" t="e">
        <f>VLOOKUP(N2,SkillTable!$A$2:$E$2200,5,FALSE)</f>
        <v>#N/A</v>
      </c>
      <c r="O3" s="19" t="str">
        <f>"MAX LV "&amp;O2</f>
        <v xml:space="preserve">MAX LV </v>
      </c>
      <c r="P3" s="20" t="e">
        <f>VLOOKUP(P2,SkillTable!$A$2:$E$2200,5,FALSE)</f>
        <v>#N/A</v>
      </c>
      <c r="Q3" s="17"/>
      <c r="R3" s="18" t="str">
        <f>VLOOKUP(R2,SkillTable!$A$2:$E$2200,5,FALSE)</f>
        <v>클로킹</v>
      </c>
      <c r="S3" s="19" t="str">
        <f>"MAX LV "&amp;S2</f>
        <v>MAX LV 1</v>
      </c>
      <c r="T3" s="20" t="e">
        <f>VLOOKUP(T2,SkillTable!$A$2:$E$2200,5,FALSE)</f>
        <v>#N/A</v>
      </c>
    </row>
    <row r="4" spans="1:20" ht="50.1" customHeight="1" thickBot="1"/>
    <row r="5" spans="1:20" ht="50.1" customHeight="1" thickBot="1">
      <c r="A5" s="25" t="s">
        <v>287</v>
      </c>
      <c r="B5" s="34"/>
      <c r="C5" s="15"/>
      <c r="D5" s="16"/>
      <c r="E5" s="17"/>
      <c r="F5" s="14">
        <v>3</v>
      </c>
      <c r="G5" s="15">
        <v>5</v>
      </c>
      <c r="H5" s="16"/>
      <c r="I5" s="17"/>
      <c r="J5" s="34"/>
      <c r="K5" s="15"/>
      <c r="L5" s="16"/>
      <c r="M5" s="17"/>
      <c r="N5" s="14">
        <v>3001</v>
      </c>
      <c r="O5" s="15">
        <v>5</v>
      </c>
      <c r="P5" s="16"/>
      <c r="Q5" s="17"/>
      <c r="R5" s="14"/>
      <c r="S5" s="15"/>
      <c r="T5" s="16"/>
    </row>
    <row r="6" spans="1:20" ht="99.95" customHeight="1" thickBot="1">
      <c r="B6" s="18" t="e">
        <f>VLOOKUP(B5,SkillTable!$A$2:$E$2200,5,FALSE)</f>
        <v>#N/A</v>
      </c>
      <c r="C6" s="19" t="str">
        <f>"MAX LV "&amp;C5</f>
        <v xml:space="preserve">MAX LV </v>
      </c>
      <c r="D6" s="20" t="e">
        <f>VLOOKUP(D5,SkillTable!$A$2:$E$2200,5,FALSE)</f>
        <v>#N/A</v>
      </c>
      <c r="E6" s="17"/>
      <c r="F6" s="18" t="str">
        <f>VLOOKUP(F5,SkillTable!$A$2:$E$2200,5,FALSE)</f>
        <v>기초 물리방어술</v>
      </c>
      <c r="G6" s="19" t="str">
        <f>"MAX LV "&amp;G5</f>
        <v>MAX LV 5</v>
      </c>
      <c r="H6" s="20" t="e">
        <f>VLOOKUP(H5,SkillTable!$A$2:$E$2200,5,FALSE)</f>
        <v>#N/A</v>
      </c>
      <c r="I6" s="17"/>
      <c r="J6" s="18" t="e">
        <f>VLOOKUP(J5,SkillTable!$A$2:$E$2200,5,FALSE)</f>
        <v>#N/A</v>
      </c>
      <c r="K6" s="19" t="str">
        <f>"MAX LV "&amp;K5</f>
        <v xml:space="preserve">MAX LV </v>
      </c>
      <c r="L6" s="20" t="e">
        <f>VLOOKUP(L5,SkillTable!$A$2:$E$2200,5,FALSE)</f>
        <v>#N/A</v>
      </c>
      <c r="M6" s="17"/>
      <c r="N6" s="18" t="str">
        <f>VLOOKUP(N5,SkillTable!$A$2:$E$2200,5,FALSE)</f>
        <v>디멘션 링크</v>
      </c>
      <c r="O6" s="19" t="str">
        <f>"MAX LV "&amp;O5</f>
        <v>MAX LV 5</v>
      </c>
      <c r="P6" s="20" t="e">
        <f>VLOOKUP(P5,SkillTable!$A$2:$E$2200,5,FALSE)</f>
        <v>#N/A</v>
      </c>
      <c r="Q6" s="17"/>
      <c r="R6" s="18" t="e">
        <f>VLOOKUP(R5,SkillTable!$A$2:$E$2200,5,FALSE)</f>
        <v>#N/A</v>
      </c>
      <c r="S6" s="19" t="str">
        <f>"MAX LV "&amp;S5</f>
        <v xml:space="preserve">MAX LV </v>
      </c>
      <c r="T6" s="20" t="e">
        <f>VLOOKUP(T5,SkillTable!$A$2:$E$2200,5,FALSE)</f>
        <v>#N/A</v>
      </c>
    </row>
    <row r="7" spans="1:20" ht="50.1" customHeight="1" thickBot="1"/>
    <row r="8" spans="1:20" ht="50.1" customHeight="1" thickBot="1">
      <c r="A8" s="25" t="s">
        <v>288</v>
      </c>
      <c r="B8" s="14">
        <v>2</v>
      </c>
      <c r="C8" s="15">
        <v>5</v>
      </c>
      <c r="D8" s="16">
        <v>4</v>
      </c>
      <c r="E8" s="17"/>
      <c r="F8" s="34"/>
      <c r="G8" s="15"/>
      <c r="H8" s="16"/>
      <c r="I8" s="17"/>
      <c r="J8" s="14">
        <v>3002</v>
      </c>
      <c r="K8" s="15">
        <v>5</v>
      </c>
      <c r="L8" s="16"/>
      <c r="M8" s="17"/>
      <c r="N8" s="34"/>
      <c r="O8" s="15"/>
      <c r="P8" s="16"/>
      <c r="Q8" s="17"/>
      <c r="R8" s="34"/>
      <c r="S8" s="15"/>
      <c r="T8" s="16"/>
    </row>
    <row r="9" spans="1:20" ht="99.95" customHeight="1" thickBot="1">
      <c r="B9" s="18" t="str">
        <f>VLOOKUP(B8,SkillTable!$A$2:$E$2200,5,FALSE)</f>
        <v>기초 마법수련</v>
      </c>
      <c r="C9" s="19" t="str">
        <f>"MAX LV "&amp;C8</f>
        <v>MAX LV 5</v>
      </c>
      <c r="D9" s="20" t="str">
        <f>VLOOKUP(D8,SkillTable!$A$2:$E$2200,5,FALSE)</f>
        <v>기초 마법방어술</v>
      </c>
      <c r="E9" s="17"/>
      <c r="F9" s="18" t="e">
        <f>VLOOKUP(F8,SkillTable!$A$2:$E$2200,5,FALSE)</f>
        <v>#N/A</v>
      </c>
      <c r="G9" s="19" t="str">
        <f>"MAX LV "&amp;G8</f>
        <v xml:space="preserve">MAX LV </v>
      </c>
      <c r="H9" s="20" t="e">
        <f>VLOOKUP(H8,SkillTable!$A$2:$E$2200,5,FALSE)</f>
        <v>#N/A</v>
      </c>
      <c r="I9" s="17"/>
      <c r="J9" s="18" t="str">
        <f>VLOOKUP(J8,SkillTable!$A$2:$E$2200,5,FALSE)</f>
        <v>일루전 스팅어</v>
      </c>
      <c r="K9" s="19" t="str">
        <f>"MAX LV "&amp;K8</f>
        <v>MAX LV 5</v>
      </c>
      <c r="L9" s="20" t="e">
        <f>VLOOKUP(L8,SkillTable!$A$2:$E$2200,5,FALSE)</f>
        <v>#N/A</v>
      </c>
      <c r="M9" s="17"/>
      <c r="N9" s="18" t="e">
        <f>VLOOKUP(N8,SkillTable!$A$2:$E$2200,5,FALSE)</f>
        <v>#N/A</v>
      </c>
      <c r="O9" s="19" t="str">
        <f>"MAX LV "&amp;O8</f>
        <v xml:space="preserve">MAX LV </v>
      </c>
      <c r="P9" s="20" t="e">
        <f>VLOOKUP(P8,SkillTable!$A$2:$E$2200,5,FALSE)</f>
        <v>#N/A</v>
      </c>
      <c r="Q9" s="17"/>
      <c r="R9" s="18" t="e">
        <f>VLOOKUP(R8,SkillTable!$A$2:$E$2200,5,FALSE)</f>
        <v>#N/A</v>
      </c>
      <c r="S9" s="19" t="str">
        <f>"MAX LV "&amp;S8</f>
        <v xml:space="preserve">MAX LV </v>
      </c>
      <c r="T9" s="20" t="e">
        <f>VLOOKUP(T8,SkillTable!$A$2:$E$2200,5,FALSE)</f>
        <v>#N/A</v>
      </c>
    </row>
    <row r="10" spans="1:20" ht="50.1" customHeight="1" thickBot="1"/>
    <row r="11" spans="1:20" ht="50.1" customHeight="1" thickBot="1">
      <c r="A11" s="25" t="s">
        <v>289</v>
      </c>
      <c r="B11" s="14">
        <v>304</v>
      </c>
      <c r="C11" s="15">
        <v>5</v>
      </c>
      <c r="D11" s="16"/>
      <c r="E11" s="17"/>
      <c r="F11" s="14">
        <v>1</v>
      </c>
      <c r="G11" s="15">
        <v>5</v>
      </c>
      <c r="H11" s="16">
        <v>3</v>
      </c>
      <c r="I11" s="17"/>
      <c r="J11" s="34"/>
      <c r="K11" s="15"/>
      <c r="L11" s="16"/>
      <c r="M11" s="17"/>
      <c r="N11" s="14">
        <v>3003</v>
      </c>
      <c r="O11" s="15">
        <v>5</v>
      </c>
      <c r="P11" s="16">
        <v>3001</v>
      </c>
      <c r="Q11" s="17"/>
      <c r="R11" s="34"/>
      <c r="S11" s="15"/>
      <c r="T11" s="16"/>
    </row>
    <row r="12" spans="1:20" ht="99.95" customHeight="1" thickBot="1">
      <c r="B12" s="18" t="str">
        <f>VLOOKUP(B11,SkillTable!$A$2:$E$2200,5,FALSE)</f>
        <v>오러 매직 액셀레이터</v>
      </c>
      <c r="C12" s="19" t="str">
        <f>"MAX LV "&amp;C11</f>
        <v>MAX LV 5</v>
      </c>
      <c r="D12" s="20" t="e">
        <f>VLOOKUP(D11,SkillTable!$A$2:$E$2200,5,FALSE)</f>
        <v>#N/A</v>
      </c>
      <c r="E12" s="17"/>
      <c r="F12" s="18" t="str">
        <f>VLOOKUP(F11,SkillTable!$A$2:$E$2200,5,FALSE)</f>
        <v>기초 근력단련</v>
      </c>
      <c r="G12" s="19" t="str">
        <f>"MAX LV "&amp;G11</f>
        <v>MAX LV 5</v>
      </c>
      <c r="H12" s="20" t="str">
        <f>VLOOKUP(H11,SkillTable!$A$2:$E$2200,5,FALSE)</f>
        <v>기초 물리방어술</v>
      </c>
      <c r="I12" s="17"/>
      <c r="J12" s="18" t="e">
        <f>VLOOKUP(J11,SkillTable!$A$2:$E$2200,5,FALSE)</f>
        <v>#N/A</v>
      </c>
      <c r="K12" s="19" t="str">
        <f>"MAX LV "&amp;K11</f>
        <v xml:space="preserve">MAX LV </v>
      </c>
      <c r="L12" s="20" t="e">
        <f>VLOOKUP(L11,SkillTable!$A$2:$E$2200,5,FALSE)</f>
        <v>#N/A</v>
      </c>
      <c r="M12" s="17"/>
      <c r="N12" s="18" t="str">
        <f>VLOOKUP(N11,SkillTable!$A$2:$E$2200,5,FALSE)</f>
        <v>디멘션 링크 블레이더</v>
      </c>
      <c r="O12" s="19" t="str">
        <f>"MAX LV "&amp;O11</f>
        <v>MAX LV 5</v>
      </c>
      <c r="P12" s="20" t="str">
        <f>VLOOKUP(P11,SkillTable!$A$2:$E$2200,5,FALSE)</f>
        <v>디멘션 링크</v>
      </c>
      <c r="Q12" s="17"/>
      <c r="R12" s="18" t="e">
        <f>VLOOKUP(R11,SkillTable!$A$2:$E$2200,5,FALSE)</f>
        <v>#N/A</v>
      </c>
      <c r="S12" s="19" t="str">
        <f>"MAX LV "&amp;S11</f>
        <v xml:space="preserve">MAX LV </v>
      </c>
      <c r="T12" s="20" t="e">
        <f>VLOOKUP(T11,SkillTable!$A$2:$E$2200,5,FALSE)</f>
        <v>#N/A</v>
      </c>
    </row>
    <row r="13" spans="1:20" ht="50.1" customHeight="1" thickBot="1"/>
    <row r="14" spans="1:20" ht="50.1" customHeight="1" thickBot="1">
      <c r="A14" s="25" t="s">
        <v>290</v>
      </c>
      <c r="B14" s="34"/>
      <c r="C14" s="15"/>
      <c r="D14" s="16"/>
      <c r="E14" s="17"/>
      <c r="F14" s="14">
        <v>305</v>
      </c>
      <c r="G14" s="15">
        <v>5</v>
      </c>
      <c r="H14" s="16"/>
      <c r="I14" s="17"/>
      <c r="J14" s="34"/>
      <c r="K14" s="15"/>
      <c r="L14" s="16"/>
      <c r="M14" s="17"/>
      <c r="N14" s="34"/>
      <c r="O14" s="15"/>
      <c r="P14" s="16"/>
      <c r="Q14" s="17"/>
      <c r="R14" s="34"/>
      <c r="S14" s="15"/>
      <c r="T14" s="16"/>
    </row>
    <row r="15" spans="1:20" ht="99.95" customHeight="1" thickBot="1">
      <c r="B15" s="18" t="e">
        <f>VLOOKUP(B14,SkillTable!$A$2:$E$2200,5,FALSE)</f>
        <v>#N/A</v>
      </c>
      <c r="C15" s="19" t="str">
        <f>"MAX LV "&amp;C14</f>
        <v xml:space="preserve">MAX LV </v>
      </c>
      <c r="D15" s="20" t="e">
        <f>VLOOKUP(D14,SkillTable!$A$2:$E$2200,5,FALSE)</f>
        <v>#N/A</v>
      </c>
      <c r="E15" s="17"/>
      <c r="F15" s="18" t="str">
        <f>VLOOKUP(F14,SkillTable!$A$2:$E$2200,5,FALSE)</f>
        <v>오러 실드 액셀레이터</v>
      </c>
      <c r="G15" s="19" t="str">
        <f>"MAX LV "&amp;G14</f>
        <v>MAX LV 5</v>
      </c>
      <c r="H15" s="20" t="e">
        <f>VLOOKUP(H14,SkillTable!$A$2:$E$2200,5,FALSE)</f>
        <v>#N/A</v>
      </c>
      <c r="I15" s="17"/>
      <c r="J15" s="18" t="e">
        <f>VLOOKUP(J14,SkillTable!$A$2:$E$2200,5,FALSE)</f>
        <v>#N/A</v>
      </c>
      <c r="K15" s="19" t="str">
        <f>"MAX LV "&amp;K14</f>
        <v xml:space="preserve">MAX LV </v>
      </c>
      <c r="L15" s="20" t="e">
        <f>VLOOKUP(L14,SkillTable!$A$2:$E$2200,5,FALSE)</f>
        <v>#N/A</v>
      </c>
      <c r="M15" s="17"/>
      <c r="N15" s="18" t="e">
        <f>VLOOKUP(N14,SkillTable!$A$2:$E$2200,5,FALSE)</f>
        <v>#N/A</v>
      </c>
      <c r="O15" s="19" t="str">
        <f>"MAX LV "&amp;O14</f>
        <v xml:space="preserve">MAX LV </v>
      </c>
      <c r="P15" s="20" t="e">
        <f>VLOOKUP(P14,SkillTable!$A$2:$E$2200,5,FALSE)</f>
        <v>#N/A</v>
      </c>
      <c r="Q15" s="17"/>
      <c r="R15" s="18" t="e">
        <f>VLOOKUP(R14,SkillTable!$A$2:$E$2200,5,FALSE)</f>
        <v>#N/A</v>
      </c>
      <c r="S15" s="19" t="str">
        <f>"MAX LV "&amp;S14</f>
        <v xml:space="preserve">MAX LV </v>
      </c>
      <c r="T15" s="20" t="e">
        <f>VLOOKUP(T14,SkillTable!$A$2:$E$2200,5,FALSE)</f>
        <v>#N/A</v>
      </c>
    </row>
    <row r="16" spans="1:20" ht="50.1" customHeight="1" thickBot="1"/>
    <row r="17" spans="1:20" ht="50.1" customHeight="1" thickBot="1">
      <c r="A17" s="25" t="s">
        <v>291</v>
      </c>
      <c r="B17" s="34"/>
      <c r="C17" s="15"/>
      <c r="D17" s="16"/>
      <c r="E17" s="17"/>
      <c r="F17" s="14">
        <v>303</v>
      </c>
      <c r="G17" s="15">
        <v>5</v>
      </c>
      <c r="H17" s="16"/>
      <c r="I17" s="17"/>
      <c r="J17" s="34"/>
      <c r="K17" s="15"/>
      <c r="L17" s="16"/>
      <c r="M17" s="17"/>
      <c r="N17" s="34"/>
      <c r="O17" s="15"/>
      <c r="P17" s="16"/>
      <c r="Q17" s="17"/>
      <c r="R17" s="14">
        <v>3400</v>
      </c>
      <c r="S17" s="15">
        <v>3</v>
      </c>
      <c r="T17" s="16">
        <v>3200</v>
      </c>
    </row>
    <row r="18" spans="1:20" ht="99.95" customHeight="1" thickBot="1">
      <c r="B18" s="18" t="e">
        <f>VLOOKUP(B17,SkillTable!$A$2:$E$2200,5,FALSE)</f>
        <v>#N/A</v>
      </c>
      <c r="C18" s="19" t="str">
        <f>"MAX LV "&amp;C17</f>
        <v xml:space="preserve">MAX LV </v>
      </c>
      <c r="D18" s="20" t="e">
        <f>VLOOKUP(D17,SkillTable!$A$2:$E$2200,5,FALSE)</f>
        <v>#N/A</v>
      </c>
      <c r="E18" s="17"/>
      <c r="F18" s="18" t="str">
        <f>VLOOKUP(F17,SkillTable!$A$2:$E$2200,5,FALSE)</f>
        <v>오러 파워 액셀레이터</v>
      </c>
      <c r="G18" s="19" t="str">
        <f>"MAX LV "&amp;G17</f>
        <v>MAX LV 5</v>
      </c>
      <c r="H18" s="20" t="e">
        <f>VLOOKUP(H17,SkillTable!$A$2:$E$2200,5,FALSE)</f>
        <v>#N/A</v>
      </c>
      <c r="I18" s="17"/>
      <c r="J18" s="18" t="e">
        <f>VLOOKUP(J17,SkillTable!$A$2:$E$2200,5,FALSE)</f>
        <v>#N/A</v>
      </c>
      <c r="K18" s="19" t="str">
        <f>"MAX LV "&amp;K17</f>
        <v xml:space="preserve">MAX LV </v>
      </c>
      <c r="L18" s="20" t="e">
        <f>VLOOKUP(L17,SkillTable!$A$2:$E$2200,5,FALSE)</f>
        <v>#N/A</v>
      </c>
      <c r="M18" s="17"/>
      <c r="N18" s="18" t="e">
        <f>VLOOKUP(N17,SkillTable!$A$2:$E$2200,5,FALSE)</f>
        <v>#N/A</v>
      </c>
      <c r="O18" s="19" t="str">
        <f>"MAX LV "&amp;O17</f>
        <v xml:space="preserve">MAX LV </v>
      </c>
      <c r="P18" s="20" t="e">
        <f>VLOOKUP(P17,SkillTable!$A$2:$E$2200,5,FALSE)</f>
        <v>#N/A</v>
      </c>
      <c r="Q18" s="17"/>
      <c r="R18" s="18" t="str">
        <f>VLOOKUP(R17,SkillTable!$A$2:$E$2200,5,FALSE)</f>
        <v>클로킹 연마</v>
      </c>
      <c r="S18" s="19" t="str">
        <f>"MAX LV "&amp;S17</f>
        <v>MAX LV 3</v>
      </c>
      <c r="T18" s="20" t="str">
        <f>VLOOKUP(T17,SkillTable!$A$2:$E$2200,5,FALSE)</f>
        <v>클로킹</v>
      </c>
    </row>
    <row r="19" spans="1:20" ht="50.1" customHeight="1" thickBot="1"/>
    <row r="20" spans="1:20" ht="50.1" customHeight="1" thickBot="1">
      <c r="A20" s="25" t="s">
        <v>292</v>
      </c>
      <c r="B20" s="34"/>
      <c r="C20" s="15"/>
      <c r="D20" s="16"/>
      <c r="E20" s="17"/>
      <c r="F20" s="34"/>
      <c r="G20" s="15"/>
      <c r="H20" s="16"/>
      <c r="I20" s="17"/>
      <c r="J20" s="14">
        <v>3004</v>
      </c>
      <c r="K20" s="15">
        <v>5</v>
      </c>
      <c r="L20" s="16">
        <v>3002</v>
      </c>
      <c r="M20" s="17"/>
      <c r="N20" s="14">
        <v>3005</v>
      </c>
      <c r="O20" s="15">
        <v>5</v>
      </c>
      <c r="P20" s="16"/>
      <c r="Q20" s="17"/>
      <c r="R20" s="34"/>
      <c r="S20" s="15"/>
      <c r="T20" s="16"/>
    </row>
    <row r="21" spans="1:20" ht="99.95" customHeight="1" thickBot="1">
      <c r="B21" s="18" t="e">
        <f>VLOOKUP(B20,SkillTable!$A$2:$E$2200,5,FALSE)</f>
        <v>#N/A</v>
      </c>
      <c r="C21" s="19" t="str">
        <f>"MAX LV "&amp;C20</f>
        <v xml:space="preserve">MAX LV </v>
      </c>
      <c r="D21" s="20" t="e">
        <f>VLOOKUP(D20,SkillTable!$A$2:$E$2200,5,FALSE)</f>
        <v>#N/A</v>
      </c>
      <c r="E21" s="17"/>
      <c r="F21" s="18" t="e">
        <f>VLOOKUP(F20,SkillTable!$A$2:$E$2200,5,FALSE)</f>
        <v>#N/A</v>
      </c>
      <c r="G21" s="19" t="str">
        <f>"MAX LV "&amp;G20</f>
        <v xml:space="preserve">MAX LV </v>
      </c>
      <c r="H21" s="20" t="e">
        <f>VLOOKUP(H20,SkillTable!$A$2:$E$2200,5,FALSE)</f>
        <v>#N/A</v>
      </c>
      <c r="I21" s="17"/>
      <c r="J21" s="18" t="str">
        <f>VLOOKUP(J20,SkillTable!$A$2:$E$2200,5,FALSE)</f>
        <v>제네레이터 블랙홀</v>
      </c>
      <c r="K21" s="19" t="str">
        <f>"MAX LV "&amp;K20</f>
        <v>MAX LV 5</v>
      </c>
      <c r="L21" s="20" t="str">
        <f>VLOOKUP(L20,SkillTable!$A$2:$E$2200,5,FALSE)</f>
        <v>일루전 스팅어</v>
      </c>
      <c r="M21" s="17"/>
      <c r="N21" s="18" t="str">
        <f>VLOOKUP(N20,SkillTable!$A$2:$E$2200,5,FALSE)</f>
        <v>디멘션 링크 가디언</v>
      </c>
      <c r="O21" s="19" t="str">
        <f>"MAX LV "&amp;O20</f>
        <v>MAX LV 5</v>
      </c>
      <c r="P21" s="20" t="e">
        <f>VLOOKUP(P20,SkillTable!$A$2:$E$2200,5,FALSE)</f>
        <v>#N/A</v>
      </c>
      <c r="Q21" s="17"/>
      <c r="R21" s="18" t="e">
        <f>VLOOKUP(R20,SkillTable!$A$2:$E$2200,5,FALSE)</f>
        <v>#N/A</v>
      </c>
      <c r="S21" s="19" t="str">
        <f>"MAX LV "&amp;S20</f>
        <v xml:space="preserve">MAX LV </v>
      </c>
      <c r="T21" s="20" t="e">
        <f>VLOOKUP(T20,SkillTable!$A$2:$E$2200,5,FALSE)</f>
        <v>#N/A</v>
      </c>
    </row>
    <row r="22" spans="1:20" ht="50.1" customHeight="1" thickBot="1"/>
    <row r="23" spans="1:20" ht="50.1" customHeight="1" thickBot="1">
      <c r="A23" s="25" t="s">
        <v>293</v>
      </c>
      <c r="B23" s="34"/>
      <c r="C23" s="15"/>
      <c r="D23" s="16"/>
      <c r="E23" s="17"/>
      <c r="F23" s="34"/>
      <c r="G23" s="15"/>
      <c r="H23" s="16"/>
      <c r="I23" s="17"/>
      <c r="J23" s="34"/>
      <c r="K23" s="15"/>
      <c r="L23" s="16"/>
      <c r="M23" s="17"/>
      <c r="N23" s="34"/>
      <c r="O23" s="15"/>
      <c r="P23" s="16"/>
      <c r="Q23" s="17"/>
      <c r="R23" s="14">
        <v>3201</v>
      </c>
      <c r="S23" s="15">
        <v>3</v>
      </c>
      <c r="T23" s="16"/>
    </row>
    <row r="24" spans="1:20" ht="99.95" customHeight="1" thickBot="1">
      <c r="B24" s="18" t="e">
        <f>VLOOKUP(B23,SkillTable!$A$2:$E$2200,5,FALSE)</f>
        <v>#N/A</v>
      </c>
      <c r="C24" s="19" t="str">
        <f>"MAX LV "&amp;C23</f>
        <v xml:space="preserve">MAX LV </v>
      </c>
      <c r="D24" s="20" t="e">
        <f>VLOOKUP(D23,SkillTable!$A$2:$E$2200,5,FALSE)</f>
        <v>#N/A</v>
      </c>
      <c r="E24" s="17"/>
      <c r="F24" s="18" t="e">
        <f>VLOOKUP(F23,SkillTable!$A$2:$E$2200,5,FALSE)</f>
        <v>#N/A</v>
      </c>
      <c r="G24" s="19" t="str">
        <f>"MAX LV "&amp;G23</f>
        <v xml:space="preserve">MAX LV </v>
      </c>
      <c r="H24" s="20" t="e">
        <f>VLOOKUP(H23,SkillTable!$A$2:$E$2200,5,FALSE)</f>
        <v>#N/A</v>
      </c>
      <c r="I24" s="17"/>
      <c r="J24" s="18" t="e">
        <f>VLOOKUP(J23,SkillTable!$A$2:$E$2200,5,FALSE)</f>
        <v>#N/A</v>
      </c>
      <c r="K24" s="19" t="str">
        <f>"MAX LV "&amp;K23</f>
        <v xml:space="preserve">MAX LV </v>
      </c>
      <c r="L24" s="20" t="e">
        <f>VLOOKUP(L23,SkillTable!$A$2:$E$2200,5,FALSE)</f>
        <v>#N/A</v>
      </c>
      <c r="M24" s="17"/>
      <c r="N24" s="18" t="e">
        <f>VLOOKUP(N23,SkillTable!$A$2:$E$2200,5,FALSE)</f>
        <v>#N/A</v>
      </c>
      <c r="O24" s="19" t="str">
        <f>"MAX LV "&amp;O23</f>
        <v xml:space="preserve">MAX LV </v>
      </c>
      <c r="P24" s="20" t="e">
        <f>VLOOKUP(P23,SkillTable!$A$2:$E$2200,5,FALSE)</f>
        <v>#N/A</v>
      </c>
      <c r="Q24" s="17"/>
      <c r="R24" s="18" t="str">
        <f>VLOOKUP(R23,SkillTable!$A$2:$E$2200,5,FALSE)</f>
        <v>마력 전환</v>
      </c>
      <c r="S24" s="19" t="str">
        <f>"MAX LV "&amp;S23</f>
        <v>MAX LV 3</v>
      </c>
      <c r="T24" s="20" t="e">
        <f>VLOOKUP(T23,SkillTable!$A$2:$E$2200,5,FALSE)</f>
        <v>#N/A</v>
      </c>
    </row>
    <row r="25" spans="1:20" ht="50.1" customHeight="1" thickBot="1"/>
    <row r="26" spans="1:20" ht="50.1" customHeight="1" thickBot="1">
      <c r="A26" s="25" t="s">
        <v>294</v>
      </c>
      <c r="B26" s="34"/>
      <c r="C26" s="15"/>
      <c r="D26" s="16"/>
      <c r="E26" s="17"/>
      <c r="F26" s="34"/>
      <c r="G26" s="15"/>
      <c r="H26" s="16"/>
      <c r="I26" s="17"/>
      <c r="J26" s="34"/>
      <c r="K26" s="15"/>
      <c r="L26" s="16"/>
      <c r="M26" s="17"/>
      <c r="N26" s="14">
        <v>3009</v>
      </c>
      <c r="O26" s="15">
        <v>5</v>
      </c>
      <c r="P26" s="16"/>
      <c r="Q26" s="17"/>
      <c r="R26" s="34">
        <v>3204</v>
      </c>
      <c r="S26" s="15">
        <v>5</v>
      </c>
      <c r="T26" s="16"/>
    </row>
    <row r="27" spans="1:20" ht="99.95" customHeight="1" thickBot="1">
      <c r="B27" s="18" t="e">
        <f>VLOOKUP(B26,SkillTable!$A$2:$E$2200,5,FALSE)</f>
        <v>#N/A</v>
      </c>
      <c r="C27" s="19" t="str">
        <f>"MAX LV "&amp;C26</f>
        <v xml:space="preserve">MAX LV </v>
      </c>
      <c r="D27" s="20" t="e">
        <f>VLOOKUP(D26,SkillTable!$A$2:$E$2200,5,FALSE)</f>
        <v>#N/A</v>
      </c>
      <c r="E27" s="17"/>
      <c r="F27" s="18" t="e">
        <f>VLOOKUP(F26,SkillTable!$A$2:$E$2200,5,FALSE)</f>
        <v>#N/A</v>
      </c>
      <c r="G27" s="19" t="str">
        <f>"MAX LV "&amp;G26</f>
        <v xml:space="preserve">MAX LV </v>
      </c>
      <c r="H27" s="20" t="e">
        <f>VLOOKUP(H26,SkillTable!$A$2:$E$2200,5,FALSE)</f>
        <v>#N/A</v>
      </c>
      <c r="I27" s="17"/>
      <c r="J27" s="18" t="e">
        <f>VLOOKUP(J26,SkillTable!$A$2:$E$2200,5,FALSE)</f>
        <v>#N/A</v>
      </c>
      <c r="K27" s="19" t="str">
        <f>"MAX LV "&amp;K26</f>
        <v xml:space="preserve">MAX LV </v>
      </c>
      <c r="L27" s="20" t="e">
        <f>VLOOKUP(L26,SkillTable!$A$2:$E$2200,5,FALSE)</f>
        <v>#N/A</v>
      </c>
      <c r="M27" s="17"/>
      <c r="N27" s="18" t="str">
        <f>VLOOKUP(N26,SkillTable!$A$2:$E$2200,5,FALSE)</f>
        <v>서피스 커팅</v>
      </c>
      <c r="O27" s="19" t="str">
        <f>"MAX LV "&amp;O26</f>
        <v>MAX LV 5</v>
      </c>
      <c r="P27" s="20" t="e">
        <f>VLOOKUP(P26,SkillTable!$A$2:$E$2200,5,FALSE)</f>
        <v>#N/A</v>
      </c>
      <c r="Q27" s="17"/>
      <c r="R27" s="18" t="str">
        <f>VLOOKUP(R26,SkillTable!$A$2:$E$2200,5,FALSE)</f>
        <v>오베론 가드</v>
      </c>
      <c r="S27" s="19" t="str">
        <f>"MAX LV "&amp;S26</f>
        <v>MAX LV 5</v>
      </c>
      <c r="T27" s="20" t="e">
        <f>VLOOKUP(T26,SkillTable!$A$2:$E$2200,5,FALSE)</f>
        <v>#N/A</v>
      </c>
    </row>
    <row r="28" spans="1:20" ht="50.1" customHeight="1" thickBot="1"/>
    <row r="29" spans="1:20" ht="50.1" customHeight="1" thickBot="1">
      <c r="A29" s="25" t="s">
        <v>295</v>
      </c>
      <c r="B29" s="34"/>
      <c r="C29" s="15"/>
      <c r="D29" s="16"/>
      <c r="E29" s="17"/>
      <c r="F29" s="14">
        <v>5</v>
      </c>
      <c r="G29" s="15">
        <v>5</v>
      </c>
      <c r="H29" s="16"/>
      <c r="I29" s="17"/>
      <c r="J29" s="14">
        <v>3402</v>
      </c>
      <c r="K29" s="15">
        <v>5</v>
      </c>
      <c r="L29" s="16"/>
      <c r="M29" s="17"/>
      <c r="N29" s="34"/>
      <c r="O29" s="15"/>
      <c r="P29" s="16"/>
      <c r="Q29" s="17"/>
      <c r="R29" s="34"/>
      <c r="S29" s="15"/>
      <c r="T29" s="16"/>
    </row>
    <row r="30" spans="1:20" ht="99.95" customHeight="1" thickBot="1">
      <c r="B30" s="18" t="e">
        <f>VLOOKUP(B29,SkillTable!$A$2:$E$2200,5,FALSE)</f>
        <v>#N/A</v>
      </c>
      <c r="C30" s="19" t="str">
        <f>"MAX LV "&amp;C29</f>
        <v xml:space="preserve">MAX LV </v>
      </c>
      <c r="D30" s="20" t="e">
        <f>VLOOKUP(D29,SkillTable!$A$2:$E$2200,5,FALSE)</f>
        <v>#N/A</v>
      </c>
      <c r="E30" s="17"/>
      <c r="F30" s="18" t="str">
        <f>VLOOKUP(F29,SkillTable!$A$2:$E$2200,5,FALSE)</f>
        <v>중급 근력단련</v>
      </c>
      <c r="G30" s="19" t="str">
        <f>"MAX LV "&amp;G29</f>
        <v>MAX LV 5</v>
      </c>
      <c r="H30" s="20" t="e">
        <f>VLOOKUP(H29,SkillTable!$A$2:$E$2200,5,FALSE)</f>
        <v>#N/A</v>
      </c>
      <c r="I30" s="17"/>
      <c r="J30" s="18" t="str">
        <f>VLOOKUP(J29,SkillTable!$A$2:$E$2200,5,FALSE)</f>
        <v>여왕의 지배력</v>
      </c>
      <c r="K30" s="19" t="str">
        <f>"MAX LV "&amp;K29</f>
        <v>MAX LV 5</v>
      </c>
      <c r="L30" s="20" t="e">
        <f>VLOOKUP(L29,SkillTable!$A$2:$E$2200,5,FALSE)</f>
        <v>#N/A</v>
      </c>
      <c r="M30" s="17"/>
      <c r="N30" s="18" t="e">
        <f>VLOOKUP(N29,SkillTable!$A$2:$E$2200,5,FALSE)</f>
        <v>#N/A</v>
      </c>
      <c r="O30" s="19" t="str">
        <f>"MAX LV "&amp;O29</f>
        <v xml:space="preserve">MAX LV </v>
      </c>
      <c r="P30" s="20" t="e">
        <f>VLOOKUP(P29,SkillTable!$A$2:$E$2200,5,FALSE)</f>
        <v>#N/A</v>
      </c>
      <c r="Q30" s="17"/>
      <c r="R30" s="18" t="e">
        <f>VLOOKUP(R29,SkillTable!$A$2:$E$2200,5,FALSE)</f>
        <v>#N/A</v>
      </c>
      <c r="S30" s="19" t="str">
        <f>"MAX LV "&amp;S29</f>
        <v xml:space="preserve">MAX LV </v>
      </c>
      <c r="T30" s="20" t="e">
        <f>VLOOKUP(T29,SkillTable!$A$2:$E$2200,5,FALSE)</f>
        <v>#N/A</v>
      </c>
    </row>
    <row r="31" spans="1:20" ht="50.1" customHeight="1" thickBot="1"/>
    <row r="32" spans="1:20" ht="50.1" customHeight="1" thickBot="1">
      <c r="A32" s="25" t="s">
        <v>296</v>
      </c>
      <c r="B32" s="34"/>
      <c r="C32" s="15"/>
      <c r="D32" s="16"/>
      <c r="E32" s="17"/>
      <c r="F32" s="34"/>
      <c r="G32" s="15"/>
      <c r="H32" s="16"/>
      <c r="I32" s="17"/>
      <c r="J32" s="34"/>
      <c r="K32" s="15"/>
      <c r="L32" s="16"/>
      <c r="M32" s="17"/>
      <c r="N32" s="14">
        <v>3010</v>
      </c>
      <c r="O32" s="15">
        <v>5</v>
      </c>
      <c r="P32" s="16"/>
      <c r="Q32" s="17"/>
      <c r="R32" s="34"/>
      <c r="S32" s="15"/>
      <c r="T32" s="16"/>
    </row>
    <row r="33" spans="1:20" ht="99.95" customHeight="1" thickBot="1">
      <c r="B33" s="18" t="e">
        <f>VLOOKUP(B32,SkillTable!$A$2:$E$2200,5,FALSE)</f>
        <v>#N/A</v>
      </c>
      <c r="C33" s="19" t="str">
        <f>"MAX LV "&amp;C32</f>
        <v xml:space="preserve">MAX LV </v>
      </c>
      <c r="D33" s="20" t="e">
        <f>VLOOKUP(D32,SkillTable!$A$2:$E$2200,5,FALSE)</f>
        <v>#N/A</v>
      </c>
      <c r="E33" s="17"/>
      <c r="F33" s="18" t="e">
        <f>VLOOKUP(F32,SkillTable!$A$2:$E$2200,5,FALSE)</f>
        <v>#N/A</v>
      </c>
      <c r="G33" s="19" t="str">
        <f>"MAX LV "&amp;G32</f>
        <v xml:space="preserve">MAX LV </v>
      </c>
      <c r="H33" s="20" t="e">
        <f>VLOOKUP(H32,SkillTable!$A$2:$E$2200,5,FALSE)</f>
        <v>#N/A</v>
      </c>
      <c r="I33" s="17"/>
      <c r="J33" s="18" t="e">
        <f>VLOOKUP(J32,SkillTable!$A$2:$E$2200,5,FALSE)</f>
        <v>#N/A</v>
      </c>
      <c r="K33" s="19" t="str">
        <f>"MAX LV "&amp;K32</f>
        <v xml:space="preserve">MAX LV </v>
      </c>
      <c r="L33" s="20" t="e">
        <f>VLOOKUP(L32,SkillTable!$A$2:$E$2200,5,FALSE)</f>
        <v>#N/A</v>
      </c>
      <c r="M33" s="17"/>
      <c r="N33" s="18" t="str">
        <f>VLOOKUP(N32,SkillTable!$A$2:$E$2200,5,FALSE)</f>
        <v>소닉 웨이브</v>
      </c>
      <c r="O33" s="19" t="str">
        <f>"MAX LV "&amp;O32</f>
        <v>MAX LV 5</v>
      </c>
      <c r="P33" s="20" t="e">
        <f>VLOOKUP(P32,SkillTable!$A$2:$E$2200,5,FALSE)</f>
        <v>#N/A</v>
      </c>
      <c r="Q33" s="17"/>
      <c r="R33" s="18" t="e">
        <f>VLOOKUP(R32,SkillTable!$A$2:$E$2200,5,FALSE)</f>
        <v>#N/A</v>
      </c>
      <c r="S33" s="19" t="str">
        <f>"MAX LV "&amp;S32</f>
        <v xml:space="preserve">MAX LV </v>
      </c>
      <c r="T33" s="20" t="e">
        <f>VLOOKUP(T32,SkillTable!$A$2:$E$2200,5,FALSE)</f>
        <v>#N/A</v>
      </c>
    </row>
    <row r="34" spans="1:20" ht="50.1" customHeight="1" thickBot="1"/>
    <row r="35" spans="1:20" ht="50.1" customHeight="1" thickBot="1">
      <c r="A35" s="25" t="s">
        <v>297</v>
      </c>
      <c r="B35" s="14">
        <v>307</v>
      </c>
      <c r="C35" s="15">
        <v>3</v>
      </c>
      <c r="D35" s="16">
        <v>3401</v>
      </c>
      <c r="E35" s="17"/>
      <c r="F35" s="14">
        <v>3401</v>
      </c>
      <c r="G35" s="15">
        <v>5</v>
      </c>
      <c r="H35" s="16"/>
      <c r="I35" s="17"/>
      <c r="J35" s="14">
        <v>306</v>
      </c>
      <c r="K35" s="15">
        <v>4</v>
      </c>
      <c r="L35" s="16">
        <v>3402</v>
      </c>
      <c r="M35" s="17"/>
      <c r="N35" s="34"/>
      <c r="O35" s="15"/>
      <c r="P35" s="16"/>
      <c r="Q35" s="17"/>
      <c r="R35" s="14">
        <v>3202</v>
      </c>
      <c r="S35" s="15">
        <v>3</v>
      </c>
      <c r="T35" s="16"/>
    </row>
    <row r="36" spans="1:20" ht="99.95" customHeight="1" thickBot="1">
      <c r="B36" s="18" t="str">
        <f>VLOOKUP(B35,SkillTable!$A$2:$E$2200,5,FALSE)</f>
        <v>매직 아드레날린</v>
      </c>
      <c r="C36" s="19" t="str">
        <f>"MAX LV "&amp;C35</f>
        <v>MAX LV 3</v>
      </c>
      <c r="D36" s="20" t="str">
        <f>VLOOKUP(D35,SkillTable!$A$2:$E$2200,5,FALSE)</f>
        <v>일렉트론볼 연마</v>
      </c>
      <c r="E36" s="17"/>
      <c r="F36" s="18" t="str">
        <f>VLOOKUP(F35,SkillTable!$A$2:$E$2200,5,FALSE)</f>
        <v>일렉트론볼 연마</v>
      </c>
      <c r="G36" s="19" t="str">
        <f>"MAX LV "&amp;G35</f>
        <v>MAX LV 5</v>
      </c>
      <c r="H36" s="20" t="e">
        <f>VLOOKUP(H35,SkillTable!$A$2:$E$2200,5,FALSE)</f>
        <v>#N/A</v>
      </c>
      <c r="I36" s="17"/>
      <c r="J36" s="18" t="str">
        <f>VLOOKUP(J35,SkillTable!$A$2:$E$2200,5,FALSE)</f>
        <v>파워 아드레날린</v>
      </c>
      <c r="K36" s="19" t="str">
        <f>"MAX LV "&amp;K35</f>
        <v>MAX LV 4</v>
      </c>
      <c r="L36" s="20" t="str">
        <f>VLOOKUP(L35,SkillTable!$A$2:$E$2200,5,FALSE)</f>
        <v>여왕의 지배력</v>
      </c>
      <c r="M36" s="17"/>
      <c r="N36" s="18" t="e">
        <f>VLOOKUP(N35,SkillTable!$A$2:$E$2200,5,FALSE)</f>
        <v>#N/A</v>
      </c>
      <c r="O36" s="19" t="str">
        <f>"MAX LV "&amp;O35</f>
        <v xml:space="preserve">MAX LV </v>
      </c>
      <c r="P36" s="20" t="e">
        <f>VLOOKUP(P35,SkillTable!$A$2:$E$2200,5,FALSE)</f>
        <v>#N/A</v>
      </c>
      <c r="Q36" s="17"/>
      <c r="R36" s="18" t="str">
        <f>VLOOKUP(R35,SkillTable!$A$2:$E$2200,5,FALSE)</f>
        <v>메가 일렉트론볼</v>
      </c>
      <c r="S36" s="19" t="str">
        <f>"MAX LV "&amp;S35</f>
        <v>MAX LV 3</v>
      </c>
      <c r="T36" s="20" t="e">
        <f>VLOOKUP(T35,SkillTable!$A$2:$E$2200,5,FALSE)</f>
        <v>#N/A</v>
      </c>
    </row>
    <row r="37" spans="1:20" ht="50.1" customHeight="1" thickBot="1"/>
    <row r="38" spans="1:20" ht="50.1" customHeight="1" thickBot="1">
      <c r="A38" s="25" t="s">
        <v>298</v>
      </c>
      <c r="B38" s="34"/>
      <c r="C38" s="15"/>
      <c r="D38" s="16"/>
      <c r="E38" s="17"/>
      <c r="F38" s="14">
        <v>3403</v>
      </c>
      <c r="G38" s="15">
        <v>5</v>
      </c>
      <c r="H38" s="16"/>
      <c r="I38" s="17"/>
      <c r="J38" s="34">
        <v>3013</v>
      </c>
      <c r="K38" s="15">
        <v>5</v>
      </c>
      <c r="L38" s="16"/>
      <c r="M38" s="17"/>
      <c r="N38" s="34"/>
      <c r="O38" s="15"/>
      <c r="P38" s="16"/>
      <c r="Q38" s="17"/>
      <c r="R38" s="34"/>
      <c r="S38" s="15"/>
      <c r="T38" s="16"/>
    </row>
    <row r="39" spans="1:20" ht="99.95" customHeight="1" thickBot="1">
      <c r="B39" s="18" t="e">
        <f>VLOOKUP(B38,SkillTable!$A$2:$E$2200,5,FALSE)</f>
        <v>#N/A</v>
      </c>
      <c r="C39" s="19" t="str">
        <f>"MAX LV "&amp;C38</f>
        <v xml:space="preserve">MAX LV </v>
      </c>
      <c r="D39" s="20" t="e">
        <f>VLOOKUP(D38,SkillTable!$A$2:$E$2200,5,FALSE)</f>
        <v>#N/A</v>
      </c>
      <c r="E39" s="17"/>
      <c r="F39" s="18" t="str">
        <f>VLOOKUP(F38,SkillTable!$A$2:$E$2200,5,FALSE)</f>
        <v>여왕의 잠재력</v>
      </c>
      <c r="G39" s="19" t="str">
        <f>"MAX LV "&amp;G38</f>
        <v>MAX LV 5</v>
      </c>
      <c r="H39" s="20" t="e">
        <f>VLOOKUP(H38,SkillTable!$A$2:$E$2200,5,FALSE)</f>
        <v>#N/A</v>
      </c>
      <c r="I39" s="17"/>
      <c r="J39" s="18" t="str">
        <f>VLOOKUP(J38,SkillTable!$A$2:$E$2200,5,FALSE)</f>
        <v>스페이스 렌치</v>
      </c>
      <c r="K39" s="19" t="str">
        <f>"MAX LV "&amp;K38</f>
        <v>MAX LV 5</v>
      </c>
      <c r="L39" s="20" t="e">
        <f>VLOOKUP(L38,SkillTable!$A$2:$E$2200,5,FALSE)</f>
        <v>#N/A</v>
      </c>
      <c r="M39" s="17"/>
      <c r="N39" s="18" t="e">
        <f>VLOOKUP(N38,SkillTable!$A$2:$E$2200,5,FALSE)</f>
        <v>#N/A</v>
      </c>
      <c r="O39" s="19" t="str">
        <f>"MAX LV "&amp;O38</f>
        <v xml:space="preserve">MAX LV </v>
      </c>
      <c r="P39" s="20" t="e">
        <f>VLOOKUP(P38,SkillTable!$A$2:$E$2200,5,FALSE)</f>
        <v>#N/A</v>
      </c>
      <c r="Q39" s="17"/>
      <c r="R39" s="18" t="e">
        <f>VLOOKUP(R38,SkillTable!$A$2:$E$2200,5,FALSE)</f>
        <v>#N/A</v>
      </c>
      <c r="S39" s="19" t="str">
        <f>"MAX LV "&amp;S38</f>
        <v xml:space="preserve">MAX LV </v>
      </c>
      <c r="T39" s="20" t="e">
        <f>VLOOKUP(T38,SkillTable!$A$2:$E$2200,5,FALSE)</f>
        <v>#N/A</v>
      </c>
    </row>
    <row r="40" spans="1:20" ht="50.1" customHeight="1" thickBot="1"/>
    <row r="41" spans="1:20" ht="50.1" customHeight="1" thickBot="1">
      <c r="A41" s="25" t="s">
        <v>299</v>
      </c>
      <c r="B41" s="34"/>
      <c r="C41" s="15"/>
      <c r="D41" s="16"/>
      <c r="E41" s="17"/>
      <c r="F41" s="34"/>
      <c r="G41" s="15"/>
      <c r="H41" s="16"/>
      <c r="I41" s="17"/>
      <c r="J41" s="34"/>
      <c r="K41" s="15"/>
      <c r="L41" s="16"/>
      <c r="M41" s="17"/>
      <c r="N41" s="14">
        <v>3011</v>
      </c>
      <c r="O41" s="15">
        <v>5</v>
      </c>
      <c r="P41" s="16">
        <v>3010</v>
      </c>
      <c r="Q41" s="17"/>
      <c r="R41" s="34"/>
      <c r="S41" s="15"/>
      <c r="T41" s="16"/>
    </row>
    <row r="42" spans="1:20" ht="99.95" customHeight="1" thickBot="1">
      <c r="B42" s="18" t="e">
        <f>VLOOKUP(B41,SkillTable!$A$2:$E$2200,5,FALSE)</f>
        <v>#N/A</v>
      </c>
      <c r="C42" s="19" t="str">
        <f>"MAX LV "&amp;C41</f>
        <v xml:space="preserve">MAX LV </v>
      </c>
      <c r="D42" s="20" t="e">
        <f>VLOOKUP(D41,SkillTable!$A$2:$E$2200,5,FALSE)</f>
        <v>#N/A</v>
      </c>
      <c r="E42" s="17"/>
      <c r="F42" s="18" t="e">
        <f>VLOOKUP(F41,SkillTable!$A$2:$E$2200,5,FALSE)</f>
        <v>#N/A</v>
      </c>
      <c r="G42" s="19" t="str">
        <f>"MAX LV "&amp;G41</f>
        <v xml:space="preserve">MAX LV </v>
      </c>
      <c r="H42" s="20" t="e">
        <f>VLOOKUP(H41,SkillTable!$A$2:$E$2200,5,FALSE)</f>
        <v>#N/A</v>
      </c>
      <c r="I42" s="17"/>
      <c r="J42" s="18" t="e">
        <f>VLOOKUP(J41,SkillTable!$A$2:$E$2200,5,FALSE)</f>
        <v>#N/A</v>
      </c>
      <c r="K42" s="19" t="str">
        <f>"MAX LV "&amp;K41</f>
        <v xml:space="preserve">MAX LV </v>
      </c>
      <c r="L42" s="20" t="e">
        <f>VLOOKUP(L41,SkillTable!$A$2:$E$2200,5,FALSE)</f>
        <v>#N/A</v>
      </c>
      <c r="M42" s="17"/>
      <c r="N42" s="18" t="str">
        <f>VLOOKUP(N41,SkillTable!$A$2:$E$2200,5,FALSE)</f>
        <v>제노사이드 리퍼</v>
      </c>
      <c r="O42" s="19" t="str">
        <f>"MAX LV "&amp;O41</f>
        <v>MAX LV 5</v>
      </c>
      <c r="P42" s="20" t="str">
        <f>VLOOKUP(P41,SkillTable!$A$2:$E$2200,5,FALSE)</f>
        <v>소닉 웨이브</v>
      </c>
      <c r="Q42" s="17"/>
      <c r="R42" s="18" t="e">
        <f>VLOOKUP(R41,SkillTable!$A$2:$E$2200,5,FALSE)</f>
        <v>#N/A</v>
      </c>
      <c r="S42" s="19" t="str">
        <f>"MAX LV "&amp;S41</f>
        <v xml:space="preserve">MAX LV </v>
      </c>
      <c r="T42" s="20" t="e">
        <f>VLOOKUP(T41,SkillTable!$A$2:$E$2200,5,FALSE)</f>
        <v>#N/A</v>
      </c>
    </row>
    <row r="43" spans="1:20" ht="50.1" customHeight="1"/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이름이 지정된 범위</vt:lpstr>
      </vt:variant>
      <vt:variant>
        <vt:i4>28</vt:i4>
      </vt:variant>
    </vt:vector>
  </HeadingPairs>
  <TitlesOfParts>
    <vt:vector size="46" baseType="lpstr">
      <vt:lpstr>Menu</vt:lpstr>
      <vt:lpstr>SkillEnum</vt:lpstr>
      <vt:lpstr>SkillTable</vt:lpstr>
      <vt:lpstr>Elsword</vt:lpstr>
      <vt:lpstr>Elsword_SK</vt:lpstr>
      <vt:lpstr>Elsword_MK</vt:lpstr>
      <vt:lpstr>Aisha</vt:lpstr>
      <vt:lpstr>Aisha_HM</vt:lpstr>
      <vt:lpstr>Aisha_DM</vt:lpstr>
      <vt:lpstr>Rena</vt:lpstr>
      <vt:lpstr>Rena_CR</vt:lpstr>
      <vt:lpstr>Rena_SR</vt:lpstr>
      <vt:lpstr>Raven</vt:lpstr>
      <vt:lpstr>Raven_ST</vt:lpstr>
      <vt:lpstr>Raven_OT</vt:lpstr>
      <vt:lpstr>Eve</vt:lpstr>
      <vt:lpstr>Eve_CE</vt:lpstr>
      <vt:lpstr>Eve_CA</vt:lpstr>
      <vt:lpstr>ACTIVE_SKILL_USE_CONDITION</vt:lpstr>
      <vt:lpstr>BORN_SEALED</vt:lpstr>
      <vt:lpstr>COOL_TIME</vt:lpstr>
      <vt:lpstr>DESC</vt:lpstr>
      <vt:lpstr>ICON_TEXTURE_NAME</vt:lpstr>
      <vt:lpstr>ICON_TEXTURE_PIECE_NAME</vt:lpstr>
      <vt:lpstr>ID</vt:lpstr>
      <vt:lpstr>ID_ENUM</vt:lpstr>
      <vt:lpstr>IN_HOUSE_TEST_ONLY</vt:lpstr>
      <vt:lpstr>MISC_0</vt:lpstr>
      <vt:lpstr>MISC_1</vt:lpstr>
      <vt:lpstr>MISC_2</vt:lpstr>
      <vt:lpstr>MISC_3</vt:lpstr>
      <vt:lpstr>MISC_4</vt:lpstr>
      <vt:lpstr>MISC_5</vt:lpstr>
      <vt:lpstr>MP_CONSUMPTION</vt:lpstr>
      <vt:lpstr>NAME</vt:lpstr>
      <vt:lpstr>POWER_RATE</vt:lpstr>
      <vt:lpstr>SHOW_LEVEL</vt:lpstr>
      <vt:lpstr>SKILL_LEVEL</vt:lpstr>
      <vt:lpstr>STAT_ATK_MAGIC</vt:lpstr>
      <vt:lpstr>STAT_ATK_PHYSIC</vt:lpstr>
      <vt:lpstr>STAT_BASE_HP</vt:lpstr>
      <vt:lpstr>STAT_DEF_MAGIC</vt:lpstr>
      <vt:lpstr>STAT_DEF_PHYSIC</vt:lpstr>
      <vt:lpstr>STT_ATK_MAGIC</vt:lpstr>
      <vt:lpstr>TYPE</vt:lpstr>
      <vt:lpstr>TYPE_ENUM</vt:lpstr>
    </vt:vector>
  </TitlesOfParts>
  <Company>CGS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오준경</dc:creator>
  <cp:lastModifiedBy>kog</cp:lastModifiedBy>
  <dcterms:created xsi:type="dcterms:W3CDTF">2007-06-07T07:32:04Z</dcterms:created>
  <dcterms:modified xsi:type="dcterms:W3CDTF">2009-07-28T01:06:20Z</dcterms:modified>
</cp:coreProperties>
</file>